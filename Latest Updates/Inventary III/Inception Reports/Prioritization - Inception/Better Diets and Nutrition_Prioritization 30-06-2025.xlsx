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fileSharing readOnlyRecommended="1"/>
  <workbookPr updateLinks="always"/>
  <mc:AlternateContent xmlns:mc="http://schemas.openxmlformats.org/markup-compatibility/2006">
    <mc:Choice Requires="x15">
      <x15ac:absPath xmlns:x15ac="http://schemas.microsoft.com/office/spreadsheetml/2010/11/ac" url="https://cgiar.sharepoint.com/sites/CGIAR-BetterDietsandNutritionScienceProgram/Shared Documents/Transition Team/Completed_Inception phase tasks and deliverables/5. Inception phase report - Due Jun 9/"/>
    </mc:Choice>
  </mc:AlternateContent>
  <xr:revisionPtr revIDLastSave="0" documentId="8_{B4D4C76F-BB79-4490-8A24-5604746BBD42}" xr6:coauthVersionLast="47" xr6:coauthVersionMax="47" xr10:uidLastSave="{00000000-0000-0000-0000-000000000000}"/>
  <bookViews>
    <workbookView xWindow="-120" yWindow="-120" windowWidth="38640" windowHeight="21120" tabRatio="713" xr2:uid="{7E8C8093-AF25-40C4-A5EB-49CC7314E97D}"/>
  </bookViews>
  <sheets>
    <sheet name="Country-regions" sheetId="12" r:id="rId1"/>
    <sheet name="HLOs" sheetId="1" r:id="rId2"/>
    <sheet name="Indicators" sheetId="3" r:id="rId3"/>
    <sheet name="1.Food_security" sheetId="2" r:id="rId4"/>
    <sheet name="2.Poverty_reduction" sheetId="4" r:id="rId5"/>
    <sheet name="3.Social_inclusion" sheetId="5" r:id="rId6"/>
    <sheet name="4.Climate_adaptation" sheetId="6" r:id="rId7"/>
    <sheet name="5.Environmental_health" sheetId="7" r:id="rId8"/>
    <sheet name="Step B weights" sheetId="13" r:id="rId9"/>
    <sheet name="Step B - Weight by Scl Impact" sheetId="8" r:id="rId10"/>
    <sheet name="Step C weights" sheetId="14" r:id="rId11"/>
    <sheet name="Step C - Weight by Enable Env" sheetId="9" r:id="rId12"/>
    <sheet name="Phase 2 - Final decisions" sheetId="11" r:id="rId13"/>
  </sheets>
  <externalReferences>
    <externalReference r:id="rId14"/>
    <externalReference r:id="rId15"/>
    <externalReference r:id="rId16"/>
  </externalReferenc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4" i="9" l="1"/>
  <c r="I35" i="9"/>
  <c r="I36" i="9"/>
  <c r="D26" i="8"/>
  <c r="D25" i="9"/>
  <c r="E26" i="8"/>
  <c r="E25" i="9"/>
  <c r="F26" i="8"/>
  <c r="F25" i="9"/>
  <c r="G26" i="8"/>
  <c r="G25" i="9"/>
  <c r="B46" i="9"/>
  <c r="B55" i="9"/>
  <c r="B37" i="9"/>
  <c r="I37" i="9"/>
  <c r="Z27" i="8"/>
  <c r="Z26" i="9"/>
  <c r="AA27" i="8"/>
  <c r="AA26" i="9"/>
  <c r="AB27" i="8"/>
  <c r="AB26" i="9"/>
  <c r="AE27" i="8"/>
  <c r="AE26" i="9"/>
  <c r="AE28" i="8"/>
  <c r="AE27" i="9"/>
  <c r="AC27" i="8"/>
  <c r="AC26" i="9"/>
  <c r="AD27" i="8"/>
  <c r="AD26" i="9"/>
  <c r="Z28" i="8"/>
  <c r="Z27" i="9"/>
  <c r="AA28" i="8"/>
  <c r="AA27" i="9"/>
  <c r="AB28" i="8"/>
  <c r="AB27" i="9"/>
  <c r="AC28" i="8"/>
  <c r="AC27" i="9"/>
  <c r="AD28" i="8"/>
  <c r="AD27" i="9"/>
  <c r="Z29" i="8"/>
  <c r="Z28" i="9"/>
  <c r="AA29" i="8"/>
  <c r="AA28" i="9"/>
  <c r="AB29" i="8"/>
  <c r="AB28" i="9"/>
  <c r="AC29" i="8"/>
  <c r="AC28" i="9"/>
  <c r="AD29" i="8"/>
  <c r="AD28" i="9"/>
  <c r="AE29" i="8"/>
  <c r="AE28" i="9"/>
  <c r="Z30" i="8"/>
  <c r="Z29" i="9"/>
  <c r="AA30" i="8"/>
  <c r="AA29" i="9"/>
  <c r="AE30" i="8"/>
  <c r="AE29" i="9"/>
  <c r="Z31" i="8"/>
  <c r="Z30" i="9"/>
  <c r="AA31" i="8"/>
  <c r="AA30" i="9"/>
  <c r="AB31" i="8"/>
  <c r="AB30" i="9"/>
  <c r="AC31" i="8"/>
  <c r="AC30" i="9"/>
  <c r="AD31" i="8"/>
  <c r="AD30" i="9"/>
  <c r="AE31" i="8"/>
  <c r="AE30" i="9"/>
  <c r="E38" i="9"/>
  <c r="B27" i="8"/>
  <c r="B26" i="9"/>
  <c r="C27" i="8"/>
  <c r="C26" i="9"/>
  <c r="E27" i="8"/>
  <c r="E26" i="9"/>
  <c r="F27" i="8"/>
  <c r="F26" i="9"/>
  <c r="G27" i="8"/>
  <c r="G26" i="9"/>
  <c r="B28" i="8"/>
  <c r="B27" i="9"/>
  <c r="C28" i="8"/>
  <c r="C27" i="9"/>
  <c r="G28" i="8"/>
  <c r="G27" i="9"/>
  <c r="B29" i="8"/>
  <c r="B28" i="9"/>
  <c r="B31" i="8"/>
  <c r="B30" i="9"/>
  <c r="C31" i="8"/>
  <c r="C30" i="9"/>
  <c r="G31" i="8"/>
  <c r="G30" i="9"/>
  <c r="B47" i="9"/>
  <c r="B56" i="9"/>
  <c r="B38" i="9"/>
  <c r="I38" i="9"/>
  <c r="E10" i="8"/>
  <c r="E9" i="9"/>
  <c r="F10" i="8"/>
  <c r="F9" i="9"/>
  <c r="B42" i="9"/>
  <c r="B51" i="9"/>
  <c r="B33" i="9"/>
  <c r="I33" i="9"/>
  <c r="N47" i="9"/>
  <c r="N52" i="9"/>
  <c r="O47" i="9"/>
  <c r="K47" i="9"/>
  <c r="R47" i="9"/>
  <c r="N48" i="9"/>
  <c r="O48" i="9"/>
  <c r="K48" i="9"/>
  <c r="R48" i="9"/>
  <c r="N49" i="9"/>
  <c r="O49" i="9"/>
  <c r="K49" i="9"/>
  <c r="R49" i="9"/>
  <c r="N50" i="9"/>
  <c r="O50" i="9"/>
  <c r="K50" i="9"/>
  <c r="R50" i="9"/>
  <c r="N51" i="9"/>
  <c r="O51" i="9"/>
  <c r="K51" i="9"/>
  <c r="R51" i="9"/>
  <c r="N46" i="9"/>
  <c r="O46" i="9"/>
  <c r="K46" i="9"/>
  <c r="R46" i="9"/>
  <c r="O52" i="9"/>
  <c r="K52" i="9"/>
  <c r="B12" i="9"/>
  <c r="C12" i="9"/>
  <c r="D12" i="9"/>
  <c r="E12" i="9"/>
  <c r="F12" i="9"/>
  <c r="G12" i="9"/>
  <c r="B13" i="9"/>
  <c r="C13" i="9"/>
  <c r="D13" i="9"/>
  <c r="E13" i="9"/>
  <c r="F13" i="9"/>
  <c r="G13" i="9"/>
  <c r="B14" i="9"/>
  <c r="C14" i="9"/>
  <c r="D14" i="9"/>
  <c r="E14" i="9"/>
  <c r="F14" i="9"/>
  <c r="G14" i="9"/>
  <c r="B43" i="9"/>
  <c r="B52" i="9"/>
  <c r="B34" i="9"/>
  <c r="A12" i="9"/>
  <c r="I12" i="9"/>
  <c r="J12" i="9"/>
  <c r="K12" i="9"/>
  <c r="L12" i="9"/>
  <c r="M12" i="9"/>
  <c r="N12" i="9"/>
  <c r="O12" i="9"/>
  <c r="A13" i="9"/>
  <c r="I13" i="9"/>
  <c r="J13" i="9"/>
  <c r="K13" i="9"/>
  <c r="L13" i="9"/>
  <c r="M13" i="9"/>
  <c r="N13" i="9"/>
  <c r="O13" i="9"/>
  <c r="A14" i="9"/>
  <c r="I14" i="9"/>
  <c r="J14" i="9"/>
  <c r="K14" i="9"/>
  <c r="L14" i="9"/>
  <c r="M14" i="9"/>
  <c r="N14" i="9"/>
  <c r="O14" i="9"/>
  <c r="C34" i="9"/>
  <c r="Q12" i="9"/>
  <c r="R12" i="9"/>
  <c r="S12" i="9"/>
  <c r="T12" i="9"/>
  <c r="U12" i="9"/>
  <c r="V12" i="9"/>
  <c r="W12" i="9"/>
  <c r="Q13" i="9"/>
  <c r="R13" i="9"/>
  <c r="S13" i="9"/>
  <c r="T13" i="9"/>
  <c r="U13" i="9"/>
  <c r="V13" i="9"/>
  <c r="W13" i="9"/>
  <c r="Q14" i="9"/>
  <c r="R14" i="9"/>
  <c r="S14" i="9"/>
  <c r="T14" i="9"/>
  <c r="U14" i="9"/>
  <c r="V14" i="9"/>
  <c r="W14" i="9"/>
  <c r="D34" i="9"/>
  <c r="Z12" i="9"/>
  <c r="AA12" i="9"/>
  <c r="AB12" i="9"/>
  <c r="AC12" i="9"/>
  <c r="AD12" i="9"/>
  <c r="AE12" i="9"/>
  <c r="Z13" i="9"/>
  <c r="AA13" i="9"/>
  <c r="AB13" i="9"/>
  <c r="AC13" i="9"/>
  <c r="AD13" i="9"/>
  <c r="AE13" i="9"/>
  <c r="Z14" i="9"/>
  <c r="AA14" i="9"/>
  <c r="AB14" i="9"/>
  <c r="AC14" i="9"/>
  <c r="AD14" i="9"/>
  <c r="AE14" i="9"/>
  <c r="E34" i="9"/>
  <c r="B15" i="9"/>
  <c r="C15" i="9"/>
  <c r="D15" i="9"/>
  <c r="E15" i="9"/>
  <c r="F15" i="9"/>
  <c r="G15" i="9"/>
  <c r="B16" i="9"/>
  <c r="C16" i="9"/>
  <c r="D16" i="9"/>
  <c r="E16" i="9"/>
  <c r="F16" i="9"/>
  <c r="G16" i="9"/>
  <c r="B17" i="9"/>
  <c r="C17" i="9"/>
  <c r="D17" i="9"/>
  <c r="E17" i="9"/>
  <c r="F17" i="9"/>
  <c r="G17" i="9"/>
  <c r="B18" i="9"/>
  <c r="C18" i="9"/>
  <c r="D18" i="9"/>
  <c r="E18" i="9"/>
  <c r="F18" i="9"/>
  <c r="G18" i="9"/>
  <c r="B19" i="9"/>
  <c r="C19" i="9"/>
  <c r="D19" i="9"/>
  <c r="E19" i="9"/>
  <c r="F19" i="9"/>
  <c r="G19" i="9"/>
  <c r="B44" i="9"/>
  <c r="B53" i="9"/>
  <c r="B35" i="9"/>
  <c r="A15" i="9"/>
  <c r="I15" i="9"/>
  <c r="J15" i="9"/>
  <c r="K15" i="9"/>
  <c r="L15" i="9"/>
  <c r="M15" i="9"/>
  <c r="N15" i="9"/>
  <c r="O15" i="9"/>
  <c r="A16" i="9"/>
  <c r="I16" i="9"/>
  <c r="J16" i="9"/>
  <c r="K16" i="9"/>
  <c r="L16" i="9"/>
  <c r="M16" i="9"/>
  <c r="N16" i="9"/>
  <c r="O16" i="9"/>
  <c r="A17" i="9"/>
  <c r="I17" i="9"/>
  <c r="J17" i="9"/>
  <c r="K17" i="9"/>
  <c r="L17" i="9"/>
  <c r="M17" i="9"/>
  <c r="N17" i="9"/>
  <c r="O17" i="9"/>
  <c r="A18" i="9"/>
  <c r="I18" i="9"/>
  <c r="J18" i="9"/>
  <c r="K18" i="9"/>
  <c r="L18" i="9"/>
  <c r="M18" i="9"/>
  <c r="N18" i="9"/>
  <c r="O18" i="9"/>
  <c r="A19" i="9"/>
  <c r="I19" i="9"/>
  <c r="J19" i="9"/>
  <c r="K19" i="9"/>
  <c r="L19" i="9"/>
  <c r="M19" i="9"/>
  <c r="N19" i="9"/>
  <c r="O19" i="9"/>
  <c r="C35" i="9"/>
  <c r="Q15" i="9"/>
  <c r="R15" i="9"/>
  <c r="S15" i="9"/>
  <c r="T15" i="9"/>
  <c r="U15" i="9"/>
  <c r="V15" i="9"/>
  <c r="W15" i="9"/>
  <c r="Q16" i="9"/>
  <c r="R16" i="9"/>
  <c r="S16" i="9"/>
  <c r="T16" i="9"/>
  <c r="U16" i="9"/>
  <c r="V16" i="9"/>
  <c r="W16" i="9"/>
  <c r="Q17" i="9"/>
  <c r="R17" i="9"/>
  <c r="S17" i="9"/>
  <c r="T17" i="9"/>
  <c r="U17" i="9"/>
  <c r="V17" i="9"/>
  <c r="W17" i="9"/>
  <c r="Q18" i="9"/>
  <c r="R18" i="9"/>
  <c r="S18" i="9"/>
  <c r="T18" i="9"/>
  <c r="U18" i="9"/>
  <c r="V18" i="9"/>
  <c r="W18" i="9"/>
  <c r="Q19" i="9"/>
  <c r="R19" i="9"/>
  <c r="S19" i="9"/>
  <c r="T19" i="9"/>
  <c r="U19" i="9"/>
  <c r="V19" i="9"/>
  <c r="W19" i="9"/>
  <c r="D35" i="9"/>
  <c r="Z15" i="9"/>
  <c r="AA15" i="9"/>
  <c r="AB15" i="9"/>
  <c r="AC15" i="9"/>
  <c r="AD15" i="9"/>
  <c r="AE15" i="9"/>
  <c r="Z16" i="9"/>
  <c r="AA16" i="9"/>
  <c r="AB16" i="9"/>
  <c r="AC16" i="9"/>
  <c r="AD16" i="9"/>
  <c r="AE16" i="9"/>
  <c r="Z17" i="9"/>
  <c r="AA17" i="9"/>
  <c r="AB17" i="9"/>
  <c r="AC17" i="9"/>
  <c r="AD17" i="9"/>
  <c r="AE17" i="9"/>
  <c r="Z18" i="9"/>
  <c r="AA18" i="9"/>
  <c r="AB18" i="9"/>
  <c r="AC18" i="9"/>
  <c r="AD18" i="9"/>
  <c r="AE18" i="9"/>
  <c r="Z19" i="9"/>
  <c r="AA19" i="9"/>
  <c r="AB19" i="9"/>
  <c r="AC19" i="9"/>
  <c r="AD19" i="9"/>
  <c r="AE19" i="9"/>
  <c r="E35" i="9"/>
  <c r="AH15" i="9"/>
  <c r="AI15" i="9"/>
  <c r="AJ15" i="9"/>
  <c r="AK15" i="9"/>
  <c r="AL15" i="9"/>
  <c r="AM15" i="9"/>
  <c r="AH16" i="9"/>
  <c r="AI16" i="9"/>
  <c r="AJ16" i="9"/>
  <c r="AK16" i="9"/>
  <c r="AL16" i="9"/>
  <c r="AM16" i="9"/>
  <c r="AH17" i="9"/>
  <c r="AI17" i="9"/>
  <c r="AJ17" i="9"/>
  <c r="AK17" i="9"/>
  <c r="AL17" i="9"/>
  <c r="AM17" i="9"/>
  <c r="AH18" i="9"/>
  <c r="AI18" i="9"/>
  <c r="AJ18" i="9"/>
  <c r="AK18" i="9"/>
  <c r="AL18" i="9"/>
  <c r="AM18" i="9"/>
  <c r="AH19" i="9"/>
  <c r="AI19" i="9"/>
  <c r="AJ19" i="9"/>
  <c r="AK19" i="9"/>
  <c r="AL19" i="9"/>
  <c r="AM19" i="9"/>
  <c r="F35" i="9"/>
  <c r="B20" i="9"/>
  <c r="C20" i="9"/>
  <c r="D20" i="9"/>
  <c r="E20" i="9"/>
  <c r="F20" i="9"/>
  <c r="G20" i="9"/>
  <c r="B21" i="9"/>
  <c r="C21" i="9"/>
  <c r="D21" i="9"/>
  <c r="E21" i="9"/>
  <c r="F21" i="9"/>
  <c r="G21" i="9"/>
  <c r="B22" i="9"/>
  <c r="C22" i="9"/>
  <c r="D22" i="9"/>
  <c r="E22" i="9"/>
  <c r="F22" i="9"/>
  <c r="G22" i="9"/>
  <c r="B23" i="9"/>
  <c r="C23" i="9"/>
  <c r="D23" i="9"/>
  <c r="E23" i="9"/>
  <c r="F23" i="9"/>
  <c r="G23" i="9"/>
  <c r="B24" i="9"/>
  <c r="C24" i="9"/>
  <c r="D24" i="9"/>
  <c r="E24" i="9"/>
  <c r="F24" i="9"/>
  <c r="G24" i="9"/>
  <c r="B45" i="9"/>
  <c r="B54" i="9"/>
  <c r="B36" i="9"/>
  <c r="A20" i="9"/>
  <c r="I20" i="9"/>
  <c r="J20" i="9"/>
  <c r="K20" i="9"/>
  <c r="L20" i="9"/>
  <c r="M20" i="9"/>
  <c r="N20" i="9"/>
  <c r="O20" i="9"/>
  <c r="A21" i="9"/>
  <c r="I21" i="9"/>
  <c r="J21" i="9"/>
  <c r="K21" i="9"/>
  <c r="L21" i="9"/>
  <c r="M21" i="9"/>
  <c r="N21" i="9"/>
  <c r="O21" i="9"/>
  <c r="A22" i="9"/>
  <c r="I22" i="9"/>
  <c r="J22" i="9"/>
  <c r="K22" i="9"/>
  <c r="L22" i="9"/>
  <c r="M22" i="9"/>
  <c r="N22" i="9"/>
  <c r="O22" i="9"/>
  <c r="A23" i="9"/>
  <c r="I23" i="9"/>
  <c r="J23" i="9"/>
  <c r="K23" i="9"/>
  <c r="L23" i="9"/>
  <c r="M23" i="9"/>
  <c r="N23" i="9"/>
  <c r="O23" i="9"/>
  <c r="A24" i="9"/>
  <c r="I24" i="9"/>
  <c r="J24" i="9"/>
  <c r="K24" i="9"/>
  <c r="L24" i="9"/>
  <c r="M24" i="9"/>
  <c r="N24" i="9"/>
  <c r="O24" i="9"/>
  <c r="C36" i="9"/>
  <c r="Q20" i="9"/>
  <c r="R20" i="9"/>
  <c r="S20" i="9"/>
  <c r="T20" i="9"/>
  <c r="U20" i="9"/>
  <c r="V20" i="9"/>
  <c r="W20" i="9"/>
  <c r="Q21" i="9"/>
  <c r="R21" i="9"/>
  <c r="S21" i="9"/>
  <c r="T21" i="9"/>
  <c r="U21" i="9"/>
  <c r="V21" i="9"/>
  <c r="W21" i="9"/>
  <c r="Q22" i="9"/>
  <c r="R22" i="9"/>
  <c r="S22" i="9"/>
  <c r="T22" i="9"/>
  <c r="U22" i="9"/>
  <c r="V22" i="9"/>
  <c r="W22" i="9"/>
  <c r="Q23" i="9"/>
  <c r="R23" i="9"/>
  <c r="S23" i="9"/>
  <c r="T23" i="9"/>
  <c r="U23" i="9"/>
  <c r="V23" i="9"/>
  <c r="W23" i="9"/>
  <c r="Q24" i="9"/>
  <c r="R24" i="9"/>
  <c r="S24" i="9"/>
  <c r="T24" i="9"/>
  <c r="U24" i="9"/>
  <c r="V24" i="9"/>
  <c r="W24" i="9"/>
  <c r="D36" i="9"/>
  <c r="Z20" i="9"/>
  <c r="AA20" i="9"/>
  <c r="AB20" i="9"/>
  <c r="AC20" i="9"/>
  <c r="AD20" i="9"/>
  <c r="AE20" i="9"/>
  <c r="Z21" i="9"/>
  <c r="AA21" i="9"/>
  <c r="AB21" i="9"/>
  <c r="AC21" i="9"/>
  <c r="AD21" i="9"/>
  <c r="AE21" i="9"/>
  <c r="Z22" i="9"/>
  <c r="AA22" i="9"/>
  <c r="AB22" i="9"/>
  <c r="AC22" i="9"/>
  <c r="AD22" i="9"/>
  <c r="AE22" i="9"/>
  <c r="Z23" i="9"/>
  <c r="AA23" i="9"/>
  <c r="AB23" i="9"/>
  <c r="AC23" i="9"/>
  <c r="AD23" i="9"/>
  <c r="AE23" i="9"/>
  <c r="Z24" i="9"/>
  <c r="AA24" i="9"/>
  <c r="AB24" i="9"/>
  <c r="AC24" i="9"/>
  <c r="AD24" i="9"/>
  <c r="AE24" i="9"/>
  <c r="E36" i="9"/>
  <c r="AH20" i="9"/>
  <c r="AI20" i="9"/>
  <c r="AJ20" i="9"/>
  <c r="AK20" i="9"/>
  <c r="AL20" i="9"/>
  <c r="AM20" i="9"/>
  <c r="AH21" i="9"/>
  <c r="AI21" i="9"/>
  <c r="AJ21" i="9"/>
  <c r="AK21" i="9"/>
  <c r="AL21" i="9"/>
  <c r="AM21" i="9"/>
  <c r="AH22" i="9"/>
  <c r="AI22" i="9"/>
  <c r="AJ22" i="9"/>
  <c r="AK22" i="9"/>
  <c r="AL22" i="9"/>
  <c r="AM22" i="9"/>
  <c r="AH23" i="9"/>
  <c r="AI23" i="9"/>
  <c r="AJ23" i="9"/>
  <c r="AK23" i="9"/>
  <c r="AL23" i="9"/>
  <c r="AM23" i="9"/>
  <c r="AH24" i="9"/>
  <c r="AI24" i="9"/>
  <c r="AJ24" i="9"/>
  <c r="AK24" i="9"/>
  <c r="AL24" i="9"/>
  <c r="AM24" i="9"/>
  <c r="F36" i="9"/>
  <c r="B25" i="9"/>
  <c r="C25" i="9"/>
  <c r="A25" i="9"/>
  <c r="I25" i="9"/>
  <c r="J25" i="9"/>
  <c r="K25" i="9"/>
  <c r="L25" i="9"/>
  <c r="M25" i="9"/>
  <c r="N25" i="9"/>
  <c r="O25" i="9"/>
  <c r="C37" i="9"/>
  <c r="Q25" i="9"/>
  <c r="R25" i="9"/>
  <c r="S25" i="9"/>
  <c r="T25" i="9"/>
  <c r="U25" i="9"/>
  <c r="V25" i="9"/>
  <c r="W25" i="9"/>
  <c r="D37" i="9"/>
  <c r="D26" i="9"/>
  <c r="D27" i="9"/>
  <c r="E27" i="9"/>
  <c r="F27" i="9"/>
  <c r="C28" i="9"/>
  <c r="D28" i="9"/>
  <c r="E28" i="9"/>
  <c r="F28" i="9"/>
  <c r="G28" i="9"/>
  <c r="B29" i="9"/>
  <c r="C29" i="9"/>
  <c r="D29" i="9"/>
  <c r="E29" i="9"/>
  <c r="F29" i="9"/>
  <c r="G29" i="9"/>
  <c r="D30" i="9"/>
  <c r="E30" i="9"/>
  <c r="F30" i="9"/>
  <c r="A26" i="9"/>
  <c r="I26" i="9"/>
  <c r="J26" i="9"/>
  <c r="K26" i="9"/>
  <c r="L26" i="9"/>
  <c r="M26" i="9"/>
  <c r="N26" i="9"/>
  <c r="O26" i="9"/>
  <c r="A27" i="9"/>
  <c r="I27" i="9"/>
  <c r="J27" i="9"/>
  <c r="K27" i="9"/>
  <c r="L27" i="9"/>
  <c r="M27" i="9"/>
  <c r="N27" i="9"/>
  <c r="O27" i="9"/>
  <c r="A28" i="9"/>
  <c r="I28" i="9"/>
  <c r="J28" i="9"/>
  <c r="K28" i="9"/>
  <c r="L28" i="9"/>
  <c r="M28" i="9"/>
  <c r="N28" i="9"/>
  <c r="O28" i="9"/>
  <c r="A29" i="9"/>
  <c r="I29" i="9"/>
  <c r="J29" i="9"/>
  <c r="K29" i="9"/>
  <c r="L29" i="9"/>
  <c r="M29" i="9"/>
  <c r="N29" i="9"/>
  <c r="O29" i="9"/>
  <c r="A30" i="9"/>
  <c r="I30" i="9"/>
  <c r="J30" i="9"/>
  <c r="K30" i="9"/>
  <c r="L30" i="9"/>
  <c r="M30" i="9"/>
  <c r="N30" i="9"/>
  <c r="O30" i="9"/>
  <c r="C38" i="9"/>
  <c r="Q26" i="9"/>
  <c r="R26" i="9"/>
  <c r="S26" i="9"/>
  <c r="T26" i="9"/>
  <c r="U26" i="9"/>
  <c r="V26" i="9"/>
  <c r="W26" i="9"/>
  <c r="Q27" i="9"/>
  <c r="R27" i="9"/>
  <c r="S27" i="9"/>
  <c r="T27" i="9"/>
  <c r="U27" i="9"/>
  <c r="V27" i="9"/>
  <c r="W27" i="9"/>
  <c r="Q28" i="9"/>
  <c r="R28" i="9"/>
  <c r="S28" i="9"/>
  <c r="T28" i="9"/>
  <c r="U28" i="9"/>
  <c r="V28" i="9"/>
  <c r="W28" i="9"/>
  <c r="Q29" i="9"/>
  <c r="R29" i="9"/>
  <c r="S29" i="9"/>
  <c r="T29" i="9"/>
  <c r="U29" i="9"/>
  <c r="V29" i="9"/>
  <c r="W29" i="9"/>
  <c r="Q30" i="9"/>
  <c r="R30" i="9"/>
  <c r="S30" i="9"/>
  <c r="T30" i="9"/>
  <c r="U30" i="9"/>
  <c r="V30" i="9"/>
  <c r="W30" i="9"/>
  <c r="D38" i="9"/>
  <c r="AB29" i="9"/>
  <c r="AC29" i="9"/>
  <c r="AD29" i="9"/>
  <c r="AH26" i="9"/>
  <c r="AI26" i="9"/>
  <c r="AJ26" i="9"/>
  <c r="AK26" i="9"/>
  <c r="AL26" i="9"/>
  <c r="AM26" i="9"/>
  <c r="AH27" i="9"/>
  <c r="AI27" i="9"/>
  <c r="AJ27" i="9"/>
  <c r="AK27" i="9"/>
  <c r="AL27" i="9"/>
  <c r="AM27" i="9"/>
  <c r="AH28" i="9"/>
  <c r="AI28" i="9"/>
  <c r="AJ28" i="9"/>
  <c r="AK28" i="9"/>
  <c r="AL28" i="9"/>
  <c r="AM28" i="9"/>
  <c r="AH29" i="9"/>
  <c r="AI29" i="9"/>
  <c r="AJ29" i="9"/>
  <c r="AK29" i="9"/>
  <c r="AL29" i="9"/>
  <c r="AM29" i="9"/>
  <c r="AH30" i="9"/>
  <c r="AI30" i="9"/>
  <c r="AJ30" i="9"/>
  <c r="AK30" i="9"/>
  <c r="AL30" i="9"/>
  <c r="AM30" i="9"/>
  <c r="F38" i="9"/>
  <c r="B9" i="9"/>
  <c r="C9" i="9"/>
  <c r="D9" i="9"/>
  <c r="G9" i="9"/>
  <c r="B10" i="9"/>
  <c r="C10" i="9"/>
  <c r="D10" i="9"/>
  <c r="E10" i="9"/>
  <c r="F10" i="9"/>
  <c r="G10" i="9"/>
  <c r="B11" i="9"/>
  <c r="C11" i="9"/>
  <c r="D11" i="9"/>
  <c r="E11" i="9"/>
  <c r="F11" i="9"/>
  <c r="G11" i="9"/>
  <c r="A9" i="9"/>
  <c r="I9" i="9"/>
  <c r="J9" i="9"/>
  <c r="K9" i="9"/>
  <c r="L9" i="9"/>
  <c r="M9" i="9"/>
  <c r="N9" i="9"/>
  <c r="O9" i="9"/>
  <c r="A10" i="9"/>
  <c r="I10" i="9"/>
  <c r="J10" i="9"/>
  <c r="K10" i="9"/>
  <c r="L10" i="9"/>
  <c r="M10" i="9"/>
  <c r="N10" i="9"/>
  <c r="O10" i="9"/>
  <c r="A11" i="9"/>
  <c r="I11" i="9"/>
  <c r="J11" i="9"/>
  <c r="K11" i="9"/>
  <c r="L11" i="9"/>
  <c r="M11" i="9"/>
  <c r="N11" i="9"/>
  <c r="O11" i="9"/>
  <c r="C33" i="9"/>
  <c r="Q9" i="9"/>
  <c r="R9" i="9"/>
  <c r="S9" i="9"/>
  <c r="T9" i="9"/>
  <c r="U9" i="9"/>
  <c r="V9" i="9"/>
  <c r="W9" i="9"/>
  <c r="Q10" i="9"/>
  <c r="R10" i="9"/>
  <c r="S10" i="9"/>
  <c r="T10" i="9"/>
  <c r="U10" i="9"/>
  <c r="V10" i="9"/>
  <c r="W10" i="9"/>
  <c r="Q11" i="9"/>
  <c r="R11" i="9"/>
  <c r="S11" i="9"/>
  <c r="T11" i="9"/>
  <c r="U11" i="9"/>
  <c r="V11" i="9"/>
  <c r="W11" i="9"/>
  <c r="D33" i="9"/>
  <c r="Z9" i="9"/>
  <c r="AA9" i="9"/>
  <c r="AB9" i="9"/>
  <c r="AC9" i="9"/>
  <c r="AD9" i="9"/>
  <c r="AE9" i="9"/>
  <c r="Z10" i="9"/>
  <c r="AA10" i="9"/>
  <c r="AB10" i="9"/>
  <c r="AC10" i="9"/>
  <c r="AD10" i="9"/>
  <c r="AE10" i="9"/>
  <c r="Z11" i="9"/>
  <c r="AA11" i="9"/>
  <c r="AB11" i="9"/>
  <c r="AC11" i="9"/>
  <c r="AD11" i="9"/>
  <c r="AE11" i="9"/>
  <c r="E33" i="9"/>
  <c r="AH9" i="9"/>
  <c r="AI9" i="9"/>
  <c r="AJ9" i="9"/>
  <c r="AK9" i="9"/>
  <c r="AL9" i="9"/>
  <c r="AM9" i="9"/>
  <c r="AH10" i="9"/>
  <c r="AI10" i="9"/>
  <c r="AJ10" i="9"/>
  <c r="AK10" i="9"/>
  <c r="AL10" i="9"/>
  <c r="AM10" i="9"/>
  <c r="AH11" i="9"/>
  <c r="AI11" i="9"/>
  <c r="AJ11" i="9"/>
  <c r="AK11" i="9"/>
  <c r="AL11" i="9"/>
  <c r="AM11" i="9"/>
  <c r="F33" i="9"/>
  <c r="B39" i="9"/>
  <c r="F51" i="9"/>
  <c r="F53" i="9"/>
  <c r="F54" i="9"/>
  <c r="F56" i="9"/>
  <c r="F57" i="9"/>
  <c r="E51" i="9"/>
  <c r="E52" i="9"/>
  <c r="E53" i="9"/>
  <c r="E54" i="9"/>
  <c r="E56" i="9"/>
  <c r="E57" i="9"/>
  <c r="D51" i="9"/>
  <c r="D52" i="9"/>
  <c r="D53" i="9"/>
  <c r="D54" i="9"/>
  <c r="D55" i="9"/>
  <c r="D56" i="9"/>
  <c r="D57" i="9"/>
  <c r="C51" i="9"/>
  <c r="C52" i="9"/>
  <c r="C53" i="9"/>
  <c r="C54" i="9"/>
  <c r="C55" i="9"/>
  <c r="C56" i="9"/>
  <c r="C57" i="9"/>
  <c r="B57" i="9"/>
  <c r="F42" i="9"/>
  <c r="F44" i="9"/>
  <c r="F45" i="9"/>
  <c r="F47" i="9"/>
  <c r="F48" i="9"/>
  <c r="E42" i="9"/>
  <c r="E43" i="9"/>
  <c r="E44" i="9"/>
  <c r="E45" i="9"/>
  <c r="E47" i="9"/>
  <c r="E48" i="9"/>
  <c r="D42" i="9"/>
  <c r="D43" i="9"/>
  <c r="D44" i="9"/>
  <c r="D45" i="9"/>
  <c r="D46" i="9"/>
  <c r="D47" i="9"/>
  <c r="D48" i="9"/>
  <c r="C42" i="9"/>
  <c r="C43" i="9"/>
  <c r="C44" i="9"/>
  <c r="C45" i="9"/>
  <c r="C46" i="9"/>
  <c r="C47" i="9"/>
  <c r="C48" i="9"/>
  <c r="B48" i="9"/>
  <c r="C39" i="9"/>
  <c r="D39" i="9"/>
  <c r="E39" i="9"/>
  <c r="F39" i="9"/>
  <c r="F50" i="9"/>
  <c r="E50" i="9"/>
  <c r="D50" i="9"/>
  <c r="C50" i="9"/>
  <c r="B50" i="9"/>
  <c r="F41" i="9"/>
  <c r="E41" i="9"/>
  <c r="D41" i="9"/>
  <c r="C41" i="9"/>
  <c r="B41" i="9"/>
  <c r="F32" i="9"/>
  <c r="E32" i="9"/>
  <c r="D32" i="9"/>
  <c r="C32" i="9"/>
  <c r="B32" i="9"/>
  <c r="Z10" i="8"/>
  <c r="AB10" i="8"/>
  <c r="AC10" i="8"/>
  <c r="AD10" i="8"/>
  <c r="AE10" i="8"/>
  <c r="Z11" i="8"/>
  <c r="AB11" i="8"/>
  <c r="AC11" i="8"/>
  <c r="AD11" i="8"/>
  <c r="AE11" i="8"/>
  <c r="Z12" i="8"/>
  <c r="AB12" i="8"/>
  <c r="AC12" i="8"/>
  <c r="AD12" i="8"/>
  <c r="AE12" i="8"/>
  <c r="AH10" i="8"/>
  <c r="AJ10" i="8"/>
  <c r="AK10" i="8"/>
  <c r="AL10" i="8"/>
  <c r="AM10" i="8"/>
  <c r="AH11" i="8"/>
  <c r="AJ11" i="8"/>
  <c r="AK11" i="8"/>
  <c r="AL11" i="8"/>
  <c r="AM11" i="8"/>
  <c r="AH12" i="8"/>
  <c r="AJ12" i="8"/>
  <c r="AK12" i="8"/>
  <c r="AL12" i="8"/>
  <c r="AM12" i="8"/>
  <c r="K2" i="6"/>
  <c r="K3" i="6"/>
  <c r="K2" i="7"/>
  <c r="F22" i="8"/>
  <c r="G22" i="8"/>
  <c r="F23" i="8"/>
  <c r="G23" i="8"/>
  <c r="U15" i="8"/>
  <c r="B16" i="8"/>
  <c r="D16" i="8"/>
  <c r="E16" i="8"/>
  <c r="F16" i="8"/>
  <c r="G16" i="8"/>
  <c r="B17" i="8"/>
  <c r="D17" i="8"/>
  <c r="F17" i="8"/>
  <c r="B18" i="8"/>
  <c r="F18" i="8"/>
  <c r="G18" i="8"/>
  <c r="D19" i="8"/>
  <c r="E19" i="8"/>
  <c r="F19" i="8"/>
  <c r="B20" i="8"/>
  <c r="D20" i="8"/>
  <c r="F20" i="8"/>
  <c r="G20" i="8"/>
  <c r="J16" i="8"/>
  <c r="N16" i="8"/>
  <c r="O16" i="8"/>
  <c r="J17" i="8"/>
  <c r="M17" i="8"/>
  <c r="N17" i="8"/>
  <c r="O17" i="8"/>
  <c r="J18" i="8"/>
  <c r="L18" i="8"/>
  <c r="N18" i="8"/>
  <c r="O18" i="8"/>
  <c r="J19" i="8"/>
  <c r="L19" i="8"/>
  <c r="M19" i="8"/>
  <c r="N19" i="8"/>
  <c r="O19" i="8"/>
  <c r="J20" i="8"/>
  <c r="N20" i="8"/>
  <c r="O20" i="8"/>
  <c r="R16" i="8"/>
  <c r="T16" i="8"/>
  <c r="U16" i="8"/>
  <c r="V16" i="8"/>
  <c r="W16" i="8"/>
  <c r="R17" i="8"/>
  <c r="T17" i="8"/>
  <c r="U17" i="8"/>
  <c r="V17" i="8"/>
  <c r="W17" i="8"/>
  <c r="R18" i="8"/>
  <c r="W18" i="8"/>
  <c r="R19" i="8"/>
  <c r="W19" i="8"/>
  <c r="R20" i="8"/>
  <c r="W20" i="8"/>
  <c r="Z16" i="8"/>
  <c r="AC16" i="8"/>
  <c r="AD16" i="8"/>
  <c r="AE16" i="8"/>
  <c r="Z17" i="8"/>
  <c r="AD17" i="8"/>
  <c r="AE17" i="8"/>
  <c r="Z18" i="8"/>
  <c r="AD18" i="8"/>
  <c r="AE18" i="8"/>
  <c r="Z19" i="8"/>
  <c r="AE19" i="8"/>
  <c r="Z20" i="8"/>
  <c r="AE20" i="8"/>
  <c r="AH16" i="8"/>
  <c r="AJ16" i="8"/>
  <c r="AK16" i="8"/>
  <c r="AL16" i="8"/>
  <c r="AM16" i="8"/>
  <c r="AH17" i="8"/>
  <c r="AJ17" i="8"/>
  <c r="AK17" i="8"/>
  <c r="AL17" i="8"/>
  <c r="AM17" i="8"/>
  <c r="AH18" i="8"/>
  <c r="AJ18" i="8"/>
  <c r="AK18" i="8"/>
  <c r="AL18" i="8"/>
  <c r="AM18" i="8"/>
  <c r="AH19" i="8"/>
  <c r="AJ19" i="8"/>
  <c r="AK19" i="8"/>
  <c r="AL19" i="8"/>
  <c r="AM19" i="8"/>
  <c r="AH20" i="8"/>
  <c r="AJ20" i="8"/>
  <c r="AK20" i="8"/>
  <c r="AL20" i="8"/>
  <c r="AM20" i="8"/>
  <c r="A25" i="8"/>
  <c r="A24" i="8"/>
  <c r="B25" i="8"/>
  <c r="C25" i="8"/>
  <c r="D25" i="8"/>
  <c r="E25" i="8"/>
  <c r="F25" i="8"/>
  <c r="G25" i="8"/>
  <c r="J25" i="8"/>
  <c r="K25" i="8"/>
  <c r="L25" i="8"/>
  <c r="M25" i="8"/>
  <c r="N25" i="8"/>
  <c r="O25" i="8"/>
  <c r="R25" i="8"/>
  <c r="S25" i="8"/>
  <c r="T25" i="8"/>
  <c r="U25" i="8"/>
  <c r="V25" i="8"/>
  <c r="W25" i="8"/>
  <c r="Y24" i="9"/>
  <c r="Z25" i="8"/>
  <c r="AA25" i="8"/>
  <c r="AB25" i="8"/>
  <c r="AC25" i="8"/>
  <c r="AD25" i="8"/>
  <c r="AE25" i="8"/>
  <c r="AG24" i="9"/>
  <c r="AH25" i="8"/>
  <c r="AI25" i="8"/>
  <c r="AJ25" i="8"/>
  <c r="AK25" i="8"/>
  <c r="AL25" i="8"/>
  <c r="AM25" i="8"/>
  <c r="K7" i="7"/>
  <c r="K5" i="7"/>
  <c r="K4" i="7"/>
  <c r="K5" i="6"/>
  <c r="K4" i="6"/>
  <c r="K7" i="5"/>
  <c r="K6" i="5"/>
  <c r="K5" i="5"/>
  <c r="K4" i="5"/>
  <c r="K3" i="5"/>
  <c r="K2" i="5"/>
  <c r="K7" i="4"/>
  <c r="K6" i="4"/>
  <c r="K5" i="4"/>
  <c r="K4" i="4"/>
  <c r="K3" i="4"/>
  <c r="K2" i="4"/>
  <c r="K7" i="2"/>
  <c r="K6" i="2"/>
  <c r="K5" i="2"/>
  <c r="K4" i="2"/>
  <c r="K3" i="2"/>
  <c r="K2" i="2"/>
  <c r="C26" i="8"/>
  <c r="J26" i="8"/>
  <c r="K26" i="8"/>
  <c r="L26" i="8"/>
  <c r="M26" i="8"/>
  <c r="N26" i="8"/>
  <c r="O26" i="8"/>
  <c r="R26" i="8"/>
  <c r="S26" i="8"/>
  <c r="T26" i="8"/>
  <c r="U26" i="8"/>
  <c r="V26" i="8"/>
  <c r="W26" i="8"/>
  <c r="Z26" i="8"/>
  <c r="AA26" i="8"/>
  <c r="AB26" i="8"/>
  <c r="AC26" i="8"/>
  <c r="AD26" i="8"/>
  <c r="AE26" i="8"/>
  <c r="AH26" i="8"/>
  <c r="AI26" i="8"/>
  <c r="AJ26" i="8"/>
  <c r="AK26" i="8"/>
  <c r="AL26" i="8"/>
  <c r="AM26" i="8"/>
  <c r="D27" i="8"/>
  <c r="J27" i="8"/>
  <c r="K27" i="8"/>
  <c r="L27" i="8"/>
  <c r="M27" i="8"/>
  <c r="N27" i="8"/>
  <c r="O27" i="8"/>
  <c r="R27" i="8"/>
  <c r="S27" i="8"/>
  <c r="T27" i="8"/>
  <c r="U27" i="8"/>
  <c r="V27" i="8"/>
  <c r="W27" i="8"/>
  <c r="AH27" i="8"/>
  <c r="AI27" i="8"/>
  <c r="AJ27" i="8"/>
  <c r="AK27" i="8"/>
  <c r="AL27" i="8"/>
  <c r="AM27" i="8"/>
  <c r="D28" i="8"/>
  <c r="E28" i="8"/>
  <c r="F28" i="8"/>
  <c r="J28" i="8"/>
  <c r="K28" i="8"/>
  <c r="L28" i="8"/>
  <c r="M28" i="8"/>
  <c r="N28" i="8"/>
  <c r="O28" i="8"/>
  <c r="R28" i="8"/>
  <c r="S28" i="8"/>
  <c r="T28" i="8"/>
  <c r="U28" i="8"/>
  <c r="V28" i="8"/>
  <c r="W28" i="8"/>
  <c r="AH28" i="8"/>
  <c r="AI28" i="8"/>
  <c r="AJ28" i="8"/>
  <c r="AK28" i="8"/>
  <c r="AL28" i="8"/>
  <c r="AM28" i="8"/>
  <c r="C29" i="8"/>
  <c r="D29" i="8"/>
  <c r="E29" i="8"/>
  <c r="F29" i="8"/>
  <c r="G29" i="8"/>
  <c r="J29" i="8"/>
  <c r="K29" i="8"/>
  <c r="L29" i="8"/>
  <c r="M29" i="8"/>
  <c r="N29" i="8"/>
  <c r="O29" i="8"/>
  <c r="R29" i="8"/>
  <c r="S29" i="8"/>
  <c r="T29" i="8"/>
  <c r="U29" i="8"/>
  <c r="V29" i="8"/>
  <c r="W29" i="8"/>
  <c r="AH29" i="8"/>
  <c r="AI29" i="8"/>
  <c r="AJ29" i="8"/>
  <c r="AK29" i="8"/>
  <c r="AL29" i="8"/>
  <c r="AM29" i="8"/>
  <c r="C30" i="8"/>
  <c r="D30" i="8"/>
  <c r="E30" i="8"/>
  <c r="F30" i="8"/>
  <c r="G30" i="8"/>
  <c r="J30" i="8"/>
  <c r="K30" i="8"/>
  <c r="L30" i="8"/>
  <c r="M30" i="8"/>
  <c r="N30" i="8"/>
  <c r="O30" i="8"/>
  <c r="R30" i="8"/>
  <c r="S30" i="8"/>
  <c r="T30" i="8"/>
  <c r="U30" i="8"/>
  <c r="V30" i="8"/>
  <c r="W30" i="8"/>
  <c r="AB30" i="8"/>
  <c r="AC30" i="8"/>
  <c r="AD30" i="8"/>
  <c r="AH30" i="8"/>
  <c r="AI30" i="8"/>
  <c r="AJ30" i="8"/>
  <c r="AK30" i="8"/>
  <c r="AL30" i="8"/>
  <c r="AM30" i="8"/>
  <c r="D31" i="8"/>
  <c r="E31" i="8"/>
  <c r="F31" i="8"/>
  <c r="J31" i="8"/>
  <c r="K31" i="8"/>
  <c r="L31" i="8"/>
  <c r="M31" i="8"/>
  <c r="N31" i="8"/>
  <c r="O31" i="8"/>
  <c r="R31" i="8"/>
  <c r="S31" i="8"/>
  <c r="T31" i="8"/>
  <c r="U31" i="8"/>
  <c r="V31" i="8"/>
  <c r="W31" i="8"/>
  <c r="AH31" i="8"/>
  <c r="AI31" i="8"/>
  <c r="AJ31" i="8"/>
  <c r="AK31" i="8"/>
  <c r="AL31" i="8"/>
  <c r="AM31" i="8"/>
  <c r="B30" i="8"/>
  <c r="B26" i="8"/>
  <c r="A29" i="8"/>
  <c r="I29" i="8"/>
  <c r="A30" i="8"/>
  <c r="I30" i="8"/>
  <c r="A31" i="8"/>
  <c r="Q31" i="8"/>
  <c r="AG30" i="9"/>
  <c r="Y28" i="9"/>
  <c r="AG29" i="9"/>
  <c r="Q30" i="8"/>
  <c r="I31" i="8"/>
  <c r="AG30" i="8"/>
  <c r="Y31" i="8"/>
  <c r="Y30" i="9"/>
  <c r="Y29" i="9"/>
  <c r="Y30" i="8"/>
  <c r="AG31" i="8"/>
  <c r="Y29" i="8"/>
  <c r="AG29" i="8"/>
  <c r="Q29" i="8"/>
  <c r="AG28" i="9"/>
  <c r="E8" i="3"/>
  <c r="F8" i="3"/>
  <c r="G8" i="3"/>
  <c r="H8" i="3"/>
  <c r="I8" i="3"/>
  <c r="D8" i="3"/>
  <c r="V30" i="13"/>
  <c r="V39" i="13"/>
  <c r="W50" i="13"/>
  <c r="Y10" i="9"/>
  <c r="AG11" i="9"/>
  <c r="Y12" i="9"/>
  <c r="Y13" i="9"/>
  <c r="AG14" i="9"/>
  <c r="AG15" i="9"/>
  <c r="Y16" i="9"/>
  <c r="AG17" i="9"/>
  <c r="Y18" i="9"/>
  <c r="AG19" i="9"/>
  <c r="AG20" i="9"/>
  <c r="Y21" i="9"/>
  <c r="Y22" i="9"/>
  <c r="Y23" i="9"/>
  <c r="AG25" i="9"/>
  <c r="AG26" i="9"/>
  <c r="AG27" i="9"/>
  <c r="AG9" i="9"/>
  <c r="A10" i="8"/>
  <c r="I10" i="8"/>
  <c r="AL35" i="13"/>
  <c r="AL34" i="13"/>
  <c r="AL33" i="13"/>
  <c r="AL42" i="13"/>
  <c r="AK50" i="13"/>
  <c r="AL32" i="13"/>
  <c r="AL31" i="13"/>
  <c r="AL30" i="13"/>
  <c r="AD41" i="13"/>
  <c r="AD42" i="13"/>
  <c r="AD43" i="13"/>
  <c r="AD35" i="13"/>
  <c r="AD34" i="13"/>
  <c r="AD40" i="13"/>
  <c r="AD33" i="13"/>
  <c r="AD32" i="13"/>
  <c r="AD31" i="13"/>
  <c r="AD30" i="13"/>
  <c r="V35" i="13"/>
  <c r="V34" i="13"/>
  <c r="V33" i="13"/>
  <c r="V32" i="13"/>
  <c r="V31" i="13"/>
  <c r="N31" i="13"/>
  <c r="N32" i="13"/>
  <c r="N41" i="13"/>
  <c r="L50" i="13"/>
  <c r="N33" i="13"/>
  <c r="N34" i="13"/>
  <c r="N35" i="13"/>
  <c r="N30" i="13"/>
  <c r="G20" i="14"/>
  <c r="G21" i="14"/>
  <c r="G22" i="14"/>
  <c r="G23" i="14"/>
  <c r="G24" i="14"/>
  <c r="G19" i="14"/>
  <c r="F20" i="14"/>
  <c r="F21" i="14"/>
  <c r="F22" i="14"/>
  <c r="F23" i="14"/>
  <c r="F24" i="14"/>
  <c r="F19" i="14"/>
  <c r="E19" i="14"/>
  <c r="E20" i="14"/>
  <c r="E21" i="14"/>
  <c r="E22" i="14"/>
  <c r="E23" i="14"/>
  <c r="E24" i="14"/>
  <c r="D20" i="14"/>
  <c r="D21" i="14"/>
  <c r="D22" i="14"/>
  <c r="D23" i="14"/>
  <c r="D24" i="14"/>
  <c r="D19" i="14"/>
  <c r="C20" i="14"/>
  <c r="C21" i="14"/>
  <c r="C31" i="14"/>
  <c r="D40" i="14"/>
  <c r="C22" i="14"/>
  <c r="C23" i="14"/>
  <c r="C24" i="14"/>
  <c r="C19" i="14"/>
  <c r="C29" i="14"/>
  <c r="B40" i="14"/>
  <c r="A11" i="8"/>
  <c r="Q11" i="8"/>
  <c r="A12" i="8"/>
  <c r="Q12" i="8"/>
  <c r="A13" i="8"/>
  <c r="I13" i="8"/>
  <c r="A14" i="8"/>
  <c r="I14" i="8"/>
  <c r="A15" i="8"/>
  <c r="I15" i="8"/>
  <c r="A16" i="8"/>
  <c r="I16" i="8"/>
  <c r="A17" i="8"/>
  <c r="I17" i="8"/>
  <c r="A18" i="8"/>
  <c r="I18" i="8"/>
  <c r="A19" i="8"/>
  <c r="AG19" i="8"/>
  <c r="A20" i="8"/>
  <c r="Y20" i="8"/>
  <c r="A21" i="8"/>
  <c r="AG21" i="8"/>
  <c r="A22" i="8"/>
  <c r="Q22" i="8"/>
  <c r="A23" i="8"/>
  <c r="Q23" i="8"/>
  <c r="I24" i="8"/>
  <c r="I25" i="8"/>
  <c r="A26" i="8"/>
  <c r="A27" i="8"/>
  <c r="A28" i="8"/>
  <c r="Q28" i="8"/>
  <c r="AG28" i="8"/>
  <c r="I28" i="8"/>
  <c r="Y28" i="8"/>
  <c r="I27" i="8"/>
  <c r="Y27" i="8"/>
  <c r="Q27" i="8"/>
  <c r="AG27" i="8"/>
  <c r="I26" i="8"/>
  <c r="Y26" i="8"/>
  <c r="Q26" i="8"/>
  <c r="AG26" i="8"/>
  <c r="B11" i="2"/>
  <c r="R50" i="13"/>
  <c r="I21" i="8"/>
  <c r="Q21" i="8"/>
  <c r="Q20" i="8"/>
  <c r="Y19" i="8"/>
  <c r="AG25" i="8"/>
  <c r="Y18" i="8"/>
  <c r="Y17" i="8"/>
  <c r="C32" i="14"/>
  <c r="E40" i="14"/>
  <c r="C33" i="14"/>
  <c r="F40" i="14"/>
  <c r="C34" i="14"/>
  <c r="G40" i="14"/>
  <c r="C30" i="14"/>
  <c r="C40" i="14"/>
  <c r="N40" i="13"/>
  <c r="K50" i="13"/>
  <c r="V42" i="13"/>
  <c r="U50" i="13"/>
  <c r="AK23" i="8"/>
  <c r="AK21" i="8"/>
  <c r="AK15" i="8"/>
  <c r="AK14" i="9"/>
  <c r="AK13" i="8"/>
  <c r="AK12" i="9"/>
  <c r="AK24" i="8"/>
  <c r="AK22" i="8"/>
  <c r="AK25" i="9"/>
  <c r="AK14" i="8"/>
  <c r="AK13" i="9"/>
  <c r="L11" i="8"/>
  <c r="L13" i="8"/>
  <c r="L17" i="8"/>
  <c r="L24" i="8"/>
  <c r="L15" i="8"/>
  <c r="L22" i="8"/>
  <c r="L12" i="8"/>
  <c r="L14" i="8"/>
  <c r="L16" i="8"/>
  <c r="L20" i="8"/>
  <c r="L21" i="8"/>
  <c r="L23" i="8"/>
  <c r="L10" i="8"/>
  <c r="V43" i="13"/>
  <c r="V50" i="13"/>
  <c r="V40" i="13"/>
  <c r="S50" i="13"/>
  <c r="V41" i="13"/>
  <c r="T50" i="13"/>
  <c r="AL39" i="13"/>
  <c r="AH50" i="13"/>
  <c r="AL41" i="13"/>
  <c r="AJ50" i="13"/>
  <c r="AL43" i="13"/>
  <c r="AL50" i="13"/>
  <c r="AL44" i="13"/>
  <c r="AM50" i="13"/>
  <c r="N42" i="13"/>
  <c r="M50" i="13"/>
  <c r="Z50" i="13"/>
  <c r="AA50" i="13"/>
  <c r="V44" i="13"/>
  <c r="AB50" i="13"/>
  <c r="AC50" i="13"/>
  <c r="N39" i="13"/>
  <c r="J50" i="13"/>
  <c r="N44" i="13"/>
  <c r="O50" i="13"/>
  <c r="AD39" i="13"/>
  <c r="AL40" i="13"/>
  <c r="N43" i="13"/>
  <c r="N50" i="13"/>
  <c r="AD44" i="13"/>
  <c r="AE50" i="13"/>
  <c r="AI50" i="13"/>
  <c r="I23" i="8"/>
  <c r="Q19" i="8"/>
  <c r="AG10" i="8"/>
  <c r="I22" i="8"/>
  <c r="Q18" i="8"/>
  <c r="Y10" i="8"/>
  <c r="AG20" i="8"/>
  <c r="I20" i="8"/>
  <c r="AG18" i="8"/>
  <c r="I19" i="8"/>
  <c r="AG17" i="8"/>
  <c r="I12" i="8"/>
  <c r="Y21" i="8"/>
  <c r="AG15" i="8"/>
  <c r="I11" i="8"/>
  <c r="Y9" i="9"/>
  <c r="Y25" i="9"/>
  <c r="Y20" i="9"/>
  <c r="Y19" i="9"/>
  <c r="Y15" i="9"/>
  <c r="Y14" i="9"/>
  <c r="AG18" i="9"/>
  <c r="AG16" i="9"/>
  <c r="Y27" i="9"/>
  <c r="Y26" i="9"/>
  <c r="Y17" i="9"/>
  <c r="AG13" i="9"/>
  <c r="AG23" i="9"/>
  <c r="AG12" i="9"/>
  <c r="AG22" i="9"/>
  <c r="AG21" i="9"/>
  <c r="AG10" i="9"/>
  <c r="Y11" i="9"/>
  <c r="Q10" i="8"/>
  <c r="AG16" i="8"/>
  <c r="AG14" i="8"/>
  <c r="Q17" i="8"/>
  <c r="Y25" i="8"/>
  <c r="Y15" i="8"/>
  <c r="AG24" i="8"/>
  <c r="AG13" i="8"/>
  <c r="Q16" i="8"/>
  <c r="Y14" i="8"/>
  <c r="AG23" i="8"/>
  <c r="AG12" i="8"/>
  <c r="Q25" i="8"/>
  <c r="Q15" i="8"/>
  <c r="Y24" i="8"/>
  <c r="Y13" i="8"/>
  <c r="AG22" i="8"/>
  <c r="AG11" i="8"/>
  <c r="Y16" i="8"/>
  <c r="Q14" i="8"/>
  <c r="Y23" i="8"/>
  <c r="Y12" i="8"/>
  <c r="Q24" i="8"/>
  <c r="Q13" i="8"/>
  <c r="Y22" i="8"/>
  <c r="Y11" i="8"/>
  <c r="AD50" i="13"/>
  <c r="U19" i="8"/>
  <c r="U12" i="8"/>
  <c r="U23" i="8"/>
  <c r="U10" i="8"/>
  <c r="U21" i="8"/>
  <c r="U20" i="8"/>
  <c r="U13" i="8"/>
  <c r="U24" i="8"/>
  <c r="U18" i="8"/>
  <c r="U11" i="8"/>
  <c r="U22" i="8"/>
  <c r="U14" i="8"/>
  <c r="AH21" i="8"/>
  <c r="AH22" i="8"/>
  <c r="AH23" i="8"/>
  <c r="AH13" i="8"/>
  <c r="AH12" i="9"/>
  <c r="AH24" i="8"/>
  <c r="AH14" i="8"/>
  <c r="AH13" i="9"/>
  <c r="AH15" i="8"/>
  <c r="AH14" i="9"/>
  <c r="AH25" i="9"/>
  <c r="R10" i="8"/>
  <c r="R21" i="8"/>
  <c r="R11" i="8"/>
  <c r="R22" i="8"/>
  <c r="R12" i="8"/>
  <c r="R23" i="8"/>
  <c r="R13" i="8"/>
  <c r="R24" i="8"/>
  <c r="R14" i="8"/>
  <c r="R15" i="8"/>
  <c r="T12" i="8"/>
  <c r="T23" i="8"/>
  <c r="T10" i="8"/>
  <c r="T21" i="8"/>
  <c r="T15" i="8"/>
  <c r="T20" i="8"/>
  <c r="T13" i="8"/>
  <c r="T24" i="8"/>
  <c r="T18" i="8"/>
  <c r="T11" i="8"/>
  <c r="T22" i="8"/>
  <c r="T14" i="8"/>
  <c r="T19" i="8"/>
  <c r="S17" i="8"/>
  <c r="S10" i="8"/>
  <c r="S21" i="8"/>
  <c r="S15" i="8"/>
  <c r="S20" i="8"/>
  <c r="S13" i="8"/>
  <c r="S24" i="8"/>
  <c r="S18" i="8"/>
  <c r="S11" i="8"/>
  <c r="S22" i="8"/>
  <c r="S16" i="8"/>
  <c r="S23" i="8"/>
  <c r="S12" i="8"/>
  <c r="S19" i="8"/>
  <c r="S14" i="8"/>
  <c r="W14" i="8"/>
  <c r="W23" i="8"/>
  <c r="W12" i="8"/>
  <c r="W10" i="8"/>
  <c r="W21" i="8"/>
  <c r="W15" i="8"/>
  <c r="W13" i="8"/>
  <c r="W24" i="8"/>
  <c r="W22" i="8"/>
  <c r="W11" i="8"/>
  <c r="AE14" i="8"/>
  <c r="AE21" i="8"/>
  <c r="AE23" i="8"/>
  <c r="AE25" i="9"/>
  <c r="AE13" i="8"/>
  <c r="AE15" i="8"/>
  <c r="AE22" i="8"/>
  <c r="AE24" i="8"/>
  <c r="AB19" i="8"/>
  <c r="AB13" i="8"/>
  <c r="AB15" i="8"/>
  <c r="AB17" i="8"/>
  <c r="AB22" i="8"/>
  <c r="AB24" i="8"/>
  <c r="AB14" i="8"/>
  <c r="AB16" i="8"/>
  <c r="AB18" i="8"/>
  <c r="AB20" i="8"/>
  <c r="AB21" i="8"/>
  <c r="AB23" i="8"/>
  <c r="AB25" i="9"/>
  <c r="K11" i="8"/>
  <c r="K13" i="8"/>
  <c r="K15" i="8"/>
  <c r="K17" i="8"/>
  <c r="K19" i="8"/>
  <c r="K22" i="8"/>
  <c r="K24" i="8"/>
  <c r="K10" i="8"/>
  <c r="K12" i="8"/>
  <c r="K14" i="8"/>
  <c r="K16" i="8"/>
  <c r="K18" i="8"/>
  <c r="K20" i="8"/>
  <c r="K21" i="8"/>
  <c r="K23" i="8"/>
  <c r="AD13" i="8"/>
  <c r="AD15" i="8"/>
  <c r="AD19" i="8"/>
  <c r="AD22" i="8"/>
  <c r="AD24" i="8"/>
  <c r="AD20" i="8"/>
  <c r="AD21" i="8"/>
  <c r="AD23" i="8"/>
  <c r="AD25" i="9"/>
  <c r="AD14" i="8"/>
  <c r="V14" i="8"/>
  <c r="V19" i="8"/>
  <c r="V12" i="8"/>
  <c r="V23" i="8"/>
  <c r="V11" i="8"/>
  <c r="V22" i="8"/>
  <c r="V10" i="8"/>
  <c r="V21" i="8"/>
  <c r="V15" i="8"/>
  <c r="V20" i="8"/>
  <c r="V13" i="8"/>
  <c r="V24" i="8"/>
  <c r="V18" i="8"/>
  <c r="N11" i="8"/>
  <c r="N13" i="8"/>
  <c r="N15" i="8"/>
  <c r="N22" i="8"/>
  <c r="N24" i="8"/>
  <c r="N12" i="8"/>
  <c r="N23" i="8"/>
  <c r="N10" i="8"/>
  <c r="N14" i="8"/>
  <c r="N21" i="8"/>
  <c r="AM14" i="8"/>
  <c r="AM13" i="9"/>
  <c r="AM23" i="8"/>
  <c r="AM21" i="8"/>
  <c r="AM15" i="8"/>
  <c r="AM14" i="9"/>
  <c r="AM13" i="8"/>
  <c r="AM12" i="9"/>
  <c r="AM24" i="8"/>
  <c r="AM25" i="9"/>
  <c r="AM22" i="8"/>
  <c r="AL14" i="8"/>
  <c r="AL13" i="9"/>
  <c r="AL23" i="8"/>
  <c r="AL21" i="8"/>
  <c r="AL15" i="8"/>
  <c r="AL14" i="9"/>
  <c r="AL13" i="8"/>
  <c r="AL12" i="9"/>
  <c r="AL24" i="8"/>
  <c r="AL22" i="8"/>
  <c r="AL25" i="9"/>
  <c r="J10" i="8"/>
  <c r="J11" i="8"/>
  <c r="J13" i="8"/>
  <c r="J15" i="8"/>
  <c r="J22" i="8"/>
  <c r="J24" i="8"/>
  <c r="J12" i="8"/>
  <c r="J14" i="8"/>
  <c r="J21" i="8"/>
  <c r="J23" i="8"/>
  <c r="AC13" i="8"/>
  <c r="AC15" i="8"/>
  <c r="AC17" i="8"/>
  <c r="AC19" i="8"/>
  <c r="AC22" i="8"/>
  <c r="AC24" i="8"/>
  <c r="AC21" i="8"/>
  <c r="AC25" i="9"/>
  <c r="AC20" i="8"/>
  <c r="AC14" i="8"/>
  <c r="AC18" i="8"/>
  <c r="AC23" i="8"/>
  <c r="AI17" i="8"/>
  <c r="AI10" i="8"/>
  <c r="AI21" i="8"/>
  <c r="AI15" i="8"/>
  <c r="AI14" i="9"/>
  <c r="AI20" i="8"/>
  <c r="AI13" i="8"/>
  <c r="AI12" i="9"/>
  <c r="AI24" i="8"/>
  <c r="AI18" i="8"/>
  <c r="AI11" i="8"/>
  <c r="AI22" i="8"/>
  <c r="AI16" i="8"/>
  <c r="AI25" i="9"/>
  <c r="AI14" i="8"/>
  <c r="AI13" i="9"/>
  <c r="AI12" i="8"/>
  <c r="AI23" i="8"/>
  <c r="AI19" i="8"/>
  <c r="AA11" i="8"/>
  <c r="AA13" i="8"/>
  <c r="AA15" i="8"/>
  <c r="AA17" i="8"/>
  <c r="AA19" i="8"/>
  <c r="AA22" i="8"/>
  <c r="AA24" i="8"/>
  <c r="AA10" i="8"/>
  <c r="AA12" i="8"/>
  <c r="AA16" i="8"/>
  <c r="AA18" i="8"/>
  <c r="AA20" i="8"/>
  <c r="AA21" i="8"/>
  <c r="AA23" i="8"/>
  <c r="AA25" i="9"/>
  <c r="AA14" i="8"/>
  <c r="Z13" i="8"/>
  <c r="Z15" i="8"/>
  <c r="Z22" i="8"/>
  <c r="Z24" i="8"/>
  <c r="Z14" i="8"/>
  <c r="Z21" i="8"/>
  <c r="Z23" i="8"/>
  <c r="Z25" i="9"/>
  <c r="M10" i="8"/>
  <c r="M11" i="8"/>
  <c r="M13" i="8"/>
  <c r="M15" i="8"/>
  <c r="M22" i="8"/>
  <c r="M24" i="8"/>
  <c r="M12" i="8"/>
  <c r="M23" i="8"/>
  <c r="M14" i="8"/>
  <c r="M16" i="8"/>
  <c r="M21" i="8"/>
  <c r="M20" i="8"/>
  <c r="M18" i="8"/>
  <c r="O12" i="8"/>
  <c r="O14" i="8"/>
  <c r="O21" i="8"/>
  <c r="O23" i="8"/>
  <c r="O11" i="8"/>
  <c r="O13" i="8"/>
  <c r="O15" i="8"/>
  <c r="O22" i="8"/>
  <c r="O24" i="8"/>
  <c r="O10" i="8"/>
  <c r="AJ23" i="8"/>
  <c r="AJ21" i="8"/>
  <c r="AJ15" i="8"/>
  <c r="AJ14" i="9"/>
  <c r="AJ13" i="8"/>
  <c r="AJ12" i="9"/>
  <c r="AJ24" i="8"/>
  <c r="AJ22" i="8"/>
  <c r="AJ25" i="9"/>
  <c r="AJ14" i="8"/>
  <c r="AJ13" i="9"/>
  <c r="F31" i="13"/>
  <c r="F32" i="13"/>
  <c r="F33" i="13"/>
  <c r="F34" i="13"/>
  <c r="F35" i="13"/>
  <c r="F30" i="13"/>
  <c r="F39" i="13"/>
  <c r="B50" i="13"/>
  <c r="B10" i="8"/>
  <c r="B21" i="8"/>
  <c r="B22" i="8"/>
  <c r="B12" i="8"/>
  <c r="B23" i="8"/>
  <c r="B13" i="8"/>
  <c r="B24" i="8"/>
  <c r="B14" i="8"/>
  <c r="B15" i="8"/>
  <c r="B11" i="8"/>
  <c r="B19" i="8"/>
  <c r="F40" i="13"/>
  <c r="C50" i="13"/>
  <c r="F44" i="13"/>
  <c r="G50" i="13"/>
  <c r="F41" i="13"/>
  <c r="D50" i="13"/>
  <c r="F43" i="13"/>
  <c r="F50" i="13"/>
  <c r="F42" i="13"/>
  <c r="E50" i="13"/>
  <c r="G14" i="8"/>
  <c r="G19" i="8"/>
  <c r="G12" i="8"/>
  <c r="G17" i="8"/>
  <c r="G10" i="8"/>
  <c r="G21" i="8"/>
  <c r="G15" i="8"/>
  <c r="G13" i="8"/>
  <c r="G24" i="8"/>
  <c r="G11" i="8"/>
  <c r="C17" i="8"/>
  <c r="C10" i="8"/>
  <c r="C21" i="8"/>
  <c r="C15" i="8"/>
  <c r="C20" i="8"/>
  <c r="C14" i="8"/>
  <c r="C13" i="8"/>
  <c r="C24" i="8"/>
  <c r="C18" i="8"/>
  <c r="C11" i="8"/>
  <c r="C22" i="8"/>
  <c r="C16" i="8"/>
  <c r="C19" i="8"/>
  <c r="C23" i="8"/>
  <c r="C12" i="8"/>
  <c r="E12" i="8"/>
  <c r="E23" i="8"/>
  <c r="E17" i="8"/>
  <c r="E21" i="8"/>
  <c r="E15" i="8"/>
  <c r="E20" i="8"/>
  <c r="E13" i="8"/>
  <c r="E24" i="8"/>
  <c r="E18" i="8"/>
  <c r="E11" i="8"/>
  <c r="E22" i="8"/>
  <c r="E14" i="8"/>
  <c r="F14" i="8"/>
  <c r="F12" i="8"/>
  <c r="F11" i="8"/>
  <c r="F21" i="8"/>
  <c r="F15" i="8"/>
  <c r="F13" i="8"/>
  <c r="F24" i="8"/>
  <c r="D12" i="8"/>
  <c r="D23" i="8"/>
  <c r="D10" i="8"/>
  <c r="D21" i="8"/>
  <c r="D15" i="8"/>
  <c r="D13" i="8"/>
  <c r="D24" i="8"/>
  <c r="D18" i="8"/>
  <c r="D11" i="8"/>
  <c r="D22" i="8"/>
  <c r="D14" i="8"/>
  <c r="B11" i="7"/>
  <c r="B11" i="5"/>
  <c r="B12" i="5"/>
  <c r="B13" i="5"/>
  <c r="B14" i="5"/>
  <c r="B12" i="7"/>
  <c r="I8" i="7"/>
  <c r="H8" i="7"/>
  <c r="G8" i="7"/>
  <c r="F8" i="7"/>
  <c r="E8" i="7"/>
  <c r="D8" i="7"/>
  <c r="I7" i="7"/>
  <c r="H7" i="7"/>
  <c r="G7" i="7"/>
  <c r="F7" i="7"/>
  <c r="E7" i="7"/>
  <c r="D7" i="7"/>
  <c r="I6" i="7"/>
  <c r="H6" i="7"/>
  <c r="G6" i="7"/>
  <c r="F6" i="7"/>
  <c r="E6" i="7"/>
  <c r="D6" i="7"/>
  <c r="I5" i="7"/>
  <c r="H5" i="7"/>
  <c r="G5" i="7"/>
  <c r="F5" i="7"/>
  <c r="E5" i="7"/>
  <c r="D5" i="7"/>
  <c r="I4" i="7"/>
  <c r="H4" i="7"/>
  <c r="G4" i="7"/>
  <c r="F4" i="7"/>
  <c r="E4" i="7"/>
  <c r="D4" i="7"/>
  <c r="I3" i="7"/>
  <c r="H3" i="7"/>
  <c r="G3" i="7"/>
  <c r="F3" i="7"/>
  <c r="E3" i="7"/>
  <c r="D3" i="7"/>
  <c r="B11" i="6"/>
  <c r="B12" i="6"/>
  <c r="I8" i="6"/>
  <c r="H8" i="6"/>
  <c r="G8" i="6"/>
  <c r="F8" i="6"/>
  <c r="E8" i="6"/>
  <c r="D8" i="6"/>
  <c r="I7" i="6"/>
  <c r="H7" i="6"/>
  <c r="G7" i="6"/>
  <c r="F7" i="6"/>
  <c r="E7" i="6"/>
  <c r="D7" i="6"/>
  <c r="I6" i="6"/>
  <c r="H6" i="6"/>
  <c r="G6" i="6"/>
  <c r="F6" i="6"/>
  <c r="E6" i="6"/>
  <c r="D6" i="6"/>
  <c r="I5" i="6"/>
  <c r="H5" i="6"/>
  <c r="G5" i="6"/>
  <c r="F5" i="6"/>
  <c r="E5" i="6"/>
  <c r="D5" i="6"/>
  <c r="I4" i="6"/>
  <c r="H4" i="6"/>
  <c r="G4" i="6"/>
  <c r="F4" i="6"/>
  <c r="E4" i="6"/>
  <c r="D4" i="6"/>
  <c r="I3" i="6"/>
  <c r="H3" i="6"/>
  <c r="G3" i="6"/>
  <c r="F3" i="6"/>
  <c r="E3" i="6"/>
  <c r="D3" i="6"/>
  <c r="I8" i="5"/>
  <c r="H8" i="5"/>
  <c r="G8" i="5"/>
  <c r="F8" i="5"/>
  <c r="E8" i="5"/>
  <c r="D8" i="5"/>
  <c r="I7" i="5"/>
  <c r="H7" i="5"/>
  <c r="G7" i="5"/>
  <c r="F7" i="5"/>
  <c r="E7" i="5"/>
  <c r="D7" i="5"/>
  <c r="I6" i="5"/>
  <c r="H6" i="5"/>
  <c r="G6" i="5"/>
  <c r="F6" i="5"/>
  <c r="E6" i="5"/>
  <c r="D6" i="5"/>
  <c r="I5" i="5"/>
  <c r="H5" i="5"/>
  <c r="G5" i="5"/>
  <c r="F5" i="5"/>
  <c r="E5" i="5"/>
  <c r="D5" i="5"/>
  <c r="I4" i="5"/>
  <c r="H4" i="5"/>
  <c r="G4" i="5"/>
  <c r="F4" i="5"/>
  <c r="E4" i="5"/>
  <c r="D4" i="5"/>
  <c r="I3" i="5"/>
  <c r="H3" i="5"/>
  <c r="G3" i="5"/>
  <c r="F3" i="5"/>
  <c r="E3" i="5"/>
  <c r="D3" i="5"/>
  <c r="B11" i="4"/>
  <c r="B13" i="4"/>
  <c r="I8" i="4"/>
  <c r="H8" i="4"/>
  <c r="G8" i="4"/>
  <c r="F8" i="4"/>
  <c r="E8" i="4"/>
  <c r="D8" i="4"/>
  <c r="I7" i="4"/>
  <c r="H7" i="4"/>
  <c r="G7" i="4"/>
  <c r="F7" i="4"/>
  <c r="E7" i="4"/>
  <c r="D7" i="4"/>
  <c r="I6" i="4"/>
  <c r="H6" i="4"/>
  <c r="G6" i="4"/>
  <c r="F6" i="4"/>
  <c r="E6" i="4"/>
  <c r="D6" i="4"/>
  <c r="I5" i="4"/>
  <c r="H5" i="4"/>
  <c r="G5" i="4"/>
  <c r="F5" i="4"/>
  <c r="E5" i="4"/>
  <c r="D5" i="4"/>
  <c r="I4" i="4"/>
  <c r="H4" i="4"/>
  <c r="G4" i="4"/>
  <c r="F4" i="4"/>
  <c r="E4" i="4"/>
  <c r="D4" i="4"/>
  <c r="I3" i="4"/>
  <c r="H3" i="4"/>
  <c r="G3" i="4"/>
  <c r="F3" i="4"/>
  <c r="E3" i="4"/>
  <c r="D3" i="4"/>
  <c r="B13" i="2"/>
  <c r="E4" i="2"/>
  <c r="F4" i="2"/>
  <c r="G4" i="2"/>
  <c r="H4" i="2"/>
  <c r="I4" i="2"/>
  <c r="E5" i="2"/>
  <c r="F5" i="2"/>
  <c r="G5" i="2"/>
  <c r="H5" i="2"/>
  <c r="I5" i="2"/>
  <c r="E6" i="2"/>
  <c r="F6" i="2"/>
  <c r="G6" i="2"/>
  <c r="H6" i="2"/>
  <c r="I6" i="2"/>
  <c r="E7" i="2"/>
  <c r="F7" i="2"/>
  <c r="G7" i="2"/>
  <c r="H7" i="2"/>
  <c r="I7" i="2"/>
  <c r="E8" i="2"/>
  <c r="F8" i="2"/>
  <c r="G8" i="2"/>
  <c r="H8" i="2"/>
  <c r="I8" i="2"/>
  <c r="D8" i="2"/>
  <c r="D7" i="2"/>
  <c r="D6" i="2"/>
  <c r="D5" i="2"/>
  <c r="D4" i="2"/>
  <c r="E3" i="2"/>
  <c r="F3" i="2"/>
  <c r="G3" i="2"/>
  <c r="H3" i="2"/>
  <c r="I3" i="2"/>
  <c r="D3" i="2"/>
  <c r="B8" i="1"/>
  <c r="B10" i="1"/>
  <c r="B13" i="7"/>
  <c r="B14" i="7"/>
  <c r="B13" i="6"/>
  <c r="B14" i="6"/>
  <c r="B12" i="4"/>
  <c r="B14" i="4"/>
  <c r="B12" i="2"/>
  <c r="B14" i="2"/>
  <c r="B9" i="1"/>
  <c r="B1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tc={E01DBFE4-C931-426F-9B35-547B91B273EC}</author>
  </authors>
  <commentList>
    <comment ref="F38" authorId="0" shapeId="0" xr:uid="{E01DBFE4-C931-426F-9B35-547B91B273EC}">
      <text>
        <t>[Threaded comment]
Your version of Excel allows you to read this threaded comment; however, any edits to it will get removed if the file is opened in a newer version of Excel. Learn more: https://go.microsoft.com/fwlink/?linkid=870924
Comment:
    Weights computed as the share of total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CHAMBERLIN, Jordan (CIMMYT-Kenya)</author>
    <author>tc={E7EB608B-D90F-4875-B6B0-92AE1F251684}</author>
  </authors>
  <commentList>
    <comment ref="C6" authorId="0" shapeId="0" xr:uid="{E8F24FE7-74F2-4D5D-95F1-2103B26C1914}">
      <text>
        <r>
          <rPr>
            <b/>
            <sz val="9"/>
            <color indexed="81"/>
            <rFont val="Tahoma"/>
            <family val="2"/>
          </rPr>
          <t xml:space="preserve">Conflict Index
</t>
        </r>
      </text>
    </comment>
    <comment ref="D6" authorId="0" shapeId="0" xr:uid="{853EADA4-110F-4505-9617-8954DAB95A28}">
      <text>
        <r>
          <rPr>
            <b/>
            <sz val="9"/>
            <color indexed="81"/>
            <rFont val="Tahoma"/>
            <family val="2"/>
          </rPr>
          <t>Corruption Perceptions Index</t>
        </r>
      </text>
    </comment>
    <comment ref="E6" authorId="0" shapeId="0" xr:uid="{4545CFBD-BE9E-4D56-BBEB-68FC77C61F6A}">
      <text>
        <r>
          <rPr>
            <b/>
            <sz val="9"/>
            <color indexed="81"/>
            <rFont val="Tahoma"/>
            <family val="2"/>
          </rPr>
          <t xml:space="preserve">Ease of Doing Business Score
</t>
        </r>
      </text>
    </comment>
    <comment ref="F6" authorId="0" shapeId="0" xr:uid="{1906A2A8-F84D-43DF-AA3A-BBC2872C016C}">
      <text>
        <r>
          <rPr>
            <b/>
            <sz val="9"/>
            <color indexed="81"/>
            <rFont val="Tahoma"/>
            <family val="2"/>
          </rPr>
          <t xml:space="preserve">Empowerment Rights Index: </t>
        </r>
        <r>
          <rPr>
            <sz val="9"/>
            <color indexed="81"/>
            <rFont val="Tahoma"/>
            <family val="2"/>
          </rPr>
          <t xml:space="preserve">
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 </t>
        </r>
      </text>
    </comment>
    <comment ref="G6" authorId="0" shapeId="0" xr:uid="{D7F97A4C-8D23-4DCB-A81D-F10DFB54D861}">
      <text>
        <r>
          <rPr>
            <b/>
            <sz val="9"/>
            <color indexed="81"/>
            <rFont val="Tahoma"/>
            <family val="2"/>
          </rPr>
          <t xml:space="preserve">Fragile States Index
</t>
        </r>
      </text>
    </comment>
    <comment ref="C18" authorId="1" shapeId="0" xr:uid="{E7EB608B-D90F-4875-B6B0-92AE1F251684}">
      <text>
        <t>[Threaded comment]
Your version of Excel allows you to read this threaded comment; however, any edits to it will get removed if the file is opened in a newer version of Excel. Learn more: https://go.microsoft.com/fwlink/?linkid=870924
Comment:
    Here I’ve rescaled to 0-1 range, based on my understand of the original index range, and inverted indices where low scores were better, so that now high scores are always better</t>
      </text>
    </comment>
  </commentList>
</comments>
</file>

<file path=xl/sharedStrings.xml><?xml version="1.0" encoding="utf-8"?>
<sst xmlns="http://schemas.openxmlformats.org/spreadsheetml/2006/main" count="1464" uniqueCount="589">
  <si>
    <r>
      <t>Countries, per region, worked on by [</t>
    </r>
    <r>
      <rPr>
        <b/>
        <i/>
        <sz val="11"/>
        <color theme="1"/>
        <rFont val="Aptos Narrow"/>
        <family val="2"/>
        <scheme val="minor"/>
      </rPr>
      <t>Insert Program/Accelerator name</t>
    </r>
    <r>
      <rPr>
        <b/>
        <sz val="11"/>
        <color theme="1"/>
        <rFont val="Aptos Narrow"/>
        <family val="2"/>
        <scheme val="minor"/>
      </rPr>
      <t>]</t>
    </r>
  </si>
  <si>
    <t>CGIAR regions and countries.xlsx</t>
  </si>
  <si>
    <t>&lt;-- Spreadsheet showing the CGIAR regions and the countries that fall into these regions</t>
  </si>
  <si>
    <t>Program and Accelerator's Countries (2024).xlsx</t>
  </si>
  <si>
    <t xml:space="preserve">&lt;-- Spreadsheet showing the countries that each Program/Accelerator is working on (as per what was submitted in 2024 for the original methodology). </t>
  </si>
  <si>
    <t>LAC</t>
  </si>
  <si>
    <t>CWANA</t>
  </si>
  <si>
    <t>WCA</t>
  </si>
  <si>
    <t>ESA</t>
  </si>
  <si>
    <t>SA</t>
  </si>
  <si>
    <t>SEA</t>
  </si>
  <si>
    <t>Guatemala</t>
  </si>
  <si>
    <t>Benin</t>
  </si>
  <si>
    <t>Ethiopia</t>
  </si>
  <si>
    <t>Bangladesh</t>
  </si>
  <si>
    <t>the Philippines</t>
  </si>
  <si>
    <t>Honduras</t>
  </si>
  <si>
    <t>Ghana</t>
  </si>
  <si>
    <t>Kenya</t>
  </si>
  <si>
    <t>India</t>
  </si>
  <si>
    <t>Vietnam</t>
  </si>
  <si>
    <t>Nigeria</t>
  </si>
  <si>
    <t>Malawi</t>
  </si>
  <si>
    <t>Sri Lanka</t>
  </si>
  <si>
    <t>Tanzania</t>
  </si>
  <si>
    <t>Uganda</t>
  </si>
  <si>
    <t>VH</t>
  </si>
  <si>
    <t>H</t>
  </si>
  <si>
    <t>MH</t>
  </si>
  <si>
    <t>M</t>
  </si>
  <si>
    <t>L</t>
  </si>
  <si>
    <t>#</t>
  </si>
  <si>
    <t>HLO + concise description</t>
  </si>
  <si>
    <t>HLO count:</t>
  </si>
  <si>
    <t>AoW1-Suite of solutions focused on consumers that promote consumption of sustainable heathy diets co-developed, tested, and scaled with technical support and country engagement</t>
  </si>
  <si>
    <t>Sets of 5:</t>
  </si>
  <si>
    <t>AoW1-Suite of solutions focused on vendors that promote employment opportunities and the sale of sustainable nutritious foods co-developed, tested, and scaled with technical support and country engagement</t>
  </si>
  <si>
    <t>Remainder:</t>
  </si>
  <si>
    <t>AoW1-Policy options and engagement that support effective management of national action plans and other policy processes, for food systems transformation in support of sustainable healthy diets</t>
  </si>
  <si>
    <t>Max score:</t>
  </si>
  <si>
    <t>AoW2-Suite of Solutions to lower transaction costs</t>
  </si>
  <si>
    <t>AoW2-Suite of Solutions to catalyze business growth</t>
  </si>
  <si>
    <t>AoW2-Trade and Limiting UPC Consumption</t>
  </si>
  <si>
    <t>AoW3-Suite of tested end-to-end solutions for health and agriculture extension agents, fruit and vegetable vendors/retailers, processors, traders and producers that promote healthy food choice behaviors of consumers, healthy food environments, food quality and safety, reduce food loss, and increase profits co-developed, tested, and scaled.</t>
  </si>
  <si>
    <t>AoW3-Suite of end-to-end solutions for health and agriculture extension agents, aquatic food vendors/retailers processors, and traders that promote healthy food choice behaviors of consumers, healthy food environments, food quality and safety, reduce food loss, and increase profits co-developed, tested, and scaled.</t>
  </si>
  <si>
    <t>AoW3-Suite of end-to-end solutions for health and agriculture extension agents, terrestrial animal-source vendors/retailers processors, and traders that promote healthy food choice behaviors of consumers, healthy food environments, food quality and safety, reduce food loss, and increase profits co-developed, tested, and scaled.</t>
  </si>
  <si>
    <t>AoW3-Suite of integrated end-to-end solutions for health and agriculture extension agents, perishable nutrient-rich food vendors/retailers, processors, traders and producers that promote healthy food choice behaviors of consumers, healthy food environments, food quality and safety, reduce food loss,and increase profits co-developed, tested, and scaled.</t>
  </si>
  <si>
    <t>AoW3-Policy options that address constraints to sustainable healthy diets</t>
  </si>
  <si>
    <t>AoW4-Suite of solutions for producers and processors that address constraints to sustainable healthy diets co-developed, tested, and scaled with technical support and country engagement.</t>
  </si>
  <si>
    <t>AoW4-Policy options and engagement that address constraints to sustainable healthy diets.</t>
  </si>
  <si>
    <t>AoW4-Framework for embedding nutrition into breeding pipelines and processes.</t>
  </si>
  <si>
    <t>AoW4-Suite of solutions for traders and vendors that address constraints to sustainable healthy diets co-developed, tested, and scaled with technical support and country engagement.</t>
  </si>
  <si>
    <t>AoW4-Suite of solutions to support consumers awareness, preference, affordability, and utilization of biofortified and health-enhancing crops in their diets.</t>
  </si>
  <si>
    <t>AoW5-Suite of multisectoral solutions for government and non-government organizations that address constraints to sustainable healthy diets co-developed, tested, and scaled with technical support and country engagement</t>
  </si>
  <si>
    <t>AoW6-Synthesized knowledge products across AoWs and disseminated</t>
  </si>
  <si>
    <t>AoW6-Regional food systems transformation coordination mechanisms disseminated</t>
  </si>
  <si>
    <t>AoW6-Targeted capacity-sharing events addressing evidence to policy actions and strategic engagement to influence food systems thinking to promote positive transformative change among different stakeholders including CoPs.</t>
  </si>
  <si>
    <t>AoW6-Regional, continental FS leadership development events to promote BDN outcomes for FST</t>
  </si>
  <si>
    <t>AoW6-Task force that guides the CGIAR Portfolio along pathways that lead to credible impacts on nutrition, health, and food security</t>
  </si>
  <si>
    <t>BASE Indicator database - (from 2024).xlsx</t>
  </si>
  <si>
    <t>&lt;-- source of Baseline data</t>
  </si>
  <si>
    <t>Projected Benefits Data (Nov 2024) - With Analysis.xlsx</t>
  </si>
  <si>
    <t>&lt;-- source of Projected data (with graphs)</t>
  </si>
  <si>
    <t>Impact Area</t>
  </si>
  <si>
    <t>Projected to 2040 (without CGIAR intervention) or baseline data?</t>
  </si>
  <si>
    <t>Indicator</t>
  </si>
  <si>
    <t>r_lac</t>
  </si>
  <si>
    <t>r_cwana</t>
  </si>
  <si>
    <t>r_wca</t>
  </si>
  <si>
    <t>r_esa</t>
  </si>
  <si>
    <t>r_sa</t>
  </si>
  <si>
    <t>r_sea</t>
  </si>
  <si>
    <t>Nutrition</t>
  </si>
  <si>
    <t>Baseline data</t>
  </si>
  <si>
    <t>Prevalence of stunting (height for age &lt;-2 standard deviation from the median of the World Health Organization (WHO) Child Growth Standards) % children under 5 years of age</t>
  </si>
  <si>
    <t>Prevalence of wasting (weight for height &gt;+2 or &lt;-2 standard deviation from the median of the WHO Child Growth Standards) % children under 5 years of age</t>
  </si>
  <si>
    <t>% of population unable to afford a healthy diet</t>
  </si>
  <si>
    <t>Women not meeting minimum dietary diversity (MDD-W)(%)</t>
  </si>
  <si>
    <t>Women meeting minimum dietary diversity (MDD-W)(%)</t>
  </si>
  <si>
    <t>GloMIP Nutrition Priority Index based on indicators in rows 5-8</t>
  </si>
  <si>
    <t>Gender</t>
  </si>
  <si>
    <t>Proportion of youth (aged 15-24 years) not in education, employment or training (NEET) (%)</t>
  </si>
  <si>
    <t>Gender Development Index (GDI)</t>
  </si>
  <si>
    <t>GDI measures gender inequalities in achievement in three basic dimensions of human development: health, measured by female and male life expectancy at birth; education, measured by female and male expected years of schooling for children and female and male mean years of schooling for adults ages 25 years and older; and command over economic resources, measured by female and male estimated earned income.</t>
  </si>
  <si>
    <t>Gender Inequality Index (GII)</t>
  </si>
  <si>
    <t>GII is a composite metric of gender inequality using three dimensions: reproductive health, empowerment and the labour market. A low GII value indicates low inequality between women and men, and vice-versa.</t>
  </si>
  <si>
    <t>Poverty</t>
  </si>
  <si>
    <t>The ratio of the people employed in agriculture in rural areas over all people employed in rural areas"</t>
  </si>
  <si>
    <t>Climate</t>
  </si>
  <si>
    <t>Vulnerability index of the geography (exposure, sensitivity and adaptive capacity in six life-supporting sectors: food, water, health, ecosystem services, human habitat, and infrastructure).</t>
  </si>
  <si>
    <t xml:space="preserve">Emissions intensity - CO2eq emissions from croplands (kg/ha) (Carlson et al., 2017) </t>
  </si>
  <si>
    <t>CRI - Climate Risk Index - the index of the level of exposure and vulnerability to extreme events such as storms, floods and heatwaves based on historic data</t>
  </si>
  <si>
    <t>Environment</t>
  </si>
  <si>
    <t>Consumptive blue and green water used in food production (m3/ha)</t>
  </si>
  <si>
    <t>Soil erosion rate (/Ha)</t>
  </si>
  <si>
    <t>Forest area lost (%) - the percentage of forested area (%) lost between 2010 and 2020</t>
  </si>
  <si>
    <t>GBI - Global Biodiversity Index - Total number of plant, reptile, mammal, bird, fish and amphibian species</t>
  </si>
  <si>
    <t>Sustainable agriculture score - Index quantifying progress toward productive and sustainable agriculture (current status score)</t>
  </si>
  <si>
    <t>Projected to 2040 (without CGIAR intervention)</t>
  </si>
  <si>
    <t>Projected to 2040</t>
  </si>
  <si>
    <t xml:space="preserve">Prevalence of Undernourishment - Share of total population living below the minimum calorie daily threshold </t>
  </si>
  <si>
    <t xml:space="preserve">WE CURRENTLY DON’T HAVE APPROPRIATE INDICATORS PROJECTED FOR THE GENDER IMPACT AREA - PLEASE USE BASELINE DATA ONLY </t>
  </si>
  <si>
    <t>Poverty Headcount Rate ($2.15) - Share of total population living below the poverty line</t>
  </si>
  <si>
    <t>Poverty Headcount Rate ($3.65) - Share of total population living below the poverty line</t>
  </si>
  <si>
    <t>Poverty Headcount Rate ($6.85) - Share of total population living below the poverty line</t>
  </si>
  <si>
    <t>Agrifood System Jobs (incl. subsistence farming and informal sector) - millions of workers</t>
  </si>
  <si>
    <t>Agrifood System GDP Per Worker - US$ per worker</t>
  </si>
  <si>
    <t xml:space="preserve">Agrifood System Greenhouse Gas (GHG) Emissions </t>
  </si>
  <si>
    <t>Prevalence of Undernourishment</t>
  </si>
  <si>
    <t>Undernourished Population</t>
  </si>
  <si>
    <t>Poverty Headcount Rate ($2.15)</t>
  </si>
  <si>
    <t>Poverty Headcount Rate ($3.65)</t>
  </si>
  <si>
    <t>Poverty Headcount Rate ($6.85)</t>
  </si>
  <si>
    <r>
      <t xml:space="preserve">Agrifood System Jobs </t>
    </r>
    <r>
      <rPr>
        <sz val="14"/>
        <color theme="1"/>
        <rFont val="Aptos Narrow"/>
        <family val="2"/>
        <scheme val="minor"/>
      </rPr>
      <t>(incl. subsistence farming and informal sector)</t>
    </r>
  </si>
  <si>
    <r>
      <t xml:space="preserve">Agricultural Jobs </t>
    </r>
    <r>
      <rPr>
        <sz val="14"/>
        <color theme="1"/>
        <rFont val="Aptos Narrow"/>
        <family val="2"/>
        <scheme val="minor"/>
      </rPr>
      <t>(incl. subsistence farming and informal sector)</t>
    </r>
  </si>
  <si>
    <t>Agricultural Greenhouse Gas (GHG) Emissions</t>
  </si>
  <si>
    <t>FS Indicators</t>
  </si>
  <si>
    <t>AoW1</t>
  </si>
  <si>
    <t>We proportionally reduced the scores to meet the maxima.</t>
  </si>
  <si>
    <t>Total score by column</t>
  </si>
  <si>
    <t>AoW2</t>
  </si>
  <si>
    <t>VH count by column</t>
  </si>
  <si>
    <t>AoW3</t>
  </si>
  <si>
    <t>H count by column</t>
  </si>
  <si>
    <t>AoW4</t>
  </si>
  <si>
    <t>MH count by column</t>
  </si>
  <si>
    <t>AoW5</t>
  </si>
  <si>
    <t>M count by column</t>
  </si>
  <si>
    <t>AoW6</t>
  </si>
  <si>
    <t>L count by column</t>
  </si>
  <si>
    <t>Current state (across the Global South)</t>
  </si>
  <si>
    <t>Ideal state (across the Global South)</t>
  </si>
  <si>
    <t>Assumptions (for region-specific scores)</t>
  </si>
  <si>
    <t>Requirements for success 
(internal to P/A)</t>
  </si>
  <si>
    <t>Requirements for success 
(from other P/As)</t>
  </si>
  <si>
    <t>HLO</t>
  </si>
  <si>
    <t xml:space="preserve">1. Behavior change solutions for consumers in LMICs exist (like national Food-Based Dietary Guidelines), but (a) evidence on their effectiveness is lacking, (b) they are not being used at scale, and (c) they do not address enough components of the food system to make an impact (in other words, they are not transformative solutions).
2. There are very few known solutions in LMICs that address the food environment.
3. Metrics are not all-encompassing.
4. Metrics are not being used by gov'ts for decisionmaking.
5. Uneven willingness to act
6. There may be information on what governments can do, but very little information on how do it. </t>
  </si>
  <si>
    <t xml:space="preserve">1. Behavior change solutions for consumers in LMICs are evidence-based, used at scale and broad enough to contribute to meaningful positive food system transformation.
2. Key evidence-based solutions to shape LMIC food environments in favor of sustainable healthy diets are widely available and effecively used.
3. Coherent, complete and consistent metrics are widely used.
4. These metrics guide governmental decision-making contributing to greater consumption of sustainable healthy diets in LMICs.
5. Political barriers and lock-ins are overcome with governments and other food system stakeholders willing and able to act. 
6. Clear policy roadmaps based on solid evidence exist to guide governmental decision-making. </t>
  </si>
  <si>
    <t xml:space="preserve">WCA - There are few behavior change solutions currently under implementation across WCA countries. Therefore there is potential for very high change in this region. 
ESA &amp; SA - Some initial advances such as FBDG exist in some countries but there is limited work at scale, scant evidence and relatively low willingness to act. We feel that this region shows a high potential for impact.  
LAC &amp; SEA - These regions have done more work on consumer-facing solutions including FBDG as well as innovations around food labeling, taxes on sugar sweetened beverages and policy control of food companies in terms of product formulation and marketing. Despite this, evidence remains spotty on the effectiveness of these approaches. CGIAR has much to learn here with solid partners. We estimate a medium high potential for impact here. </t>
  </si>
  <si>
    <t>Evidence is relevant (helps meet government actors' goals) and timely for government actors to use. 
Gov’t actors perceive their institutions have the capacity to implement the solutions.</t>
  </si>
  <si>
    <t xml:space="preserve">From CGIAR's production-oriented Programs: We need sustainable nutritious foods to be available, affordable, safe, sustainably produced even in the midst of local and global shocks and resilient in the face of climate change. 
Scaling for Impact: We'll need their expertise to help us scale our own tested solutions. </t>
  </si>
  <si>
    <t>1. There is a lack of data about MSMEs and informal actors in LMICs - what are barriers and constraints to their businesses, what incentives are there to grow their business, and similar questions for barriers/constraints/incentives for selling sustainable nutritious foods. 
2. There is a lack of data on the presence of healthy foods being sold by MSMEs and informal actors in LMICs.
3. There are few evidence-based solutions for how to improve conditions for MSMEs and informal actors in LMICs selling food. 
4. The increasing presence of ultra-processed foods (UPFs) combined with infrastructure realities (e.g., widely variable access to cold storage and clean water) changes the cost-benefits for MSME and informal actors. 
5. Successful and aggressive commercial strategies of multinational food companies increase the availability and affordability of UPFs being offered by MSMEs and informal actors in LMICs.</t>
  </si>
  <si>
    <t>1. Deeper understanding of MSMEs and informal sector in LMICs drives effective support for them to provide sustainable nutritious foods.
2. The role of MSMEs and informal actors in providing sustainable nutritious foods is well documented and widely understood in LMICs.
3. A suite of evidence-based solutions exists to support the sale of sustainable nutritous foods by MSMEs and informal actors in LMICs.
4. There is growing recognition of how infrastructure realities and the rise of UPFs influence MSME decision-making, enabling more informed strategies to support healthier food environments.
5. Smart evidence-based gov't regulations are in place that constrain and limit the spread of UPFs and favor more sustainable nutritious foods.</t>
  </si>
  <si>
    <t xml:space="preserve">WCA, ESA, SA, SEA - These regions present low levels of data on the role of MSMEs and informal actors in the provision of sustainable nutritious foods. Likewise few evidenced-based solutions have been identified and tested at scale despite the increasing presence of UPFs in their food environments. If BDN can provide evidence to change this, we feel there is potential of high potential impact.
LAC - This region has some modest advances compared to other regions in terms of data and understanding of the role of MSMEs and informal actors in the provision of sustainable nutritious foods. Despite that, there are significant political headwinds to act in the food environment which is further exacerbated by the rapid expansion of UPFs driven by agressive commercial strategies. There are modest attempts to counteract this with labeling, taxation and marketing control. If BDN and key regional partners can provide more consistent evidence, we assess a medium high potential for impact.  </t>
  </si>
  <si>
    <t>Evidence is relevant (helps meet their goals) and timely for government actors to use. 
Gov’t actors perceive their institutions have the capacity to implement the solutions.
MSMEs and informal actors perceive the solutions are not harmful to their profit margin and have the capacity to implement the solutions.</t>
  </si>
  <si>
    <t xml:space="preserve">We don't think any other Programs are addressing this.
Scaling for Impact: We'll need their expertise to help us scale our own tested solutions. </t>
  </si>
  <si>
    <t xml:space="preserve">1. Food System Transformation National Action Plans are being developed but at various levels of detail, and hardly being implemented.
2. Lack of policy coherence. There is a lack of clear and consistent food system policies across levels and sectors of government in LMICs.
3. Lack of policy alignment. For example, agricultural policies emphasize maximizing production for economic growth while health policies emphasize health promotion...in some cases, without putting enough emphasis on the role of diets. 
4. Policies are on paper, but not in practice.
5. LMIC governments face difficulties to operationalize their aspirations for food systems transformation (issues relate to awareness, capacity, finance, the political economy and so on).
6. The policy landscape in many LMICs is behind the curve. Policies are framed by the issues from 50 years ago (undernourished population, calories) and not the present threats (obesity and overweight and NCDs). 
</t>
  </si>
  <si>
    <t>1. Food system policies in LMICs are clear, consistent, and coherent across sectors and levels of government.
2. Agricultural, health, and other sectoral policies are well-aligned, with a shared emphasis on the role of diets in achieving both economic and health goals.
3. Food system policies are increasingly being translated into effective practice.
4. LMIC governments are successfully operationalizing food systems transformation, supported by growing awareness, stronger capacity, increased financing, and improved political alignment.
5. Policy frameworks in LMICs have been modernized, shifting focus from past challenges to today’s pressing issues such as obesity, overweight, and noncommunicable diseases.</t>
  </si>
  <si>
    <t xml:space="preserve">LAC &amp; SEA - These regions show the greatest willingness to engage in building their capacities to achieve policy alignment that lead to food system transformation in practice and at scale. We feel there is very high potential for food system transformation at scale in these regions. 
ESA - This region has some willingness to engage in policy alignment in support of food system transformation, however this is constrained by political and financial challenges. We feel that that BDN can achieve high potential impact in this region for this HLO. 
WCA -- This region has shown limited willingess and capacity to engage meaningfully in policy alignment to support food system transformation. We estimate medium high potential for positive change in this HLO. 
SA -- This region has shown low willingess and capacity to engage meaningfully in policy alignment to support food system transformation. Given this reality, we estimate only a moderate chance to achieve significant change in this HLO. </t>
  </si>
  <si>
    <t>Decisionmakers have the awareness of political lock-ins and capacity to overcome them to improve sectoral alignment.
Decisionmakers have the awareness of trade-offs and how to overcome them.
The new governance mechanisms integrate various societal perspectives.</t>
  </si>
  <si>
    <t xml:space="preserve">Policy Innovations: we need their quantitative modelling of trade-off analysis
Climate Action, Multifunctional Landscapes: we need their help to promote policy coherence across different agendas (climate, biodiversity). </t>
  </si>
  <si>
    <t>1.	Many products are not quality differentiated by markets, leading to low quality equilibria. This equilibrium holds when quality traits are unobservable (e.g. food safety, but environmental impact, anything that is not visually apparent). 
2.	Safety of perishable foods often perceived as low, and demand can be reduced for more nutrient dense foods if safe practices cannot be maintained throughout agri-food value chains for perishable products
3.	Transaction costs within specific markets for more nutrient dense and perishable products thought to be high, reducing producer prices (and therefore production) and increasing consumer prices (and therefore reducing demand)
4.	Post-harvest loss is high among perishable products, which leads to higher consumer prices
5.	Technological solutions exist that can help reduce transaction costs, but the return to using those solutions must be high enough for some actor to overcome coordination costs
6.	Policy solutions that can help increase availability of more nutrient dense products (quality certification, food safety regulations) often weakly or unevenly enforced</t>
  </si>
  <si>
    <t>1.	Quality is defined for specific products and markets reward quality with a high enough price difference to reward quality throughout specific value chains;
2.	Affordable solutions for food safety concerns are implemented at scale, leading to fewer concerns about food safety and improved health from eating nutrient dense foods
3.	More chains adopt technological solutions (e.g. logistics) to reduce transaction costs within value chains for nutrient dense products, increasing affordability
4.	Cost-effective solutions to reduce post-harvest losses within chains are found, increasing affordability and accessibility
5.	Policies support the implementation of solutions for food safety and other market level concerns</t>
  </si>
  <si>
    <t>1.	For Latin America, our work is focusing only on the suite of solutions making markets more efficient, so we score it highest. We may work on limiting UPC consumption there if resources come available, so we score it higher than 1.</t>
  </si>
  <si>
    <t>Internally it is best to understand what products are most required in the diet (AoW1) so we can prioritize them for diets; in this case so that we can target those markets if foodis produced but costly or not available enough for some reason.</t>
  </si>
  <si>
    <t>We are collaborating with SAAF to develop food safety solutions for animal source foods. To the extent that we are able to demonstrate positive solutions, we will attempt to work with the Scaling for Impact Science Program on scaling them.</t>
  </si>
  <si>
    <t>1.	Many types of actors in markets for nutrient dense foods lack access to formal finance (traders, vendors in particular)
2.	Formal financial products are not often tailored to the needs of agri-food businesses selling more nutrient dense foods
3.	Demand for financial products may be uncertain in some markets
4.	Climate finance funds are not necessarily aware of the nutritional and dietary impacts of their investments in small or medium enterprises 
5.	Technological solutions exist to reduce the standard transaction costs which drive adverse selection and moral hazard problems, but low uptake as of yet in most markets</t>
  </si>
  <si>
    <t>1.	Improved access to finance among businesses working in markets for more nutrient dense foods, leading to business growth and improved employment
2.	Better designed products with clear explanation to users about how products work (interest rates, payment schedules, etc.)
3.	Increased use of technology in loaning value chain actors money
4.	Climate finance funds begin to lend to firms working in nutrient dense product markets</t>
  </si>
  <si>
    <t xml:space="preserve">2. In West and Central Africa, coastal countries have more exposure to trade; there is less progress we believe on quality interventions and with our strained capacity we focus primarily on policy and finance for nutrient dense foods in West and Central Africa. Hence we give the lowest score to lowering transaction costs and the highest to trade, an a medium score to catalyzing business growth.
</t>
  </si>
  <si>
    <t>Internally it is best to understand what products are most required in the diet (AoW1) so we can prioritize them for diets. Similarly with better info on UPC consumption we can envision targeting growth work most effectively.</t>
  </si>
  <si>
    <t xml:space="preserve"> To the extent that we are able to demonstrate positive solutions, we will attempt to work with the Scaling for Impact Science Program on scaling them.</t>
  </si>
  <si>
    <t>1.	International Trade contributes to healthier diets in some countries, but not others, and agricultural trade policy can have implications for diets;
2.	While subsidies not large enough in most LMICs to change demand for products, some countries with very large markets could repurpose subsidies to improve markets for more nutrient dense foods;
3.	Well designed policies can hinder demand for ultra processed foods, but most countries outside of LAC and OECD do not have policies on ultra processed foods</t>
  </si>
  <si>
    <t>1.	Improved understanding of trade helps governments promote specific types of more nutrient dense foods that fill dietary requirements in countries with substantial food trade;
2.	Subsidies are repurposed in India and other large LMICs with subsidies to reduce distortions to markets;
3.	LMICs begin to implement policies (labeling, SSB taxes, others) that can help reduce the growth of demand for UPFs</t>
  </si>
  <si>
    <t xml:space="preserve">3.	In East and Southern Africa, technology capacity is high, meaning that we focus on use of tech in “solutions” and finance to try to improve affordability and availability of more nutrient dense foods. So we limit work on trade and UPC consumption. 4.	In South Asia, finance is relatively important for increasing growth in trade of more nutrient dense products due to availability of solutions but lack of implementation. We then believe the suite of solutions for business growth is most important, followed reducing transaction costs and then by policy. 
</t>
  </si>
  <si>
    <t xml:space="preserve">1.	In the Global South, fruit and vegetable consumption remains below the recommended 400g per day, which is crucial for preventing chronic diseases. Factors such as food preferences, diet and nutrition knowledge, education, affordability of fruit and vegetables, food safety and quality  issues, inadequate supply due to perishability and complex marketing, and poor infrastructure hinder access to and consumption of these foods.                                                                     2.  Behavior change towards healthier food choices, including increasing the intake of fruits and vegetables, is complex and evidence from interventions to increase fruit and vegetable intake are lacking, despite the exisitence of relevant tools such as national food based dietary guidelines.                                         3.  Food environments incresingly favor promotion of unhealthy foods and there is limited evidence about the impact of changing food environments to support healthier food choices like increasing intake of fruits and vegetables.                                 
4.	Fruit and vegetable production has increased by 3.3% annually over the last two decades, but per capita growth is only 0.7%.                                                                                            
5.	Supply is not keeping pace with demand and population growth due to a range of complex factors, including poor access to high-quality inputs, high post-harvest loss (up to 50%), significant contamination from pesticide residues due to improper use of chemical products and handling, limited market access, and a lack of improved technologies.
6.	Climate change further exacerbates these challenges, leading to rising temperatures, erratic rainfall, and increased pest populations that can potentially reduce yields.
7.	There is a growing demand for safe fruit and vegetables, and improved technologies for safe production, post-harvest handling, and storage are available. 
</t>
  </si>
  <si>
    <t>1.  Demand for fruit and vegetables increases such that most people meet the recommended intake of 400 g/d                           2.  Food environments change in ways that support and encourage healthier food choices, including increasing the access to and affordability of fruit and vegetables                          3. Fruit and vegetable consumption demand in the Global South is met within planetary boundaries                                           4. Post-harvest practices improve such that pesitcide contamination and microbial contamination are reduced
5. Stakeholders across fruit and vegetable value chains adopt solutions that promote healthy food choice behaviors of consumers, healthy food environments, food quality and safety, reduce food loss.</t>
  </si>
  <si>
    <t xml:space="preserve">1. WCA and ESA: Solutions are needed to improve fruit and vegetable consumption, production, post-harvest, safety, and market access. Partnerships have been established across the regions.
2. SEA: There are established partnerships in some countries, and the buy-in of stakeholders to deploy solutions that support increasing fruit and vegetable intake.                                                    3. SA: There are established partnerships in some countries and buy-in from stakeholders to deploy solutions that support increaing fruit and vegetable intake. 
</t>
  </si>
  <si>
    <t xml:space="preserve">Evidence from pilot studies and innovations are relevant to the stakeholders they are designed to reach/support      Stakeholders across the value chain work together to deploy solutions.                                                                                                                 Evidence is relevant to country priorities and policymakers have the will to use evidence to inform programs and policies    </t>
  </si>
  <si>
    <t xml:space="preserve">For translation to urban environments we will work wtih the urban AOW in the Food Fronteirs and Security SP </t>
  </si>
  <si>
    <t>1. Worldwide in 2032, aquatic animal per capita consumption is likely to increase  everywhere except in sub-Saharan Africa where alot of people depend on aquatic foods for animal protein and micronutrients  
2. Fish loss and waste estimates in Africa is estimated at around 40% which is far above the global average of 25% having a significant impact of food and nutrition security. 
3. In SEA diets are dominated by rice and fish provide the necessary micronutrients. Fish provide 50% of animal protein in Cambodia, Indonesia and Phillipines. Due to the immense pressure fisheries face as a result of high consumption, adressing loss and waste to ensure retention of nutrients within the system is crucial.</t>
  </si>
  <si>
    <t xml:space="preserve">1. Aquatic animal consumption demand in Sub-Saharan Africa is met within planetary boundaries 
2. Stakeholders within the aquatic foods value chain adopt climate smart loss and waste technologies 
</t>
  </si>
  <si>
    <t>1. ESA &amp; WCA- this region has had several countries conducting multi dimensional waste and loss studies along fish value chains and indication of willingness to address loss and waste issues. 
2. The two regions also have fisheries regional and country specific policies that recognize the role of addressing losss and waste in the fisheries and aquaculture sector indicating a conducive envrionment for introducing waste and loss technologies  
3. Several South East Asian countries have recognized the role of fisheries in their national nutrition action plans (LAO, Cambodia, Phillipines, Thailand, Myanmar, Indonesia, Malaysia)</t>
  </si>
  <si>
    <t>(i) Market actors perceive the food environment solutions as win-win and have the interest and capacity to implement the solutions. (ii) Social cultural factors that hinder consumption of animal source foods, especially for vulnerable populations are amenable to change</t>
  </si>
  <si>
    <t>(i) Collaboration with the SAAFs SP especially on the production aspects of the aquatic animal source food systems.</t>
  </si>
  <si>
    <t>1. High levels of micronutrient deficiencies in Eastern Africa, WCA and SEA - partly due to insufficient consumption of animal source foods. Eastern Africa is known for its large dairy animal populations, but still, most countries in the region consume only a third of the recommended amount of ASFs.
2. Solutions are needed to improve animal source foods intake to recommended levels as part of healthy diets, especially for vulnerable populations – young children, pregnant and lactating women; in addition to healthy food environment related challenges.
3. ESA: Established partnerships in some countries such as Uganda, Tanzania, Ethiopia, Kenya (from SAPLING efforts)</t>
  </si>
  <si>
    <t>1. Terrestrial animal source foods demand in Sub-Saharan Africa is met within planetary boundaries 
2. Actors within the terestrial animal source foods system adopt solutions that promote healthy food choice behaviors of consumers, healthy food environments, and food safety</t>
  </si>
  <si>
    <t>ESA: Several countries in this region have made strides in advocating for integration of terrestrial animal source foods as part of healthy diets- particularly targeting vulnerable populations through strong partnerships. Several studies have generated evidence on the impact of interventions that address social cultural constraints to consumption of animals source foods and nutrition education, on diets.  Further interventions aimed at healthy food environment will enhance such benefits.</t>
  </si>
  <si>
    <t>(i) Collaboration with the SAAFs SP especially on the production aspects of the terrestrial animal source food systems.</t>
  </si>
  <si>
    <t xml:space="preserve">1.	In the Global South, fruit and vegetable consumption remains below the recommended 400g per day, which is crucial for preventing chronic diseases. Intake of aquatic foods is also suboptimal as is intake of terrestrial animal source foods (in some cases too high and others too low). Factors such as food preferences, diet and nutrition knowledge, education, affordability of fruit and vegetables, food safety and quality  issues, inadequate supply due to perishability and complex marketing, and poor infrastructure hinder access to and consumption of these foods.                                                                                     2.  Behavior change towards healthier food choices, including increasing the intake of fruits and vegetables, is complex and evidence from interventions to increase fruit and vegetable intake are lacking, despite the exisitence of relevant tools such as national food based dietary guidelines.                                         3.  Food environments incresingly favor promotion of unhealthy foods and there is limited evidence about the impact of changing food environments to support healthier food choices like increasing intake of fruits and vegetables.                                 
4. Food loss and waste of fruits and vegetables and aquatic foods is high at around 40%.                                                                                                                                        </t>
  </si>
  <si>
    <t>1. Demand for sustainable healthy diets increases                              2. Food environments change in ways that support and encourage healthier food choices, including increasing the access to and affordability of fruit and vegetables                          3. Perinshable nutrient-rich food consumption demand in the Global South is met within planetary boundaries                             4. Post-harvest practices improve such that pesitcide contamination and microbial contamination are reduced             5.  Food loss and waste are reduced through improved practices and technoligies</t>
  </si>
  <si>
    <t xml:space="preserve">ESA: Well established partnerships exisit. There is buy-in from relevant stakehodlers intreseted in end-to-end solutions to improving diet and nutrition outcomes. Food-based dietary guidelines exist for forcal coutries. Good opportuinities for integration.                                                                                                       WCA: Well established partnerships exisit. There is buy-in from relevant stakehodlers intreseted in end-to-end solutions to improving diet and nutrition outcomes. Food-based dietary guidelines exist for forcal coutries.                                                                                            SA: Well established partnerships exisit. There is buy-in from relevant stakehodlers intreseted in end-to-end solutions to improving diet and nutrition outcomes. Food-based dietary guidelines exist for forcal coutries. Good opportuinities for integration.      </t>
  </si>
  <si>
    <t>Actors across sectors are able to work together to deploy more complex integrated solutions,                                                                           Pilot studies can be conducted to support development of prototypes for integration.</t>
  </si>
  <si>
    <t>Collaboration with Sustainable Farming, Sustainable Animal and Aquatic Foods to test and pilot integrated solutions</t>
  </si>
  <si>
    <t xml:space="preserve">1. Many countries have multisectoral nutrition action plans, programs and policies, however there is limitied attention paid to how to achieve end-to-end solutions for perishable nutrient-rich foods.                                                                  2. While there is some evidence to support taxes on unheathy foods and other products, similar efforts are scant for using subisides, or other incentives to support healthy food choices.                                                                           3. In some cases regulations and laws exist to support food safety measures, however these are often not adequately monitored or enforced.                                                                 4. Fruits and vegetables are often not prioritized for investments, subsidies or other incentives to support growth of this sector, aside from actions to support development for export in some cases. </t>
  </si>
  <si>
    <t>1. Multisectoral nutrition action plans, programs and policies include actions to support end-to-end solutions for increasing intake of perishable nutrient-rich foods.                                                2.  Evidence is generated to understand the inflence of taxes, subsideis or other incentives to support healthy food production and consumption.                                                                  3. Regulations and laws related to food safety are updated enforced.                                                                                                             4. Stakeholders across perishable nutrient-rich food value chains adopt solutions that promote healthy food choice behaviors of consumers, healthy food environments, food quality and safety, reduce food loss.</t>
  </si>
  <si>
    <t>In WCA and ESA policy frameworks remain weak, and stakeholder engagement is often fragmented and inconsistent. Policymakers are open to evidence-based dialogue; institutional champions exist; multisector coordination platforms are functional; and governments are committed to improving diets, public health, and nutrition outcomes. The other regions also have weak policy frameworks and implementation strategies but LAC has some biofortification champions. In SEA policys remain insuffiecient addressing in particular over-nutrition and obesity, while in SA both under- and overnutrition are prevalent with weak policies addressing either.</t>
  </si>
  <si>
    <t>More syngery with AoW5 and AoW6 to translate evidences into actionable policy and engagement with policy makers</t>
  </si>
  <si>
    <t>Many smallholder producers and processors lack access to inputs, infrastructure, technical support, and incentives to adopt and scale biofortified and health-enhancing crops. Post-harvest losses are high, and awareness of nutritional benefits remains low. Nutrient retention varies and is often not clearly defined.</t>
  </si>
  <si>
    <t>Widespread availability and adoption of solutions by producers and processors that are context-specific, technically supported, and commercially viable leading to increased production, reduced losses, and improved delivery of affordable biofortified and health-enhancing foods and minimally processed products to markets.</t>
  </si>
  <si>
    <t>Given the high prevalence of hidden hunger in general but even higher among vulnerable populations—particularly young children in West and Central Africa (WCA) and Eastern and Southern Africa (ESA)—products formulated with biofortified ingredients are essential to meet their nutritional needs. This prevalence is less pronounced in LAC, SEA and SA. However, in SA the triple burden of malnutrion is most pronounced. Furthermore, many farmers are resource-constrained. Farmers and processors are willing to adopt innovations when they see value and profitability; enabling environments exist in key countries; foundational research and delivery systems are strong; and national strategies align with scaling goals.</t>
  </si>
  <si>
    <t>Development of appropriate product profiles; availability of context-specific technologies; partnerships with NARS and processors; capacity building for farmer cooperatives and SMEs; robust monitoring of uptake and impact; generating evidence of possible impacts (ex-ante) to define highly probable investment cases.</t>
  </si>
  <si>
    <t>Coordination with breeding teams for biofortified and health enhancing-varieties; engagement with Breeding for Tomorrw (B4T) HLOs STEER, INVEST, DESIGN and TARGET to determine investment opportunities through targeted interventions and projection of benefits; engagement with extension services and market access initiatives; collaboration with food systems transformation and policy units to align incentives and standards.</t>
  </si>
  <si>
    <t>Nutrition considerations are often missing or inconsistently addressed in agricultural, food systems, and public health policies. Limited engagement with policymakers and lack of coherent strategies hinder integration and adoption of biofortified and health-enhancing crops.</t>
  </si>
  <si>
    <t>Policies at national and regional levels consistently prioritize and integrate biofortified and health-enhancing crops into agriculture, food systems, nutrition, and health agendas driven by stakeholder demand and evidence-based guidance to improve fodd and nutrition security.</t>
  </si>
  <si>
    <t>Robust policy research and synthesis; strategic partnerships with policy influencers; targeted advocacy campaigns; monitoring policy impact on nutrition outcomes; generating evidence for valid investment cases through projected impact determination. Support from public health, legal, trade, and education sectors to harmonize and implement enabling legislation, standards, and cross-sector frameworks that align with improved diets and nutrition goals.</t>
  </si>
  <si>
    <t>Close collaboration with Policy Innovation; B4T AoW on Market Intelligence to generate Investment cases (INVEST), and benefit projections (STEER) in target geographies.</t>
  </si>
  <si>
    <t>Breeding programs do not consistently incorporate nutritional traits or consumer-demanded profiles. Integration of nutrition is often dependent on project-specific funding or champions and lacks institutionalization across CGIAR and NARS systems. There is often an argument of potential trade-offs between nutrient increase and yield.</t>
  </si>
  <si>
    <t>Breeding pipelines mainstream nutritional traits in target product profiles (TPPs), guided by evidence on dietary gaps and consumer needs resulting in varieties that are agronomically competitive, nutrient-dense, high yielding, and desired by consumers.</t>
  </si>
  <si>
    <t>In WCA and ESA, only a limited number of Target Product Profiles (TPPs) have integrated and evaluated nutrition traits in a systematic manner and only for selctive crops. Breeding teams lack recognizing the importance of nutrition and health-enhancing traits and are primarily focussed on improving yield; while food security has improved across all the regions, nutrition security has not and high levels of micronutrient deficiencies exists in WCA, ESA, SA while there is a rise in NCD occurances in SEA and SA. tools and methods for nutritional assessment are not accessible currently; and leadership support is limited for the interdisciplinary collaboration between nutrition and breeding teams in all regions.</t>
  </si>
  <si>
    <t>Development of demand-driven TPPs that integrate diet quality needs; shared metrics for nutritional quality; capacity building of breeding teams; investment in screening and diagnostic infrastructure. Collaboration with nutrition and health research teams and socioeconomics research teams to generate evidence on consumer needs, dietary gaps, and policy priorities that guide breeding decisions.</t>
  </si>
  <si>
    <t>Collaboration with B4T, in particular the areas of work on Accelerated Breeding, Breeding resources, Market Intelligence and ENABLE. I special focus needs to be on sub-AoW DESIGN to ensure the full integration of diet improving traits in product concepts and the product design standard.</t>
  </si>
  <si>
    <t>Traders and vendors have limited incentives or awareness to prioritize the sourcing and marketing of biofortified and health-enhancing products. Market demand is weak or unclear, and regulatory frameworks for labeling or differentiation are often absent.</t>
  </si>
  <si>
    <t>Traders and vendors actively source, promote, and sell biofortified and health-enhancing crops and products, supported by a strong value proposition, clear quality standards, and informed consumers who demand such options.</t>
  </si>
  <si>
    <t>In WCA and ESA, traders and vendors often lack strong market linkages and face significant knowledge asymmetries, limiting their ability to make informed decisions which is also present in the other regions.  Traders and vendors respond to consumer demand and profit opportunities; market channels and regulatory structures currently do not allow for differentiation; traceability systems for 'invisible trait' are not feasible and affordable in all regions. However, malnutrition is most pronounced in ESA, WCA and SA.</t>
  </si>
  <si>
    <t>Clear labeling standards and branding for biofortified and health-enhancing products; training and market linkages for vendors; development of traceability tools and quality assurance mechanisms. Support from consumer awareness campaigns, policy advocacy for enabling regulations, and collaboration with market systems and private sector engagement teams.</t>
  </si>
  <si>
    <t>Collaboration from STEER and INVEST (B4T, AoW MArket Intelligence) are needed to provide evidence of valid investment opportunities to support trader and vendor decision making. Policy Innovation is needed to support labeling and tracability policies.</t>
  </si>
  <si>
    <t>Consumer awareness and demand for biofortified and health-enhancing foods are generally low. Many consumers are not aware of their micronutrient deficiancies. Misconceptions from the GMO debates, lack of clear labeling, and limited availability or affordability hinder widespread adoption especially among low-income and nutritionally vulnerable populations. Social norms around prosperity and overnutrition exist and affect the development of NCDs.</t>
  </si>
  <si>
    <t>Consumers are aware of their micronutrient status and its importance. Consumers are informed, motivated, and able to include biofortified and health-enhancing foods in their diets driven by clear value propositions, affordable options, positive Behavior Change Communication (BCC), and supportive food environments.</t>
  </si>
  <si>
    <t>Consumer awareness of nutrition, health, and how to maintain a healthy diet remains low and underdeveloped in all regions. Consumers have limited access to trusted information and have little purchasing power; cultural beliefs and taste preferences can be positively influenced through evidence-based BCC in all regions; supportive policy and retail environments are lacking to enable availability.</t>
  </si>
  <si>
    <t>Strategic BCC and social marketing campaigns; consumer research to tailor messaging and product development; partnerships with community organizations and retailers. Support from media, education, and health sectors to amplify messaging; collaboration with market and food policy teams to ensure affordability and retail availability.</t>
  </si>
  <si>
    <t>Gender accelerator to tailor BCCs to reach all consumers equitably.</t>
  </si>
  <si>
    <t xml:space="preserve">Food system actions and making food environments healthy are essential, but insufficient, to increase the consumption of sustainable healthy diets by all:  Consumers often lack knowledge about nutritious diets, sufficient (monetary) resources, autonomy, and empowerment to acquire foods. Once foods have been acquired, they need to be consumed. The transformation of foods into a sustainable healthy diet for all requires, amongst other things, nutrition knowledge (which is often missing), an equitable (i.e., based on nutritional needs) distribution of foods within the household (often not the case), and autonomy and empowerment (often lacking).  Complementary policies that unlock the full potential of food systems transformation are missing. </t>
  </si>
  <si>
    <t>1) Consumers have adequate knowledge about nutritious diets and sufficient (monetary) resources, autonomy, and empowerment to acquire foods. 2) The transformation of foods into a sustainable healthy diet for all is not hindered by limited nutrition knowledge, inequitable (i.e., based on nutritional needs) distribution of foods within the household, or limited autonomy and empowerment. Health, and other sectoral policies are well-aligned, with a shared emphasis on the role of diets in achieving both economic and health goals.</t>
  </si>
  <si>
    <t xml:space="preserve">WCA, ESA, SA, SEA - The factors limiting the effective 'translation' of food systems action into the consumption of healthy diets are diverse across these regions but strongly present. We estimate that the impact of our work in these regions is very high. 
LAC  - This  region had done more work on social protection, informing consumers about healthiness of foods, limiting promotion of and access to unhealthy foods.  CGIAR has much to learn here with solid partners. We estimate a medium  potential for impact here. </t>
  </si>
  <si>
    <t>Scaling for Impact: We'll need their expertise to help us scale our own tested solutions. Collaboration with Gender Accelerator to understand better equity issues in addressing drivers of food choices.</t>
  </si>
  <si>
    <t xml:space="preserve">AoW6-Synthesized knowledge products across AoWs and disseminated
</t>
  </si>
  <si>
    <t>Limited synthesis of knowledge to inform FST towards better diets.</t>
  </si>
  <si>
    <t xml:space="preserve">A framework to guide the synthesis. Active (ongoing) synthesis of knowledge. </t>
  </si>
  <si>
    <t>Efforts by BDN will be recognized as being useful and taken up as approaches for evidence synthesis</t>
  </si>
  <si>
    <t>Adequate coordination across AoWs to collate the emerging evidence</t>
  </si>
  <si>
    <t>Adequate coordination across other P/As</t>
  </si>
  <si>
    <t>Inadequate coordination and governance for FST within regions</t>
  </si>
  <si>
    <t>Adequate coordination and governace for FST towards BDN within regions</t>
  </si>
  <si>
    <t>Regional bodies will be willing and able to make use of BDN knowledge products. Alignement with other P/As on keys messages for BDN</t>
  </si>
  <si>
    <t>Effective engagement by BDN scientists in regional processes/events to be able to influence</t>
  </si>
  <si>
    <t>Robust engagement by other P/As to share products that can be used in the engagments. Complete alignment on key messages for BDN</t>
  </si>
  <si>
    <t>Lack of coordination, knowledge and systmes thinking across P/As around FST towards BDN from the respective P/As perspective</t>
  </si>
  <si>
    <t>Good coordination, adequate knowledge; and adoption of systems thinking across P/As around FST towards BDN from the respective P/As perspective</t>
  </si>
  <si>
    <t>There is willingness and ability among P/As in BDN led activities to strengthem coordination, knowledge uptake and adoption of systems thinking</t>
  </si>
  <si>
    <t xml:space="preserve">Ability to convene the P/As in the planned activities and adequate resources </t>
  </si>
  <si>
    <t xml:space="preserve">Thinking beyond the  immediate (economic) outputs P/As and focusing on how they can contribute to BDN </t>
  </si>
  <si>
    <t>Poverty Indicators</t>
  </si>
  <si>
    <t>total score by column</t>
  </si>
  <si>
    <t>1. Solutions (behavior change, like FBDGs) are there, but there's lack of evidence on effectiveness and, do not address full components of food system, and/or are not in use
2. Few solutions address the food environment
3. Metrics are not all-encompassing
4. Metrics are not being used by gov'ts for decisionmaking
5. Many barriers prevent governments from taking actions and there is an uneven willingness to act across ministries and levels.
6. There's a lot of info on what governments can do, but very little information on how do it</t>
  </si>
  <si>
    <t>1. Evidence-based, food system–wide solutions like FBDGs are now widely implemented and proven effective.
2. Comprehensive interventions now actively address the food environment alongside individual behavior change.
3. Robust, multidimensional metrics are in place to capture the full complexity of food systems.
4. Governments are effectively using these metrics to inform policy and decision-making.
5. Strong and consistent political will is driving coordinated action across sectors.
6. Clear, practical guidance is now available to support governments in implementing food systems transformation.</t>
  </si>
  <si>
    <t>We estimate that the potential of this HLO to contribute to povery reduction across all geographies is low given that consumer focused solutions will have limited to no impact on poverty.</t>
  </si>
  <si>
    <t>Evidence is relevant (helps meet their goals) and timely for government actors to use. 
Gov’t actors perceive their institutions have the capacity to implement the solutions.</t>
  </si>
  <si>
    <t>1. Lack of data about MSMEs and informal actors - what are their barriers, their constraints, their incentives, and so on.
2. Lack of data on the presence of healthy foods being sold by MSMEs and informal actors 
3. Few evidence-based solutions for how to improve conditions for MSMEs and informal actors selling foods 
4. Increasing presence of UPFs combined with infrastructure realities (widely variable access to cold storage, clean water) changes the cost-benefits for MSME and informal actors
5. Successful and aggressive commercial strategies of multinational food companies increase availability and affordability of UPFs</t>
  </si>
  <si>
    <t>1. Comprehensive data now exists on the barriers, constraints, and incentives facing MSMEs and informal food actors.
2. Detailed insights are available on the availability of healthy foods sold by MSMEs and informal vendors.
3. Effective, evidence-based solutions are in place to support and improve conditions for food-selling MSMEs and informal actors.
4. The implications of UPFs and infrastructure challenges are well understood, enabling tailored support for MSMEs and informal vendors.
5. Nutritious food options are becoming more available and affordable, aided by strategic approaches adapted from successful commercial models.</t>
  </si>
  <si>
    <t xml:space="preserve">The importance of the food environment in LMICs for employment and income generation, especially for female vendors and the poor, is critical. We estimate that across all the geographies where BDN is working, positive results in this HLO will have very high impacts on poverty reduction for this specific population. </t>
  </si>
  <si>
    <t xml:space="preserve">Scaling for Impact: We'll need their expertise to help us scale our own tested solutions. </t>
  </si>
  <si>
    <t>1. Food System Transformation National Action Plans are being developed but at various levels of detail, and hardly being implemented.
2. Lack of policy coherence. Lack of clear and consistent food system policies across levels and sectors of government mean
3. Lack of policy alignment. For example, ag policies that maximize production for economic growth vs health policies that promote health (without speaking to diets).
4. Policies are on paper, but not in practice
5. Difficulty of government to operationalize their aspirations for food systems transformation (issues relate to awareness, capacity, finance, political economy...)
6. Policy landscape is behind the curve, framed by the issues from 50 years ago (undernourished, calories), and not the present threats (obesity and overweight and NCDs)</t>
  </si>
  <si>
    <t>1. Food system policies are now coherent, clearly defined, and consistently applied across all levels and sectors of government.
2. Policy alignment across agriculture, health, and other sectors now ensures shared goals around nutrition and sustainable diets.
3. Policies are actively implemented, with strong follow-through translating commitments into action.
4. Governments are effectively operationalizing food systems transformation, supported by improved awareness, capacity, financing, and political coordination.
5. Policy frameworks have been updated to reflect today’s challenges, focusing on obesity, overweight, and noncommunicable diseases alongside historical concerns.</t>
  </si>
  <si>
    <t xml:space="preserve">Across all the geographies where BDN is active, the achievement of forward looking policy coherence and alignment in support postitive of food system transformation could have important impacts on poverty reduction. As a result we estimate that advances against the HLO has a medium high potential to impact poverty reduction in our target countries.  </t>
  </si>
  <si>
    <t>Decisionmakers have the awareness of political lock-ins  and capacity to overcome them to improve sectoral alignment.
Decisionmakers have the awareness of trade-offs and how to overcome them.
The new governance mechanisms integrate various societal perspectives.</t>
  </si>
  <si>
    <t>We discuss the current state in the "food security" tab.</t>
  </si>
  <si>
    <t>We discuss the ideal state in the "food security" tab.</t>
  </si>
  <si>
    <t>1. Note, here all of the impacts must come through improved incomes. Policies we focus on are less likely to have direct impacts. As a result, we give a slightly lower score in the three main regions to lowering transaction costs. There are no clear regional variables that would or should differentiate these outcomes from a poverty reduction perspective.</t>
  </si>
  <si>
    <t>2. Business growth is more likely to drive income growth in general in the three regions we are prioritizing than lowering transaction costs or limiting UPC consumption. And there are no clear differentiating variables across the three regions as discussed above.</t>
  </si>
  <si>
    <t>Increased trade might have positive effects on income growth among value chain actors, but it is not necessary, and taxes or regulations on UPFs could negatively affect some vendors. Again there are not clear regional differences.</t>
  </si>
  <si>
    <t xml:space="preserve">1. Supply is not keeping pace with demand and population growth due to a range of complex factors, including poor access to high-quality inputs, high post-harvest loss (up to 50%). Given the need to increase production there is room for growth and new job creation in this sector. Horticulture products are also high value and thus, may be attractive for youth and others with interest in agriculture livelihoods.               2. There are also opportunities to transform fruits and vegetables into different types of products, creating further job opportunities.                                                                                                      3.  Other livelihood opportunities also exist across the fruit and vegetable value chain. </t>
  </si>
  <si>
    <t>1. Increased investment in the fruit and vegetable sector leads to more jobs with adeqaute wages.                                                             2. Increased opportunities for small and medium enterprises in across the value chain.</t>
  </si>
  <si>
    <t>Both national and sub national governments recognize the role of fruit and vegetable sector as an avenue of poverty reduction</t>
  </si>
  <si>
    <t>Collaboration with private sector and market actors involved in fruit and vegetable sector and regulatory authorities</t>
  </si>
  <si>
    <t>Close collaboration with Scaling for impact to disseminate solutions that, if adopted, can provide decent jobs to actors</t>
  </si>
  <si>
    <t>In 2020, the fisheries and aquaucultue sector employed approximately 49 million people (84%) in Asia and 6 million in Africa. In the small scale fisheries processing/post harvest sector up to 50% of those employed are women</t>
  </si>
  <si>
    <t>Increased opportunities and incomes for those involved in the fish value chain especially women</t>
  </si>
  <si>
    <t>Both national and sub national governments recognize the role of fisheries sector as an avenue of poverty reduction in their blue economy strategies among others</t>
  </si>
  <si>
    <t>Collaboration with private sector and market actors involved in aquatic animal source foods and regulatory authorities</t>
  </si>
  <si>
    <t xml:space="preserve">The livestock sector employs around 60 million people in WCA, about 30% of the population in ESA and over 40million in SA. Animal source foods markets are largely informal and characterized by food safety concerns. Regulatory frameworks for food safety is weak in most countries. </t>
  </si>
  <si>
    <t>Increased opportunities and incomes for those involved in the terrestrial animal source foods system</t>
  </si>
  <si>
    <t>Governments recognize the role of the livestock sector as an avenue of poverty reduction in their plans and allocate investments</t>
  </si>
  <si>
    <t>Collaboration with private sector and market actors involved in terrestrial animal source foods and regulatory authorities</t>
  </si>
  <si>
    <t>1. Increased investment in the fruit and vegetable sector leads to more jobs with adeqaute wages.                                                             2. Increased opportunities for small and medium enterprises across perisable nutrient-rich food value chains.</t>
  </si>
  <si>
    <t>Both national and sub national governments recognize the role of integrated solutions across fruit, vegetable, aquatic and terrestrial animal sources an avenue of poverty reduction</t>
  </si>
  <si>
    <t>Collaboration with private sector and market actors involved in vegetable, fruit, aquatic and terrestrial animal source foods and regulatory authorities</t>
  </si>
  <si>
    <t>PNR poorly prioritized as sources of income and job creation</t>
  </si>
  <si>
    <t>Policies that recognize the potential of PNR for job creation, poverty reduction and enabling environment for private sector investment</t>
  </si>
  <si>
    <t>Higher score for SA because of favorable policy environment</t>
  </si>
  <si>
    <t>Generate evidence on models that enhance job creation along PNR value chains</t>
  </si>
  <si>
    <t>Close collaboration with Policy Innovation</t>
  </si>
  <si>
    <t>Traders and vendors have limited incentives or awareness to prioritize the sourcing and marketing of biofortified and health-enhancing products. Market demand is weak or unclear, and regulatory frameworks for labeling or differentiation are often absent leaving farmers producing without additional monetary benefits.</t>
  </si>
  <si>
    <t>Traders and vendors actively source, promote, and sell biofortified and health-enhancing crops and products, supported by a strong value proposition, clear quality standards, and informed consumers who demand such options. This will improve the value of biofortified crops and producing farmers will economically benefit.</t>
  </si>
  <si>
    <t>In WCA and ESA, traders and vendors often lack strong market linkages and face significant knowledge asymmetries, limiting their ability to make informed decisions. Farmers do not benefite from value additions. Traders and vendors respond to consumer demand and profit opportunities if products are available; market channels and regulatory structures currently do not allow for differentiation; traceability systems for 'invisible traits' are fneed to be made easible and affordable so that producing farmers benefit from the value addition.</t>
  </si>
  <si>
    <t>collaboration with Policy Innovations to define regulatory and traceability systems, B4T to enhance and improve nutrional traits that support economic gain for producing farmers. AoW Market Intelligence (STEER, INVEST, DESIGN, TARGET) to provide evidence on projected benefits for farmers and processors in target localities.</t>
  </si>
  <si>
    <t>Nutrition considerations that also increase economic gain for farmers and processors are often missing or inconsistently addressed in agricultural, food systems, and public health policies. Limited engagement with policymakers and lack of coherent strategies like subsidies for farmers hinder integration and adoption of biofortified and health-enhancing crops.</t>
  </si>
  <si>
    <t>Policies at national and regional levels consistently prioritize and integrate biofortified and health-enhancing crops into agriculture, food systems, nutrition, and health agendas driven by stakeholder demand and evidence-based guidance to improve fodd and nutrition security. These also focus on incentivising farmers to grow these varieties.</t>
  </si>
  <si>
    <t>In WCA and ESA policy frameworks remain weak, and stakeholder engagement is often fragmented and inconsistent, they also do not target farmers with respect in reducing poverty through nutrion policies. Integrated policies that address a variety of aspects, e.g. poverty, heatlh, nutrition, equity are lacking  or are underdeveloped in all regions.</t>
  </si>
  <si>
    <t>Robust integrated policy research and synthesis; strategic partnerships with policy influencers; targeted advocacy campaigns to address poverty; monitoring policy impact on poverty and nutrition outcomes; generating evidence for valid investment cases through projected impact determination in the area of poverty reduction. Support from public health, legal, trade, and education sectors to harmonize and implement enabling legislation, standards, and cross-sector frameworks that align with improved diets and nutrition goals.</t>
  </si>
  <si>
    <t>Breeding programs do not consistently incorporate nutritional traits or consumer-demanded profiles that could improve farmers' economic status. Integration of nutrition is often dependent on project-specific funding or champions and lacks institutionalization across CGIAR and NARS systems. There is often an argument of potential trade-offs between nutrient increase and yield and little attention is paid to addressing both simultaneously</t>
  </si>
  <si>
    <t>In WCA and ESA, only a limited number of Target Product Profiles (TPPs) have integrated and evaluated nutrition traits in a systematic manner and only for selctive crops. Breeding teams lack recognizing the importance of nutrition and health-enhancing traits and are primarily focussed on improving yield, without recognising the potential value addition; mainstreaming biofortification is more likely in WCA du to positive enabling envirnment of IITA and CIP; while food security has improved across all the regions, nutrition security has not and high levels of micronutrient deficiencies exists in WCA, ESA, SA while there is a rise in NCD occurances in SEA and SA. Value addition to high yielding varieties can improve farmer income considerably but has not materialised. Poverty is high in EAS, WCA, and SA.</t>
  </si>
  <si>
    <t>Collaboration with B4T, in particular the areas of work on Accelerated Breeding, Breeding resources, Market Intelligence and ENABLE. I special focus needs to be on sub-AoW DESIGN to ensure the full integration of diet improving traits in product concepts and the product design standard. Furthermore, INVEST and STEER are needed to assess projected benefits for target regions.</t>
  </si>
  <si>
    <t>Traders and vendors have limited incentives or awareness to prioritize the sourcing and marketing of biofortified and health-enhancing products which can negatively affect farmers. Market demand is weak or unclear, and regulatory frameworks for labeling or differentiation are often absent.</t>
  </si>
  <si>
    <t>Traders and vendors actively source, promote, and sell biofortified and health-enhancing crops and products, supported by a strong value proposition, clear quality standards, and informed consumers who demand such options. This will increase farmer income and will reduce overall poverty.</t>
  </si>
  <si>
    <t>Across all regions weak frameworks exist that support the decision-making of traders and venders to invest more in biofortified and health-enhancing products and produce. This has negative effects on farmers who produce these crops. Poverty rates are highest in WCA, ESA and SA.</t>
  </si>
  <si>
    <t xml:space="preserve">Clear labeling standards and branding for biofortified and health-enhancing products; training and market linkages for vendors; development of traceability tools and quality assurance mechanisms. Incentive mechanisms for farmers. Support from consumer awareness campaigns, policy advocacy for enabling regulations, and collaboration with market systems and private sector engagement teams. Access for farmers to incetive mechanisims that are geared towards economic benefit. </t>
  </si>
  <si>
    <t>Collaboration from STEER and INVEST (B4T, AoW MArket Intelligence) are needed to provide evidence of valid investment opportunities to support trader and vendor decision making. Policy Innovation is needed to support labeling and tracability policies to ensure farmers receive incentives.</t>
  </si>
  <si>
    <t>Consumer awareness and demand for biofortified and health-enhancing foods are generally low therefore farmers are not incentivised to grow the respective crops. Misconceptions from the GMO debates, lack of clear labeling, and limited availability or affordability hinder widespread adoption especially among low-income and nutritionally vulnerable populations.</t>
  </si>
  <si>
    <t>Consumers are informed, motivated, and demand and are able to include biofortified and health-enhancing foods in their diets driven by clear value propositions, affordable options, positive Behavior Change Communication (BCC), and supportive food environments. FArmers benefit economically from this demand.</t>
  </si>
  <si>
    <t xml:space="preserve">Across all regions consumers have difficulties assessing their health and nutrient status and are therefore not aware of any deficiencies. Therefore, farmers are not incentivisied to grow value added products. </t>
  </si>
  <si>
    <t xml:space="preserve">Strategic BCC and social marketing campaigns; consumer research to tailor messaging and product development; partnerships with community organizations and retailers. Support from media, education, and health sectors to amplify messaging; collaboration with market and food policy teams to ensure affordability and retail availability. This should increase demand and consequently economic benefits for farmers. </t>
  </si>
  <si>
    <t>Gender accelerator to tailor BCCs to reach all consumers equitably but also to ensure that economic benefits are equitably accessible.</t>
  </si>
  <si>
    <t>n.a.</t>
  </si>
  <si>
    <t xml:space="preserve">We estimate that the potential of this HLO to contribute to povery reduction across all geographies is low given that the solutions developed by this AOW will have limited impact on poverty in the short term. However, across all the countries where BDN is active, the achievement of forward looking policy coherence and alignment in support postitive of food system transformation could have important impacts on poverty reduction. As a result we estimate that advances against the HLO has a mediumpotential to impact poverty reduction in our target countries.  </t>
  </si>
  <si>
    <t>Efforts by BDN will be recognized as being useful and taken up as approaches for evidence synthesis. BDN will not have any direct impacts on poverty reduction but may lead to poverty reduction in the longer term as populations are well nourished and more productive.</t>
  </si>
  <si>
    <t>Regional bodies will be willing and able to make use of BDN knowledge products. Alignement with other P/As on keys messages for BDN. BDN will not have any direct impacts on poverty reduction but may lead to poverty reduction in the longer term as populations are well nourished and more productive.</t>
  </si>
  <si>
    <t>Lack of understanding of capacity and leadership needs for food systems thinking to promote transformative change among different stakeholders</t>
  </si>
  <si>
    <t>Good understanding of capacity and leadership needs for food systems thinking to promote transformative change among different stakeholders</t>
  </si>
  <si>
    <t>Regional bodies will be willing and able to make use of BDN capacity sharing products/services/reccommendations. Alignment with other P/As on keys messages for BDN. BDN will not have any direct impacts on poverty reduction but may lead to poverty reduction in the longer term as populations are well nourished and more productive.</t>
  </si>
  <si>
    <t>Regional bodies will be willing and able to make use of BDN capacity sharing products/services/reccommendations. Alignement with other P/As on keys messages for BDN. BDN will not have any direct impacts on poverty reduction but may lead to poverty reduction in the longer term as populations are well nourished and more productive.</t>
  </si>
  <si>
    <t>There is willingness and ability among P/As in BDN led activities to strengthem coordination, knowledge uptake and adoption of systems thinking. BDN will not impact poverty directly but this coordinated effort along with other SP/As can help them achieve their targets faster and lead to higher incomes/lower poverty in the long term</t>
  </si>
  <si>
    <t>Social inclusion Indicator</t>
  </si>
  <si>
    <t>1. Solutions (behavior change, like FBDGs) are there, but there's lack of evidence on effectiveness and, do not address full components of food system, nor equity issues, and/or are not in use
2. Few solutions address the food environment, and not based on understanding the role of equity issues.
3. Metrics are not all-encompassing
4. Metrics are not being used by gov'ts for decisionmaking
5. Many barriers prevent governments from taking actions and there is an uneven willingness to act across ministries and levels.
6. There is a lot of info on what governments can do, but very little information on how to do it</t>
  </si>
  <si>
    <t>1. Behavior change solutions, such as FBDGs, are now widely adopted, evidence-based, and address the full spectrum of the food system.
2. Interventions now effectively target both individual behaviors and the broader food environment
3. Comprehensive, system-wide metrics are in place to capture all key dimensions of food systems.
4. Governments are actively using these metrics to guide and inform policy decisions.
5. There is strong and consistent commitment across stakeholders to act on food systems transformation.
6. Clear, actionable guidance now enables governments to move from knowing what to do to knowing how to do it.</t>
  </si>
  <si>
    <t xml:space="preserve">Poor diets originate from processes of social exclusion of population groups and individuals based on characteristics such as gender, age, geographic location, ethnicity, education, and wealth. Promoting healthy diets have to address these characteristics. As such we expect that this HLO can potentially contribute to social inclusion, but we expect a low impact on this aspect of development in all geographies given that many other (more) essential aspects need to be addressed to improve social inclusion. </t>
  </si>
  <si>
    <t>Collaboration with Gender Accelerator to understand better equity issues in addressing drivers of food choices.</t>
  </si>
  <si>
    <t xml:space="preserve">1. Lack of data about MSMEs and informal actors - what are their barriers, their constraints, their incentives, and so on, with no specifics on the situation of female vendors.
2. Lack of data on the presence of healthy foods being sold by MSMEs and informal actors 
3. Few evidence-based solutions for how to improve conditions for MSMEs and informal actors selling foods 
4. Increasing presence of UPFs combined with infrastructure realities (widely variable access to cold storage, clean water) changes the cost-benefits for MSME and informal actors
5. Successful and aggressive commercial strategies of multinational food companies increase availability and affordability of UPFs
</t>
  </si>
  <si>
    <t xml:space="preserve">1. Extensive data now exists on the barriers, constraints, and incentives shaping MSME and informal actors’ roles in food systems.
2. Clear, reliable data tracks the availability and sale of healthy foods by MSMEs and informal vendors.
3. Evidence-based strategies are effectively improving the conditions and opportunities for MSMEs and informal food actors.
4. The impact of UPFs and infrastructure realities is well understood, enabling more supportive and context-specific policies for MSMEs.
5. Strategic lessons from multinational food companies are being adapted to enhance the distribution and affordability of nutritious foods.
</t>
  </si>
  <si>
    <t>The importance of the food environment in LMICs as an opportunity to improving working conditions for female vendors is variable across regions. In regions where cultural norms allow women in those spaces, the potential for impact is higher than in places where women are not allowed.</t>
  </si>
  <si>
    <t>Collaboration with Gender Accelerator to understand better equity issues in addressing constraints of MSMEs delivering nutritious food to consumers</t>
  </si>
  <si>
    <t xml:space="preserve">1. Food system policies are now coherent, clearly articulated, and consistently implemented across sectors and levels of government.
2. Agricultural and health policies are well-aligned, with a shared focus on promoting sustainable, nutritious diets.
3. Policy commitments are being fully implemented, translating into tangible action and impact.
4. Governments are successfully turning food systems transformation goals into action, supported by strengthened capacity, financing, and political momentum.
5. Policy frameworks have been modernized to address today’s nutrition challenges, including obesity, overweight, and noncommunicable diseases.
</t>
  </si>
  <si>
    <t xml:space="preserve">Across all the geographies where BDN is active, the achievement of forward looking policy coherence and alignment in support of postitive of food system transformation could have important impacts on social inclusion. As a result we estimate that advances against the HLO has a medium high potential to improve aspects of social inclusion in our target countries.  </t>
  </si>
  <si>
    <t>Collaboration with Gender Accelerator to understand equity issues in food system policies.</t>
  </si>
  <si>
    <t>1. Gender plays a role both as "owners" of businesses and in employment. This is more true in Africa than Asia (where most businesses are run by men). We are only working on the lowering transaction costs goal in Latin America (not the other two), so we score it high in this regard relative to the other two HLOs.</t>
  </si>
  <si>
    <t>Working with the Gender Accelerator to develop evaluation strategies.</t>
  </si>
  <si>
    <t>2. In Africa generally, we think there are more likely to be more women employed closer to consumers so we target the growth solution more than lowering transaction costs, though they are awfully close (this is evidence based). On the other hand, in South Asia women are not highly employed in the middle of value chains, only in the food environment..</t>
  </si>
  <si>
    <t>UPC consumption is highest among the four regions we are working on in South Asia, and so we rate it highest among the 3 HLOs in AoW2.  Meanwhile, trade is less clearly socially inclusive in the two African regions, so it receives a lower score.</t>
  </si>
  <si>
    <t xml:space="preserve">Existence of social cultural barriers that limit access to resources for production, and consumption of fruit and vegetable for some groups, particularly the vulnerable populations in some comunities, mostly women </t>
  </si>
  <si>
    <t>Communities and households adopt  more gender equitable behaviours in food production, marketing and nutrition decisions</t>
  </si>
  <si>
    <t>While inequality between men and women is  higher in WCA and ESA than the other regions, we assigned slighly higher scores for SA and SEA because of policy environment that can help achieve higher impacts</t>
  </si>
  <si>
    <t>Solutions that address barriers to production, marketing, and consumption of fruit and vegetable and participation of various social groups in fruit and vegetable value chains</t>
  </si>
  <si>
    <t>Close collaboration with the gender accelerator to ensure interventions are targeting the right social groups</t>
  </si>
  <si>
    <t>In 2012, the World Bank estimated that in certain segments of the processing sector worldwide up to 85% of the employees were women. Preliminary results of the recent illuminating hidden harvests study show half of the workers in the small scale post harvest sector to be women</t>
  </si>
  <si>
    <t>The women in this points of the value chain accept lower pay. Introduction of our approaches will ideally result in better quality product and also prevention of physical loss to secure better pay and have impact on poverty</t>
  </si>
  <si>
    <t>Higher score for WCA and SA because of the absolute number of people employed in this sector.</t>
  </si>
  <si>
    <t xml:space="preserve">Solutions that address barriers to consumption of aquatic and participation of various social groups in the aquatic source foods value chains </t>
  </si>
  <si>
    <t xml:space="preserve">Existence of social cultural barriers that limit consumption of terrestrial animal source foods for some groups, particularly the vulnerable populations in some comunities. In most countries women </t>
  </si>
  <si>
    <t>Communities and households adopt  more gender equitable behaviours in food and nutrition decisions</t>
  </si>
  <si>
    <t>In ESA and WCA</t>
  </si>
  <si>
    <t xml:space="preserve">Solutions that address barriers to consumption of animal source food and participation of various social groups in the animal source foods value chains </t>
  </si>
  <si>
    <t xml:space="preserve">Existence of social cultural barriers that limit access to resources for production, and consumption of perishable and nutritious foods for some groups, particularly the vulnerable populations in some comunities, mostly women </t>
  </si>
  <si>
    <t>Solutions that address barriers to production, marketing and consumption of persihable and nutritious foods and participation of various social groups PNR value chains</t>
  </si>
  <si>
    <t>Fragmented information on how current policies are actually addressing gender inclusion</t>
  </si>
  <si>
    <t>Policies addressing gender inclusion are formulated and implemented</t>
  </si>
  <si>
    <t>Higher score for SA because of favorable policy environment for gender inclusion</t>
  </si>
  <si>
    <t>Translate evidences into actionable policy that reduce gender inequalities</t>
  </si>
  <si>
    <t>Traders and vendors have limited incentives or awareness to prioritize the sourcing and marketing of biofortified and health-enhancing products and are also not aware of how to market it to the right populations. Market demand is weak or unclear, and regulatory frameworks for labeling or differentiation are often absent. This impacts social equity negatively as women and children are disproportionally affected by malnutrition.</t>
  </si>
  <si>
    <t>Traders and vendors actively source, promote, and sell biofortified and health-enhancing crops and products, supported by a strong value proposition, clear quality standards, and informed consumers who demand such options. They are able to market their products to the respective consumer segments.</t>
  </si>
  <si>
    <t>In WCA and ESA, traders and vendors often lack strong market linkages and face significant knowledge asymmetries, limiting their ability to make informed decisions and market products accordingly. In other regions this is also present but less extreme.</t>
  </si>
  <si>
    <t>Clear labeling standards and branding for biofortified and health-enhancing products to the respective consumer segments addressing malnutrion and providing information; training and market linkages for vendors; development of traceability tools and quality assurance mechanisms. Support from consumer awareness campaigns, policy advocacy for enabling regulations, and collaboration with market systems and private sector engagement teams.</t>
  </si>
  <si>
    <t>Strong collaboration with the gender accelerator to ensure interventions are targeting the right social groups</t>
  </si>
  <si>
    <t>Policy options that consider nutrition and address social inequalities are lacking or are inconsistently addressed in agricultural, food systems, and public health policies. Limited engagement with policymakers and lack of coherent strategies that are gender-sensitive and address social inequalities hinder integration and adoption of biofortified and health-enhancing crops.</t>
  </si>
  <si>
    <t xml:space="preserve">Policies addressing nutrition in conjunction with social equity at national and regional levels consistently prioritize and integrate biofortified and health-enhancing crops into agriculture, food systems, nutrition, and health agendas driven by stakeholder demand and evidence-based guidance to improve food and nutrition security. </t>
  </si>
  <si>
    <t>In WCA, ESA, and SA policy frameworks remain weak and do not include social aspects, and stakeholder engagement is often fragmented, inconsistent and gender blind, they also do not target farmers with respect in reducing inequities through nutrition policies. Gender transformative policies that address a variety of aspects, e.g. poverty, heatlh, nutrition, equity are lacking  or are underdeveloped in all regions.</t>
  </si>
  <si>
    <t>Robust integrated policy research and synthesis with a focus on gender and social equity; strategic partnerships with policy influencers; targeted advocacy campaigns to address social inequities and nutrition; monitoring policy impact on equity and nutrition outcomes; generating evidence for valid investment cases through projected impact determination in the area of social equity. Support from public health, legal, trade, and education sectors to harmonize and implement enabling legislation, standards, and cross-sector frameworks that align with improved diets and nutrition goals.</t>
  </si>
  <si>
    <t>Close collaboration with Policy Innovation; B4T AoW on Market Intelligence to generate Investment cases (INVEST), and benefit projections (STEER) in target geographies. Close alignment with the Gender accelerator to ensure a gender-intentioanl process.</t>
  </si>
  <si>
    <t xml:space="preserve">Breeding programs do not consistently incorporate nutritional traits or consumer-demanded profiles that could improve gender equality or address other societal inequalities. Integration of nutrition is often dependent on project-specific funding or champions and lacks institutionalization across CGIAR and NARS systems and is often gender blind. </t>
  </si>
  <si>
    <t>Breeding pipelines mainstream nutritional traits in target product profiles (TPPs), guided by evidence on dietary gaps, social inequity, gender disadvantages and consumer needs resulting in varieties that are agronomically competitive, nutrient-dense, high yielding, gender-intentional and desired by consumers.</t>
  </si>
  <si>
    <t xml:space="preserve">In WCA, ESA, and SA only a limited number of Target Product Profiles (TPPs) have integrated and evaluated nutrition and gender traits in a systematic manner and only for selctive crops. Breeding teams lack recognizing the importance of nutrition and health-enhancing traits for particilar consumer groups such as women and small children. However, there is an enabling enviroment created by IITA and CIP that allow further mainstreaming gender intentionality. While food security has improved across all the regions, nutrition security has not and high levels of micronutrient deficiencies exists in WCA, ESA, SA with women, children and othermarginalised groups disproportionaly affected. </t>
  </si>
  <si>
    <t>Development of demand-driven, gender-intentional TPPs that integrate diet quality needs; shared metrics for nutritional quality and gender equality; capacity building of breeding teams; investment in screening and diagnostic infrastructure. Collaboration with nutrition and health research teams and socioeconomics research teams to generate evidence on consumer needs, dietary gaps, and policy priorities that guide breeding decisions.</t>
  </si>
  <si>
    <t>Collaboration with B4T, in particular the areas of work on Accelerated Breeding, Breeding Resources, Market Intelligence and ENABLE. I special focus needs to be on sub-AoW DESIGN to ensure the full integration of diet improving and gender-intentional traits in product concepts and the product design standard. Furthermore, INVEST and STEER are needed to assess projected benefits for target regions.</t>
  </si>
  <si>
    <t>Traders and vendors have limited incentives or awareness to prioritize the sourcing and marketing, especially to disadvantaged groups such as women, children, elderly and people suffering from chronic condictions or other health conditions, of biofortified and health-enhancing products. Market demand is weak or unclear and evidence is scarce, and regulatory frameworks for labeling or differentiation are often absent.</t>
  </si>
  <si>
    <t>Traders and vendors actively source, promote, and sell biofortified and health-enhancing crops and products to women, children and elderly people, supported by a strong value proposition, clear quality standards, and informed consumers who demand such options.</t>
  </si>
  <si>
    <t>In WCA, ESA, and SA traders and vendors often lack strong market linkages and face significant knowledge asymmetries especially about specific consumer groups such as women, children and elderly people, limiting their ability to make informed decisions which is also present in the other regions.  Traders and vendors respond to consumer demand and profit opportunities if they are correctly informed; market channels and regulatory structures currently do not allow for differentiation; traceability systems for 'invisible trait' are not feasible and affordable in all regions. However, malnutrition is most pronounced in ESA, WCA and SA.</t>
  </si>
  <si>
    <t>Clear labeling standards for target groups such as women, children and elderly health impacted people and branding for biofortified and health-enhancing products; training and market linkages for vendors; development of traceability tools and quality assurance mechanisms. Support from consumer awareness campaigns, policy advocacy for enabling regulations, and collaboration with market systems and private sector engagement teams.</t>
  </si>
  <si>
    <t>Collaboration from STEER and INVEST (B4T, AoW MArket Intelligence) are needed to provide evidence of valid investment opportunities to support trader and vendor decision making. Policy Innovation is needed to support labeling and tracability policies. Collaboration with the gender accelerator to ensure that the design and marketing is not gender blind.</t>
  </si>
  <si>
    <t>Consumer awareness and demand for biofortified and health-enhancing foods are generally low and many consumers are not aware of their deficiencies. Misconceptions from the GMO debates, lack of clear labeling to target groups such as women, children and elderly people, and limited availability or affordability hinder widespread adoption especially among low-income and nutritionally vulnerable populations.</t>
  </si>
  <si>
    <t>Consumers are informed, motivated, and demand and are able to include biofortified and health-enhancing foods in their diets driven by clear value propositions, affordable options, positive Behavior Change Communication (BCC), and supportive food environments. FArmers benefit economically from this demand. There is a clearly definde consumer market segment that addresses the needs of women, children and elderly health impaired people.</t>
  </si>
  <si>
    <t xml:space="preserve">Across all regions consumers have difficulties assessing their health and nutrient status and are therefore not aware of any deficiencies. Especially vulnerable populations without access to health care or information. </t>
  </si>
  <si>
    <t xml:space="preserve">Strategic BCC and social marketing campaigns addressing the needs of women, childrenand elderly, health-impaired people; consumer research to tailor messaging and product development to target populations; partnerships with community organizations and retailers. Support from media, education, and health sectors to amplify messaging; collaboration with market and food policy teams to ensure affordability and retail availability. </t>
  </si>
  <si>
    <t>Food system actions and making food environments healthy are essential, but insufficient, to increase the consumption of sustainable healthy diets by all:  Consumers often lack knowledge about nutritious diets, sufficient (monetary) resources, autonomy, and empowerment to acquire foods. Once foods have been acquired, they need to be consumed. The transformation of foods into a sustainable healthy diet for all requires, amongst other things, nutrition knowledge (which is often missing), an equitable (i.e., based on nutritional needs) distribution of foods within the household (often not the case), and autonomy and empowerment (often lacking). Complementary policies that unlock the full potential of food systems transformation are missing</t>
  </si>
  <si>
    <t>1) Consumers have adequate knowledge about nutritious diets and sufficient (monetary) resources, autonomy, and empowerment to acquire foods. 2) The transformation of foods into a sustainable healthy diet for all is not hindered by limited nutrition knowledge, inequitable (i.e., based on nutritional needs) distribution of foods within the household, or limited autonomy and empowerment.  Health, and other sectoral policies are well-aligned, with a shared emphasis on the role of diets in achieving both economic and health goals.</t>
  </si>
  <si>
    <t>The potential for impact is highest in the areas with the lowest social inclusion today</t>
  </si>
  <si>
    <t>Efforts by BDN will be recognized as being useful and taken up as approaches for evidence synthesis. BDN will not have any direct impacts on social inclusion but may affect it indirectly by improving diets of the most vulnerable.</t>
  </si>
  <si>
    <t>Regional bodies will be willing and able to make use of BDN knowledge products. Alignement with other P/As on keys messages for BDN. BDN will not have any direct impacts on social inclusion but may affect it indirectly by improving diets among the most vulnerable groups.</t>
  </si>
  <si>
    <t xml:space="preserve">Regional bodies will be willing and able to make use of BDN capacity sharing products/services/reccommendations. Alignement with other P/As on keys messages for BDN. BDN will not have any direct impacts on social inclusion but may lead to a more equal society by improving diets of the most vulnerable. </t>
  </si>
  <si>
    <t>There is willingness and ability among P/As in BDN led activities to strengthem coordination, knowledge uptake and adoption of systems thinking. BDN will not social inclusion directly, but given that nutritionally vulnerable groups are also socially vulnerable - it addresses social inclusion indierctly. Addtionally, this coordinated effort along with other SP/As can help them achieve their targets faster and lead to a more equitable and equal society.</t>
  </si>
  <si>
    <t>Climate adaptation Indicator</t>
  </si>
  <si>
    <t>Current diets are not sustainable and have a high environmental footprint contributing to climate change. Mitigation solutions do normally not include healthy diet considerations. Current diets lack diversity that could contribute to biodiversity and as such to mitigate climate change</t>
  </si>
  <si>
    <t>Current diets are diverse and have a low environmental impact  (in terms of GHGe, water and land use). Deman from consumers for sustainabel healthy diets act as pull to change production and processing towards more envornmental sustainability and as such contribute to mitigation of climate change. Climate smart itigation strategies do include sustianble diet considerations (i.e. understanding of trade-off and synergies to improve diets).</t>
  </si>
  <si>
    <t>wilingness and ability to produce in a sustainable way. FBDGs include sustainability in diet formulation. Consumers are willing and able to consume sustainable diets and their demand form a pull factor and stimulation of sustianbale production and processing. We cannot differentiate regional differences in this regard without further data collection.</t>
  </si>
  <si>
    <t xml:space="preserve">Understanding of how diets can be formulated that are diverse and environmentally sustainability without affecting the healthyness of diets. </t>
  </si>
  <si>
    <t xml:space="preserve">Collaboration with Climate accelerator to identify major research questions still open in the climate-nutrition nexus. </t>
  </si>
  <si>
    <t>we discuss the current state in the Environment tab</t>
  </si>
  <si>
    <t>we discuss the ideal state in the Environment tab</t>
  </si>
  <si>
    <t>1. The only real solution we are working on that would have climate adaptation impacts would be related to food loss and waste (and food safety, which can relate to food loss and waste).So we mark it high; other components are less likely to lead to climate adaptation and there are no regional differences we can think of.</t>
  </si>
  <si>
    <t>we discuss the assumptions in the Environment tab</t>
  </si>
  <si>
    <t>we discuss the requirements in the Environment tab</t>
  </si>
  <si>
    <t>we discuss the requirements in the environment tab</t>
  </si>
  <si>
    <t>Fruit and vegetable production is negatively affected by increased temperature, drought, increase pests and disease pressure. In addition, actors currently have low access to climate-smart technologies. Abusive application of fertilizers, phytosanitary and water increased fruit and vegetable production environmental footprint.</t>
  </si>
  <si>
    <t xml:space="preserve">Actors adopt climate smart technologies to adapt to the effects of climate changes to improve supply of safe fruit and vegetables. </t>
  </si>
  <si>
    <t>Exposure to climate change effect is high in ESA and WCA and there is demand from governments and value chains actors to have affordable climate smart technologies.</t>
  </si>
  <si>
    <t>Identify and scale fruit and vegetable solutions that support adaptation to climate change</t>
  </si>
  <si>
    <t>Strong collaboration with Sustainable farming especially on climate smart production systems</t>
  </si>
  <si>
    <t>Climate change has a huge impact on the loss experienced in the fisheries sector. Post harvest &amp; processing activities often have a significant environmental impact as wood for firewood for example is used. The role of new climate smart technologies to minimize food loss and waste at all stages of the fish value chain will allow for a more efficient use of resources</t>
  </si>
  <si>
    <t xml:space="preserve">Actors adopt climate smart technologies to address loss and waste post harvest </t>
  </si>
  <si>
    <t>ESA and WCA have active bilaterals and demand from governments to have affordable climate smart technologies. For Bangladesh for example depending on species and season, the post harvest quality loss of wet fish ranges from 10-39%. This is similar across the South Asia region where demand for low cost climate smart post harvest technologies is high</t>
  </si>
  <si>
    <t>Identify and scale aquatic source food solutions that support adaptation to climate change</t>
  </si>
  <si>
    <t>Strong collaboration with SAAFs especially on climate smart aquatic source foods systems</t>
  </si>
  <si>
    <t xml:space="preserve">Terrestrial animal surce foods production impacts negatively on the environment through GHG emissions and is also negatively impacted by increased temperature, and climate induced pests and diseases. Actors currently have low access to climate-smart technologies. </t>
  </si>
  <si>
    <t>Actors adopt climate smart technologies along the post-production nodes of the value chain, for instance best practices in slaiughter waste management</t>
  </si>
  <si>
    <t>In WCA, ESA, and SA livetock traders and vendors often  face significant knowledge asymmetries especially about livestock's impact on climate change and how climate change impacts on livestock.</t>
  </si>
  <si>
    <t>Identify and scale terrestrial animal source food solutions that support adaptation to climate change</t>
  </si>
  <si>
    <t>Strong collaboration with SAAFs especially on climate smart animal source foods systems</t>
  </si>
  <si>
    <t>Non-sustainable food systems pratices contributing to environmental degradation, and high post-harvest increase environmental footprint of fruit and vegetable, aquatic and terrestrial animal source food value chains.
Low access to technologies that are environmental-friendly.</t>
  </si>
  <si>
    <t>Actors adopt sustainable integrated solutions for fruit, vegetable, aquatic and terrestrial animal source food production, marketing and consumption</t>
  </si>
  <si>
    <t>In WCA, ESA, and SA, considering the interest of actors in accessing and using climat-smart solutions, more impact can be achieved in these regions.</t>
  </si>
  <si>
    <t>Include environmental sustainability in the selection of developed solutions to be scaled</t>
  </si>
  <si>
    <t>Strong collaboration with SAAF and Sustainable farming, especially on climate smart crops and animal source foods systems</t>
  </si>
  <si>
    <t>Fragmented policy options to inform links between diets and climate on food systems transformation towards better diets.</t>
  </si>
  <si>
    <t>Policy prioritize sustainable food system transformations and create enabling environment for their implementation</t>
  </si>
  <si>
    <t>SA has a more conducive policy environment where impact can be made compared to the other regions, which, despite the high need for climate-smart solutions, have less conducive policy implementation environment.</t>
  </si>
  <si>
    <t>Translate evidence into policy and identify the right entry for policy maker engagement</t>
  </si>
  <si>
    <t>Traders and vendors have limited incentives or awareness to prioritize the sourcing and marketing of biofortified and health-enhancing products. Market demand is weak or unclear, and regulatory frameworks for labeling or differentiation are often absent. Nutritious crops that are climate resilient are needed for sustainable development but addressing multiple goals with one commodity is often disregarded.</t>
  </si>
  <si>
    <t>Traders and vendors actively source, promote, and sell biofortified and health-enhancing crops and products, that are also climate resilient. These are supported by a strong value proposition, clear quality standards, and informed consumers who demand such options, especially climate concious consumers. They are able to market their products to the respective consumer segments.</t>
  </si>
  <si>
    <t>In WCA, ESA, and SA are all highly affected by climate change and traders and vendors often lack strong market linkages and face significant knowledge asymmetries, limiting their ability to make informed decisions and market products accordingly. In other regions this is also present but less extreme.</t>
  </si>
  <si>
    <t>Clear labeling standards and branding for biofortified and health-enhancing products to the respective climate aware consumer segments addressing malnutrion and providing information on climate resilience, adaptation and mitigation; training and market linkages for vendors; development of traceability tools and quality assurance mechanisms. Support from consumer awareness campaigns, policy advocacy for enabling regulations, and collaboration with market systems and private sector engagement teams.</t>
  </si>
  <si>
    <t>Collaboration from STEER and INVEST (B4T, AoW MArket Intelligence) are needed to provide evidence of valid investment opportunities to support trader and vendor decision making. Policy Innovation is needed to support labeling and tracability policies with special regards to climate.</t>
  </si>
  <si>
    <t>Policy options that consider nutrition and address climate change together are lacking or are inconsistently addressed in agricultural, food systems, and public health policies. Limited engagement with policymakers and lack of coherent strategies that are climate and nutrition sensitive hinder integration and adoption of biofortified and health-enhancing crops.</t>
  </si>
  <si>
    <t xml:space="preserve">Policies addressing climate together with nutrition at national and regional levels consistently prioritize and integrate biofortified and health-enhancing crops into agriculture, food systems, nutrition, climate and health agendas driven by stakeholder demand and evidence-based guidance to improve food and nutrition security. </t>
  </si>
  <si>
    <t>In WCA, ESA, and SA policy frameworks remain weak and do not include multiple aspects, and stakeholder engagement is often fragmented and inconsistent, they also do not target farmers with respect to climate adaptation and mitigation through nutrition policies. Policies that address a variety of aspects, e.g. climate, poverty, heatlh, nutrition, equity are lacking  or are underdeveloped in all regions.</t>
  </si>
  <si>
    <t>Robust integrated policy research and synthesis with a focus on climate and nutrition; strategic partnerships with policy influencers; targeted advocacy campaigns to address climate and nutrition; monitoring policy impact on equity, climate, and nutrition outcomes; generating evidence for valid investment cases through projected impact determination in the area of social equity. Support from public health, legal, trade, and education sectors to harmonize and implement enabling legislation, standards, and cross-sector frameworks that align with improved diets and nutrition goals.</t>
  </si>
  <si>
    <t>Close collaboration with Policy Innovation; B4T AoW on Market Intelligence to generate Investment cases (INVEST), and benefit projections (STEER) in target geographies and close alignment with the Climate Science Program.</t>
  </si>
  <si>
    <t>Breeding programs do not consistently incorporate nutritional traits or consumer-demanded profiles in combination with climate traits. Integration of nutrition is often dependent on project-specific funding or champions and lacks institutionalization across CGIAR and NARS systems.</t>
  </si>
  <si>
    <t>Breeding pipelines mainstream nutritional traits in addition to climate traits (stress, diesease and pest tolerances) in target product profiles (TPPs), guided by evidence on dietary gaps, social inequity, climatic needs and consumer needs resulting in varieties that are agronomically competitive, nutrient-dense, high yielding, climate adapted and desired by consumers.</t>
  </si>
  <si>
    <t xml:space="preserve">In WCA, ESA, and SA only a limited number of Target Product Profiles (TPPs) have integrated and evaluated nutrition and climate traits in a systematic manner and only for selctive crops. Breeding teams lack recognizing the importance of nutrition and health-enhancing traits fin combination with climate traits. While food security has improved across all the regions, nutrition security has not and high levels of micronutrient deficiencies exists in WCA, ESA, SA with some areas disproportionaly affected by climate change </t>
  </si>
  <si>
    <t>Traders and vendors have limited incentives or awareness to prioritize the sourcing and marketing, especially with regards to climate adaptation and mitigation, of biofortified and health-enhancing products. Market demand is weak or unclear and evidence is scarce, and regulatory frameworks for labeling or differentiation are often absent.</t>
  </si>
  <si>
    <t>Traders and vendors actively source, promote, and sell biofortified and health-enhancing crops and products with additional climate benefitis, supported by a strong value proposition, clear quality standards, and informed consumers who demand such options.</t>
  </si>
  <si>
    <t>In WCA, ESA, and SA traders and vendors often lack strong market linkages and face significant knowledge asymmetries especially about climate change, limiting their ability to make informed decisions which is also present in the other regions.  Traders and vendors respond to consumer demand and profit opportunities if they are correctly informed; market channels and regulatory structures currently do not allow for differentiation; traceability systems for 'invisible trait' are not feasible and affordable in all regions. However, malnutrition is most pronounced in ESA, WCA and SA where climate change is also prevalent and products are needed that address multiple aspects simultaneously.</t>
  </si>
  <si>
    <t>Clear labeling standards for target groups and branding for biofortified and health-enhancing products with additional climate benefits; training and market linkages for vendors; development of traceability tools and quality assurance mechanisms. Support from consumer awareness campaigns, policy advocacy for enabling regulations, and collaboration with market systems and private sector engagement teams.</t>
  </si>
  <si>
    <t>Consumer awareness and demand for biofortified and health-enhancing foods are generally low and many consumers are not aware of their deficiencies and the impact of climate change. Misconceptions from the GMO debates, lack of clear labeling, and limited availability or affordability hinder widespread adoption especially among low-income and nutritionally vulnerable populations.</t>
  </si>
  <si>
    <t>Consumers are informed, motivated, and demand and are able to include biofortified and health-enhancing foods in their diets driven by clear value propositions, affordable options, positive Behavior Change Communication (BCC), and supportive food environments. Climate change aspects are also adequately addressed. There is a clearly definde consumer market segment that addresses the needs of climate aware people.</t>
  </si>
  <si>
    <t>Across all regions consumers have difficulties assessing their health, nutrient status, and how they are impacted by climate change. TPPs are not mainstreamed for multiple aspects such as nutrition, climate and gender.</t>
  </si>
  <si>
    <t xml:space="preserve">Strategic BCC and social marketing campaigns addressing nutrition and climate change; consumer research to tailor messaging and product development to target populations; partnerships with community organizations and retailers. Support from media, education, and health sectors to amplify messaging; collaboration with market and food policy teams to ensure affordability and retail availability. </t>
  </si>
  <si>
    <t>Climate Program to tailor BCCs to reach all consumers equitably but also to ensure that economic benefits are equitably accessible.</t>
  </si>
  <si>
    <t>Limited synthesis of knowledge to inform links between diets and climate on FST towards better diets.</t>
  </si>
  <si>
    <t xml:space="preserve">Clear framework to guide knowledge synthesis that links climate to diets and nutrition on FST. Active (ongoing) synthesis of knowledge. </t>
  </si>
  <si>
    <t>There is willingness and ability among P/As in BDN led activities to strengthen coordination, deliberate efforts to link climate to BDN as part of knowledge uptake and adoption of systems thinking</t>
  </si>
  <si>
    <t xml:space="preserve">Ability to convene the BDN-AoWs in the planned activities and adequate resources complemented by willingnes of AoWs to engage </t>
  </si>
  <si>
    <t>P/As addressing climate willing and able to focus on how climate can be better linked to BDN as part of FST efforts.</t>
  </si>
  <si>
    <t>Inadequate inclusion of climate considerations as part of coordination and governance for a diet-centred FST within regions</t>
  </si>
  <si>
    <t>Adequate inclusion of climate considerations as part of coordination and governace efforts for diet-centred FST towards BDN within regions</t>
  </si>
  <si>
    <t>Effective engagement by BDN scientists in regional processes/events where climate can be integrated to be able to influence climate considerations towards BDN</t>
  </si>
  <si>
    <t>Robust engagement by other AoWs to share products that can be used in the engagments to link climate considerations to FST towards BDN. Complete alignment on key messages for BDN</t>
  </si>
  <si>
    <t>Robust engagement by other P/As to share products that can be used in the engagments to link climate considerations to FST towards BDN. Complete alignment on key messages for BDN</t>
  </si>
  <si>
    <t>Limited capcity sharing applying sytems thinking to linking climate to FST efforts towards BDN</t>
  </si>
  <si>
    <t>Strong capcity to  deliberately link climate to systems thinking on FST efforts in capcity strenthening efforts</t>
  </si>
  <si>
    <t>Stakeholders in countries and regions see the importance to include climate in capcity sharing efforts focusing on systems thinking to accelrate progress on FST towards BDN</t>
  </si>
  <si>
    <t>Adequate resources and willingness of AoWs to engage with the needed linking of climate to BDN in capacity sharing events for FST</t>
  </si>
  <si>
    <t>Adequate resources,  willingness and ability of P/As to link climate to BDN in engagements on capacity sharing events on FST</t>
  </si>
  <si>
    <t>Limited ability to lead the process to link climate to diet-centered food systems transformation efforts</t>
  </si>
  <si>
    <t>Strong leadership ability to link climate to diet-centered food systems thinking</t>
  </si>
  <si>
    <t>Implementers of FST pathways and roadmaps are willing and able to consider linking climate to a diet centred food systems thinking in their implementation efforts</t>
  </si>
  <si>
    <t xml:space="preserve">Adequate resources, willingness and ability of AoW to engage with AoW6 efforts on linking climate to BDN in the process of leading FST with systems thinking </t>
  </si>
  <si>
    <t>Other P/As adopt climate considerations as part of adopting systems thinking beyond their own outputs towards BDN</t>
  </si>
  <si>
    <t xml:space="preserve">Lack of coordination, knowledge and systmes thinking across P/As around linking climate to FST towards BDN from the perspective P/As </t>
  </si>
  <si>
    <t>Good coordination, adequate knowledge; and adoption of systems thinking that links climate to BDN across P/As around FST from the perspective of P/As</t>
  </si>
  <si>
    <t>There is willingness and ability among P/As in BDN led activities to strengthen coordination, knowledge uptake and adoption of climate as part of systems thinking towards BDN</t>
  </si>
  <si>
    <t xml:space="preserve">adequate resources, ability to convene the AoWs and their willingnes to engage in the planned activities to link climate to FST towards BDN </t>
  </si>
  <si>
    <t xml:space="preserve">P/As adopt systems thinking beyond the  immediate (economic) outputs P/As and include climate considerations in linking their FST efforts to contribute to BDN. </t>
  </si>
  <si>
    <t>Environmental Indicators</t>
  </si>
  <si>
    <t>With increasing income, populations start to eat more animal and aquatic source foods, contributing to an increased environmental footprint. However, a large proportion of populations in LMICs consume a mainly staple food based diet, so improving diet quality requires an increase in consumption of animal and/or aquatic foods. Moreover, FBDGs in LMICs often do not include environmental sustainability considerations.</t>
  </si>
  <si>
    <t>Consumers consume healthy diets with foods produced in an environmental sustainable way. This means moderation of for example animal and/or aquatic foods in populations who consume beyond what is recommended in FBDGs or global recommendations. This also means accepting that for populations with inadequate diets, moderate increase in animal and aquatic foods should be promoted (taking into account that reduced consumption in HICs should compensate for that increase at the very least).</t>
  </si>
  <si>
    <t>Consumers are willing to adjust their diets to become more environmentally sustainable. LAC should focus on reducing consumption of foods with a large environmental footprint (e.g. GHGE, water and land use). In  WCA and ESA, attention should go to improving (e.g. quantity and quality) of animal/aquatic food consumption to improve diet quality, accepting that the environmental footprint will increase. In SA, the attention depends on the segment of consumers, and either implies moderation or an increase in the consumption of animal/aquatic foods. FBDGs, when available, do not address environmental sustainability in the diets recommended, and few focus on general messages, for example reducing food loss and waste.</t>
  </si>
  <si>
    <t>Incorporation of environmental sustainability in the Food Based Dietary Guidelines. Incorporation of environmental sustainability considerations in the development of solutions promoting consumption of sustainable healthy diets. This should be supported by influencing drivers in other components of the food system (for example sustainable production and processing, sustainable transport, and policies enabling them).</t>
  </si>
  <si>
    <t xml:space="preserve">Willingness to incorporate environmental sustainability in production methods through collaboraton with B4T and SAAF. </t>
  </si>
  <si>
    <t xml:space="preserve">Sales of packages unhealthy and unsustainable foods is increasing. There is food waste at the MSMEs level . There is no attention or preference to sell environmentally sustainable foods as not profitable. </t>
  </si>
  <si>
    <t>reduced environmental polution through packaging  of food, reduced food waste at MSMEs level. Selling environmental sustainale food is prefered because it is profitable and follow demand of consumers for sustainable healthy diets.</t>
  </si>
  <si>
    <t>For all regions: MSMEs are willing, have the capacity and ability to sell environmental sustainable (and nutritious) foods and reduce food waste. No real regional differences in this goal.</t>
  </si>
  <si>
    <t xml:space="preserve">Solutions developed need to address environmental sustainability, in all regions. </t>
  </si>
  <si>
    <t>There are no specific policies on food environment and those available hardly address environmental sustainability. Environmental sustainability is addressed in the national plans for food system transformation, but only in terms of agricultural production and reduction of food loss and waste. There are policies to support consumption of healthy diets, but environmental sustainability is not or hardly included.</t>
  </si>
  <si>
    <t xml:space="preserve">Policies and strategies that support sustainable health diets  exist and are enforced; Ministries of Health incorporates promoting sustainable heathy diets in nutrition and health polcicies. </t>
  </si>
  <si>
    <t>Policy makers and decision makers are willing and have the capacity to (re)formulate policies that support consumption of sustainable healthy diets. See above for regional discussion.</t>
  </si>
  <si>
    <t>Close engagement with policy and decision makers to advocate for inclusion of sustainable healthy diets.</t>
  </si>
  <si>
    <t>Incorporation of sustainable heathy diet perspectives in other sector policies such as in agricultural policies, through collaboration with Policy Innovations. Collaboration with Policy Innovations to identify and quantify trade-offs and synergies when incorporating sustainable healthy diets considerations.</t>
  </si>
  <si>
    <t>We are only very indirectly working on environmental health, and given the poor state of indicators as well we are not filling this sheet out.</t>
  </si>
  <si>
    <t>Non-sustainable production pratices contributing to forest degradation, soil erosion and high post-harvest increase environmental footprint of fruit and vegetable value chains.</t>
  </si>
  <si>
    <t>Actors adopt sustainable vegetable and fruit technologies that optimize resources use and reduce post-harvest loss.</t>
  </si>
  <si>
    <t>ESA and WCA have high needs for sustainable solutions and there is demand from governments and value chains actors to access sustainable technologies. We can achieve higher impact in these regions.</t>
  </si>
  <si>
    <t xml:space="preserve">Environmental health directly influences the safety and quality of aquatic products. Climate smart post harvest innovations reduce waste and ensure consistent supply </t>
  </si>
  <si>
    <t>Non-sustainable production pratices contributing to environmental degradation, and high post-harvest increase environmental footprint of fruit and vegetable, aquatic and terrestrial animal source food value chains.
Low access to technologies that are environmental-friendly</t>
  </si>
  <si>
    <t>In WCA, ESA, and SA, considering the interest of actors in accessing and using sustainable solutions, more impact can be achieved in these regions.</t>
  </si>
  <si>
    <t>Strong collaboration with SAAFs and Sustainable farming especially on climate smart crops and animal source foods systems</t>
  </si>
  <si>
    <t>Traders and vendors have limited incentives or awareness to prioritize the sourcing and marketing of biofortified and health-enhancing products. Market demand is weak or unclear, and regulatory frameworks for labeling or differentiation are often absent. Nutritious crops that do not harm the environment and improve biodiversity are needed for sustainable development but addressing multiple goals with one commodity is often disregarded.</t>
  </si>
  <si>
    <t>Traders and vendors actively source, promote, and sell biofortified and health-enhancing crops and products, that are do not harm the environment. These are supported by a strong value proposition, clear quality standards, and informed consumers who demand such options, especially environmental concious consumers. They are able to market their products to the respective consumer segments.</t>
  </si>
  <si>
    <t>In WCA, ESA, and SA are all highly affected by climate change and environmental degradation and traders and vendors often lack strong market linkages and face significant knowledge asymmetries, limiting their ability to make informed decisions and market products accordingly. In other regions this is also present but less extreme.</t>
  </si>
  <si>
    <t>Clear labeling standards and branding for biofortified and health-enhancing products to the respective environmental aware consumer segments addressing malnutrion and providing information on climate resilience, adaptation and mitigation; training and market linkages for vendors; development of traceability tools and quality assurance mechanisms. Support from consumer awareness campaigns, policy advocacy for enabling regulations, and collaboration with market systems and private sector engagement teams.</t>
  </si>
  <si>
    <t>Policy options that consider nutrition and address environmental health together are lacking or are inconsistently addressed in agricultural, food systems, and public health policies. Limited engagement with policymakers and lack of coherent strategies that are environmental and nutrition sensitive hinder integration and adoption of biofortified and health-enhancing crops.</t>
  </si>
  <si>
    <t xml:space="preserve">Policies addressing environmental health together with nutrition at national and regional levels consistently prioritize and integrate biofortified and health-enhancing crops into agriculture, food systems, nutrition, climate, environment and health agendas driven by stakeholder demand and evidence-based guidance to improve food and nutrition security. </t>
  </si>
  <si>
    <t>In WCA, ESA, and SA policy frameworks remain weak and do not include multiple aspects, and stakeholder engagement is often fragmented and inconsistent, they also do not target farmers with respect to environmental health through nutrition policies. Policies that address a variety of aspects, e.g. climate, poverty, heatlh, nutrition, equity are lacking  or are underdeveloped in all regions.</t>
  </si>
  <si>
    <t>Robust integrated policy research and synthesis with a focus on environmental health and nutrition; strategic partnerships with policy influencers; targeted advocacy campaigns to addressenvironmental health and nutrition; monitoring policy impact on equity, climate, and nutrition outcomes; generating evidence for valid investment cases through projected impact determination in the area of social equity. Support from public health, legal, trade, and education sectors to harmonize and implement enabling legislation, standards, and cross-sector frameworks that align with improved diets and nutrition goals.</t>
  </si>
  <si>
    <t xml:space="preserve">Disconnected evidence between human health/nutrition/diets and environmental health </t>
  </si>
  <si>
    <t>Evidence is better connected</t>
  </si>
  <si>
    <t>Efforts by BDN will be recognized as being useful and integrated into linked impact areas</t>
  </si>
  <si>
    <t>Inadequate coordination across FS sectors within regions</t>
  </si>
  <si>
    <t>Adequate coordination across FS sectors towards BDN and environment linkages within regions</t>
  </si>
  <si>
    <t xml:space="preserve">Regional bodies will consider diets/nutrition as important to their area and be willing  to incorporate evidence of the linkages into discussions and action plans. </t>
  </si>
  <si>
    <t>Effective engagement across BDN and CGIAR Environment IA/ SP/A  scientists in regional processes/events to be able to influence discussions, plans and actions</t>
  </si>
  <si>
    <t xml:space="preserve">Robust engagement by other P/As to share products that can be used in the engagments. Complete alignment on key messages linking diets/nutrition to environment </t>
  </si>
  <si>
    <t>Capacity sharing events are often, but not always sector specific</t>
  </si>
  <si>
    <t>Growing number of cross-sector capacity sharing events</t>
  </si>
  <si>
    <t>Regional capacity sharing initiatives will consider diets/nutrition as important to their area and be willing to incorporate evidence of the linkages into discussions and action plans.</t>
  </si>
  <si>
    <t xml:space="preserve">Collaboration at SP level to demonstrate how BDN outputs are relevant to this IA </t>
  </si>
  <si>
    <t xml:space="preserve">Collaboration at CGIAR level to jointly work together across thematic areas </t>
  </si>
  <si>
    <t>Leadership trainings are often, but not always sector specific</t>
  </si>
  <si>
    <t>Growing number of cross-sector leadership training opportunities the incorporate this IA</t>
  </si>
  <si>
    <t xml:space="preserve">Regional leasership training initiatives will consider cross-thematic linkages and important focus of training </t>
  </si>
  <si>
    <t xml:space="preserve">Lack of coordination, knowledge and cross-disciplinary systems thinking across SP/As toward achievement of all IAs </t>
  </si>
  <si>
    <t>Good coordination, adequate knowledge; and adoption of  cross-disciplinary systems thinking across P/As toward achieving all CGIAR IAs</t>
  </si>
  <si>
    <t>There is willingness and ability among SP/As to strengthem coordination, knowledge uptake and adoption of systems thinking toward achieving all CGIAR IAs</t>
  </si>
  <si>
    <t xml:space="preserve">Thinking beyond the  individual IAs toward synergies and trade-offs across them </t>
  </si>
  <si>
    <r>
      <rPr>
        <sz val="11"/>
        <rFont val="Aptos Narrow"/>
        <family val="2"/>
        <scheme val="minor"/>
      </rPr>
      <t xml:space="preserve">Link to spreadsheet with raw data: </t>
    </r>
    <r>
      <rPr>
        <u/>
        <sz val="11"/>
        <color theme="10"/>
        <rFont val="Aptos Narrow"/>
        <family val="2"/>
        <scheme val="minor"/>
      </rPr>
      <t>Projected Benefits Data (Nov 2024) - With Analysis.xlsx</t>
    </r>
  </si>
  <si>
    <t xml:space="preserve">Food Security </t>
  </si>
  <si>
    <t>Poverty reduction</t>
  </si>
  <si>
    <t>Social Inclusion</t>
  </si>
  <si>
    <t>Climate Adaptation</t>
  </si>
  <si>
    <t>Environmental health</t>
  </si>
  <si>
    <t>Poor Population ($2.15)</t>
  </si>
  <si>
    <t>Gender Inclusivity Index</t>
  </si>
  <si>
    <t>Coverage</t>
  </si>
  <si>
    <t>Region totals</t>
  </si>
  <si>
    <t>Units</t>
  </si>
  <si>
    <t xml:space="preserve">Share of total population living below the minimum calorie daily threshold </t>
  </si>
  <si>
    <t>Millions of people living below the poverty line</t>
  </si>
  <si>
    <t>Millions of tons of CO2eq emissions</t>
  </si>
  <si>
    <t>Region</t>
  </si>
  <si>
    <t>r_wld</t>
  </si>
  <si>
    <t>r_dev</t>
  </si>
  <si>
    <t>Population</t>
  </si>
  <si>
    <t>Billions of people</t>
  </si>
  <si>
    <t>Number of undernourished</t>
  </si>
  <si>
    <t>Number of poor</t>
  </si>
  <si>
    <t>GII</t>
  </si>
  <si>
    <t>GHG emssions</t>
  </si>
  <si>
    <t>Weights for Food Security scale of impact</t>
  </si>
  <si>
    <t>Transposed weights</t>
  </si>
  <si>
    <r>
      <t xml:space="preserve">Potential Scale of Impact - </t>
    </r>
    <r>
      <rPr>
        <i/>
        <sz val="11"/>
        <color theme="0"/>
        <rFont val="Aptos Narrow"/>
        <family val="2"/>
        <scheme val="minor"/>
      </rPr>
      <t xml:space="preserve">this tab </t>
    </r>
    <r>
      <rPr>
        <b/>
        <i/>
        <u/>
        <sz val="11"/>
        <color theme="0"/>
        <rFont val="Aptos Narrow"/>
        <family val="2"/>
        <scheme val="minor"/>
      </rPr>
      <t xml:space="preserve">automatically </t>
    </r>
    <r>
      <rPr>
        <i/>
        <sz val="11"/>
        <color theme="0"/>
        <rFont val="Aptos Narrow"/>
        <family val="2"/>
        <scheme val="minor"/>
      </rPr>
      <t xml:space="preserve">populates your scores from your Step A Impact Area tabs, </t>
    </r>
    <r>
      <rPr>
        <b/>
        <i/>
        <u/>
        <sz val="11"/>
        <color theme="0"/>
        <rFont val="Aptos Narrow"/>
        <family val="2"/>
        <scheme val="minor"/>
      </rPr>
      <t xml:space="preserve">automatically </t>
    </r>
    <r>
      <rPr>
        <i/>
        <sz val="11"/>
        <color theme="0"/>
        <rFont val="Aptos Narrow"/>
        <family val="2"/>
        <scheme val="minor"/>
      </rPr>
      <t xml:space="preserve">weighting them by the regional Potential Scale of Impact Scores - </t>
    </r>
    <r>
      <rPr>
        <b/>
        <i/>
        <u/>
        <sz val="11"/>
        <color theme="0"/>
        <rFont val="Aptos Narrow"/>
        <family val="2"/>
        <scheme val="minor"/>
      </rPr>
      <t>You do not have to do anything in this tab</t>
    </r>
    <r>
      <rPr>
        <i/>
        <sz val="11"/>
        <color theme="0"/>
        <rFont val="Aptos Narrow"/>
        <family val="2"/>
        <scheme val="minor"/>
      </rPr>
      <t>, the excel formulas do the weighting for you.</t>
    </r>
  </si>
  <si>
    <t>Index components</t>
  </si>
  <si>
    <t>low better</t>
  </si>
  <si>
    <t>high better</t>
  </si>
  <si>
    <t>conflixt_index</t>
  </si>
  <si>
    <t>CPI</t>
  </si>
  <si>
    <t>EoDB</t>
  </si>
  <si>
    <t>EMPINX</t>
  </si>
  <si>
    <t>FSI</t>
  </si>
  <si>
    <t>Latin America and the Caribbean</t>
  </si>
  <si>
    <t>Central and West Asia and North Africa</t>
  </si>
  <si>
    <t>West and Central Africa</t>
  </si>
  <si>
    <t>East and Southern Africa</t>
  </si>
  <si>
    <t>South Asia</t>
  </si>
  <si>
    <t>South East Asia and the Pacific</t>
  </si>
  <si>
    <t>Europe</t>
  </si>
  <si>
    <t>North America</t>
  </si>
  <si>
    <t>Enabling environment weights</t>
  </si>
  <si>
    <t>Aggregate (equal weighting of component indices)</t>
  </si>
  <si>
    <r>
      <t xml:space="preserve">Enabling Environment - </t>
    </r>
    <r>
      <rPr>
        <i/>
        <sz val="11"/>
        <color theme="0"/>
        <rFont val="Aptos Narrow"/>
        <family val="2"/>
        <scheme val="minor"/>
      </rPr>
      <t xml:space="preserve">This tab </t>
    </r>
    <r>
      <rPr>
        <b/>
        <i/>
        <u/>
        <sz val="11"/>
        <color theme="0"/>
        <rFont val="Aptos Narrow"/>
        <family val="2"/>
        <scheme val="minor"/>
      </rPr>
      <t>automatically</t>
    </r>
    <r>
      <rPr>
        <b/>
        <i/>
        <sz val="11"/>
        <color theme="0"/>
        <rFont val="Aptos Narrow"/>
        <family val="2"/>
        <scheme val="minor"/>
      </rPr>
      <t xml:space="preserve"> </t>
    </r>
    <r>
      <rPr>
        <i/>
        <sz val="11"/>
        <color theme="0"/>
        <rFont val="Aptos Narrow"/>
        <family val="2"/>
        <scheme val="minor"/>
      </rPr>
      <t xml:space="preserve">populates your scores from your Step B tab (that is, the Impact Area tabs*Potential Scale for Impact). It automatically weights your Step B scores by the regional Enabling Environment - </t>
    </r>
    <r>
      <rPr>
        <b/>
        <i/>
        <u/>
        <sz val="11"/>
        <color theme="0"/>
        <rFont val="Aptos Narrow"/>
        <family val="2"/>
        <scheme val="minor"/>
      </rPr>
      <t>You do not have to do anything in this tab</t>
    </r>
    <r>
      <rPr>
        <i/>
        <sz val="11"/>
        <color theme="0"/>
        <rFont val="Aptos Narrow"/>
        <family val="2"/>
        <scheme val="minor"/>
      </rPr>
      <t>, the excel formulas do the weighting for you.</t>
    </r>
    <r>
      <rPr>
        <b/>
        <sz val="11"/>
        <color theme="0"/>
        <rFont val="Aptos Narrow"/>
        <family val="2"/>
        <scheme val="minor"/>
      </rPr>
      <t xml:space="preserve"> THESE ARE YOUR FINAL SCORES</t>
    </r>
  </si>
  <si>
    <t>Average</t>
  </si>
  <si>
    <t>Automatically generated narratives for Phase 2 - Final decisions</t>
  </si>
  <si>
    <t>Minimum</t>
  </si>
  <si>
    <t>2025 Budget from pooled funding (USD)</t>
  </si>
  <si>
    <t>Share (%)</t>
  </si>
  <si>
    <t># CGIAR Centers getting W1/2 funding from BDN</t>
  </si>
  <si>
    <t>2025 Budget from W3/Bilaterals (USD)</t>
  </si>
  <si>
    <t>Total</t>
  </si>
  <si>
    <t># CGIAR Centers involved</t>
  </si>
  <si>
    <t>Inception</t>
  </si>
  <si>
    <t>-</t>
  </si>
  <si>
    <t>H1 2025 cross-cutting</t>
  </si>
  <si>
    <t>H2 2025 cross-cutting</t>
  </si>
  <si>
    <t>Maximum</t>
  </si>
  <si>
    <r>
      <t xml:space="preserve">Deviations from Scores - </t>
    </r>
    <r>
      <rPr>
        <i/>
        <sz val="11"/>
        <color theme="0"/>
        <rFont val="Aptos Narrow"/>
        <family val="2"/>
        <scheme val="minor"/>
      </rPr>
      <t>In this tab, you should higlight, for the HLOs (and regions), where, based on Phase 2 of the methodology, your Program/Accelerator team has decided to deviate from the scores shown in Phase 1. Here you will justify your decisions - this analysis will inform the content of your Inception Report, Section 5.2.</t>
    </r>
  </si>
  <si>
    <t>HLO (Region + Impact Area, if relevant)</t>
  </si>
  <si>
    <t xml:space="preserve">Other factors considered </t>
  </si>
  <si>
    <t>How they were considered</t>
  </si>
  <si>
    <t xml:space="preserve">Final decisions and justifications on the priority of this HLO </t>
  </si>
  <si>
    <t>Note: Since the 2025 PORB is at the AoW level and not at the HLO level, we will provide our justifications at the AoW level.</t>
  </si>
  <si>
    <t>AoW1: Consumers and food environments</t>
  </si>
  <si>
    <t>• AoW1's comparative advantage (CA) is moderately high (0.5) across its HLOs due to its strong in-country networks and ability to conduct research that informs policy. While other entities could undertake AoW1, BDN excels in food environment research and technical content development, ensuring relevance for policymakers and effective implementation within diverse sectors.
• AoW1 builds on the Initiative SHiFT and has ongoing MoUs and contracts with local partners in Vietnam, Bangladesh and Ethiopia that need to be continued (contract commitments) to ensure essential contribution of these partners to the AoW outputs and outcome. 
• Impact evaluation studies of solution to test potential to improve diets and contribute to food system transformation are complex and need a large budget as include extended time and financial consuming resources. 
• AoW1 is committed to a Gates bilateral project (CapSha) to support activties and share capacities with local partners in the three key countries on food system transformation; budget is reserved for this (in collaboration with AoW3).</t>
  </si>
  <si>
    <t>We considered both CGIAR's comparative advantage in AoW1; the partner commitment to be able to achieve outputs/outcomes (especially related to environmental sustainability of diets, diet modelling and dietary intake assessments using AI and qualitative studies); the strong connection to national priorities and demands of the key countries, and the relative expensive impact assesment</t>
  </si>
  <si>
    <t>• Scores: The final Step C scores range from 0.09 to 0.49 across regions, average around 0.25 in Nutrition, Food Security and Health, and range from 0.21 to 0.28 for the other Impact Areas.
• Decision: AoW1 receives 35% of W1/2 funding allocated among 4 CGIAR Centers, and 16% of total funding including bilateral/W3 grants in 2025.
• Justification: Funding for AoW1 was prioritized in 2025 due to its moderately high comparative advantage and strong in-country networks, ensuring policy-relevant research and effective implementation. Existing MoUs and contracts in Vietnam, Bangladesh, and Ethiopia require continuity. Impact evaluations demand significant resources. Additionally, AoW1 supports the Gates bilateral CapSha project, collaborating with AoW3 to advance food system transformation.</t>
  </si>
  <si>
    <t>AoW2: Market systems</t>
  </si>
  <si>
    <t>• AoW2's comparative advantage (CA) is moderately high (0.5) across its HLOs due to its strong research capacity. While other parties like Pearl Dairies, Pure Earth, and FASA could undertake this AoW, BDN excels in impact assessment on diets and consumers, monitoring and evaluation, and piloting solutions, ensuring effective implementation and informed decision-making.</t>
  </si>
  <si>
    <t>• Scores: The final Step C scores range from 0.03 to 0.65 across regions, average around 0.28 in Nutrition, Food Security and Health, and range from 0.19 to 0.41 for the other Impact Areas. AoW2 is particularly notable for its capacity to contribute to Poverty Reduction, Livelihoods and Jobs (average score of 0.41).
• Decision: AoW2 receives 14% of W1/2 funding allocated among 6 CGIAR Centers, and 11% of total funding including bilateral/W3 grants in 2025.
• Justification: We maintain a moderate allocation of funding for AoW1 in 2025 because its comparative advantage is moderately high and its strongest capacity (among all AoWs) to contribute to Poverty Reduction, Livelihoods and Jobs.</t>
  </si>
  <si>
    <t>AoW3: End-to-end solutions</t>
  </si>
  <si>
    <t>• AoW3's comparative advantage (CA) is moderately high (0.5) across its HLOs due to its partnership with WorldVeg, enabling expertise across markets, consumer diets, research, and holistic approaches. AoW3 also strengthens ZAFIRI and TAFIRI’s nutrition capacity in aquaculture and food loss solutions, while enhancing ASF food safety, research tools, and capacity-building efforts.
• AoW3 has a large part of the pooled funding committed to partners in AoW3 countries for production and processing of fruits and vegetables (e.g WorldVeg, and others) to be able to achieve the outputs/outcome (partner commitments). In addition collaboration with SAAF is committed. 
• AoW3 committed to a Gates Foundation bilateral project (CapSha) to support activties and share capacities with local partners in the three key countries on food system transformation; budget is reserved for this (in collaboration with AoW3).</t>
  </si>
  <si>
    <t>We considered both the partners (e.g. WorldVeg) comparative advantage in AoW3; the partner and contract commitments to be able to achieve outputs/outcomes; the relative high costs of interventions and the commitment to support the Gates Foundation W3/bilateral CapSha project.</t>
  </si>
  <si>
    <t>• Scores: The final Step C scores range from 0.06 to 0.81 across regions, average around 0.29 in Nutrition, Food Security and Health, and range from 0.24 to 0.32 for the other Impact Areas.
• Decision: AoW3 receives 34% of W1/2 funding allocated among 9 CGIAR Centers, and 18% of total funding including bilateral/W3 grants in 2025.
• Justification: Funding for AoW3 was prioritized in 2025 due to its moderately high comparative advantage through its strong partnership with WorldVeg, enhancing expertise in markets, consumer diets, and nutrition capacity. Existing partner commitments in production and processing of fruits and vegetables require continuation. Additionally, AoW3 supports the Gates bilateral CapSha project, collaborating to advance food system transformation and capacity-building.</t>
  </si>
  <si>
    <t>AoW4: Biofortified and health-enhancing staples</t>
  </si>
  <si>
    <t>The CGIAR has a strong comparative advantage in AoW4 as it has already established CGIAR-NARES networks organizing more than 100 breeding pipelines for 20 crops reaching more than 150 countries in the Global South. Hence, it is best positioned to collaborate with the Breeding for Tomorrow Program to (1) ensure biofortified and health-enhancing traits are integrated in target product profiles in targeted market segments characterized by high levels of nutrition and health challenges, and (2) foster the uptake of the resulting products in farmers' fields and consumers' diets. Hence, there is a strong cross-portfolio dependency. AoW4 holds a strong comparative advantage (CA=1) over other organizations such as HarvestPlus Solutions and GAIN to undertake the work across its HLOs because these other parties lack the research capacity, but can help AoW4 in scaling. AoW4 strengthens evidence-based implementation through partnerships.</t>
  </si>
  <si>
    <t>We considered both CGIAR's comparative advantage in AoW4, the bilateral/W3 funding invested in AoW4, and the need for this new AoW to start up in 2025 and play an important role in portfolio integration. We also considered the significant reduction of the B4T Science programand decision to focus on breeding affecting the scope for integration or coordination of biofortification in this Science program.</t>
  </si>
  <si>
    <t>• Scores: The final Step C scores range from 0.06 to 0.65 across regions, average around 0.22 in Nutrition, Food Security and Health, and range from 0.23 to 0.24 for the other Impact Areas. Although AoW4 is less focused on dietary diversity than other AoWs, justifying a slightly lower score, its contributions are still considered to be in the same range. The strength of AoW4 is its capacity for portfolio integration, especially with the Breeding for Tomorrow Program, and its ability to consistently contribute to all five Impact Areas thanks to the integration of biofortified and health-enhancing traits alongside other traits (productivity, climate resilience, stress tolerance, grain quality, etc.) in product development in breeding.
• Decision: AoW4 receives 1% of W1/2 funding allocated among 9 CGIAR Centers, and 30% of total funding including bilateral/W3 grants.
• Justification: The CGIAR has a strong comparative advantage in AoW4 (see other factors considered). AoW4 is currently well-funded in terms of bilateral/W3 grants. However, these grants are mostly operating in silos and need to be coordinated centrally through AoW4 to ensure they align well with the Breeding for Tomorrow Program such that their contribution to the Impact Areas is greater than the sum of their individual contributions. Due to the budget decline in 2025, we decided to allocate a minimal share of W1/2 to get this important coordination work started in 2025. Over time, we plan to increase this share to ensure AoW4 is well integrated in both the Better Diets and Nutrition and the Breeding for Tomorrow Programs, contributes to the Program's outcomes and fosters CGIAR's comparative advantage. CGIAR breeding programs tend to underinvest in the integration of biofortified and health-enhancing traits in product design and there is no other Program fostering the uptake of these products. Therefore, AoW4 plays a crucial role in CGIAR portfolio integration around its comparative advantage.</t>
  </si>
  <si>
    <t>AoW5: Multi-sectoral systems</t>
  </si>
  <si>
    <t>• CA: Several other parties work on this area of focus but none have the triple advantage of research expertise, policy engagement and local networks to deliver the output, which is AoW5's CA.</t>
  </si>
  <si>
    <t>We considered the decline of the 2025 budget and the fact that AoW5 received substantial bilateral funding to achieve its objectives (albeit involving a single Center).</t>
  </si>
  <si>
    <t>• Scores: The final Step C scores range from 0.06 to 0.65 across regions, average around 0.32 in Nutrition, Food Security and Health, and range from 0.14 to 0.25 for the other Impact Areas.
• Decision: AoW5 receives 0% of W1/2 funding allocated among 1 CGIAR Centers, and 15% of total funding including bilateral/W3 grants.
• Justification: We considered the AoW5 relying heavily on bilateral funding to achieve the objectives. Most of the work is related to synthesis of the results of these bilateral projects. As most of these projects have not finalized yet, the synthesis can be delayed to 2026.</t>
  </si>
  <si>
    <t>AoW6: Transformative leadership</t>
  </si>
  <si>
    <t>• AoW6's comparative advantage (CA) is moderately high (0.5) across its HLOs, ensuring global focus on diets and food systems. While partners like UNFSS, CAADP, and ANH Academy contribute, BDN fills research gaps. Regional initiatives offer similar outputs but lack diet-specific focus. Internal taskforces limit outsourcing feasibility, strengthening AoW6's role in dissemination and implementation.
• AoW6 plays a consolidating, synthesizing and aggregating role in the Theory of Change of the Better Diets and Nutrition Program. AoW6 relies on activities and outputs from AoW1-4.</t>
  </si>
  <si>
    <t>We considered AoW6's role in the Theory of Change of the Better Diets and Nutrition Program.</t>
  </si>
  <si>
    <t>• Scores: The final Step C scores range from 0.09 to 0.65 across regions, average around 0.24 in Nutrition, Food Security and Health, and range from 0.21 to 0.32 for the other Impact Areas.
• Decision: AoW6 receives 3% of W1/2 funding allocated among 3 CGIAR Centers, and 3% of total funding including bilateral/W3 grants.
• Justification: We followed the Theory of Change and considered that the work of AoW6 is relying  to a large part on activities to be carried out in AoW1-4, as so offer the opportunity to link or piggyback on activities organized and funded under the AoW1-4 , and to work with the country coordinators of AoW1 and AoW3. Over time, as activities and outputs from AoW1-4 accumulate, AoW6's role and budget may increase to amplify and leverage the outputs and outcomes of AoW1-4 in its role as consolidator and aggregator of the Better Diets and Nutrition 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</si>
</sst>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00000"/>
  </numFmts>
  <fonts count="35">
    <font>
      <sz val="11"/>
      <color theme="1"/>
      <name val="Aptos Narrow"/>
      <family val="2"/>
      <scheme val="minor"/>
    </font>
    <font>
      <b/>
      <sz val="11"/>
      <color theme="1"/>
      <name val="Aptos Narrow"/>
      <family val="2"/>
      <scheme val="minor"/>
    </font>
    <font>
      <b/>
      <sz val="11"/>
      <color theme="0"/>
      <name val="Aptos Narrow"/>
      <family val="2"/>
      <scheme val="minor"/>
    </font>
    <font>
      <sz val="11"/>
      <color theme="0"/>
      <name val="Aptos Narrow"/>
      <family val="2"/>
      <scheme val="minor"/>
    </font>
    <font>
      <sz val="11"/>
      <color rgb="FF000000"/>
      <name val="Calibri"/>
      <family val="2"/>
    </font>
    <font>
      <u/>
      <sz val="11"/>
      <color theme="10"/>
      <name val="Aptos Narrow"/>
      <family val="2"/>
      <scheme val="minor"/>
    </font>
    <font>
      <b/>
      <i/>
      <sz val="11"/>
      <color theme="1"/>
      <name val="Aptos Narrow"/>
      <family val="2"/>
      <scheme val="minor"/>
    </font>
    <font>
      <b/>
      <i/>
      <sz val="11"/>
      <color theme="0"/>
      <name val="Aptos Narrow"/>
      <family val="2"/>
      <scheme val="minor"/>
    </font>
    <font>
      <i/>
      <sz val="11"/>
      <color theme="0"/>
      <name val="Aptos Narrow"/>
      <family val="2"/>
      <scheme val="minor"/>
    </font>
    <font>
      <b/>
      <i/>
      <u/>
      <sz val="11"/>
      <color theme="0"/>
      <name val="Aptos Narrow"/>
      <family val="2"/>
      <scheme val="minor"/>
    </font>
    <font>
      <i/>
      <sz val="11"/>
      <color rgb="FF000000"/>
      <name val="Calibri"/>
      <family val="2"/>
    </font>
    <font>
      <i/>
      <sz val="11"/>
      <color theme="1"/>
      <name val="Aptos Narrow"/>
      <family val="2"/>
      <scheme val="minor"/>
    </font>
    <font>
      <b/>
      <sz val="14"/>
      <color theme="1"/>
      <name val="Aptos Narrow"/>
      <family val="2"/>
      <scheme val="minor"/>
    </font>
    <font>
      <sz val="14"/>
      <color theme="1"/>
      <name val="Aptos Narrow"/>
      <family val="2"/>
      <scheme val="minor"/>
    </font>
    <font>
      <sz val="8"/>
      <name val="Aptos Narrow"/>
      <family val="2"/>
      <scheme val="minor"/>
    </font>
    <font>
      <sz val="11"/>
      <name val="Aptos Narrow"/>
      <family val="2"/>
      <scheme val="minor"/>
    </font>
    <font>
      <sz val="9"/>
      <color indexed="81"/>
      <name val="Tahoma"/>
      <family val="2"/>
    </font>
    <font>
      <b/>
      <sz val="9"/>
      <color indexed="81"/>
      <name val="Tahoma"/>
      <family val="2"/>
    </font>
    <font>
      <sz val="11"/>
      <color theme="1" tint="0.34998626667073579"/>
      <name val="Aptos Narrow"/>
      <family val="2"/>
      <scheme val="minor"/>
    </font>
    <font>
      <b/>
      <sz val="12"/>
      <color theme="1"/>
      <name val="Aptos"/>
      <family val="2"/>
    </font>
    <font>
      <sz val="12"/>
      <color theme="1"/>
      <name val="Aptos"/>
      <family val="2"/>
    </font>
    <font>
      <sz val="11"/>
      <color theme="1"/>
      <name val="Aptos"/>
      <family val="2"/>
    </font>
    <font>
      <sz val="8"/>
      <color theme="1"/>
      <name val="Aptos"/>
      <family val="2"/>
    </font>
    <font>
      <i/>
      <sz val="11"/>
      <color theme="5"/>
      <name val="Aptos"/>
      <family val="2"/>
    </font>
    <font>
      <sz val="11"/>
      <name val="Calibri"/>
      <family val="2"/>
    </font>
    <font>
      <i/>
      <sz val="11"/>
      <color rgb="FFC00000"/>
      <name val="Aptos"/>
      <family val="2"/>
    </font>
    <font>
      <i/>
      <sz val="11"/>
      <color theme="5"/>
      <name val="Aptos Narrow"/>
      <family val="2"/>
      <scheme val="minor"/>
    </font>
    <font>
      <b/>
      <sz val="8"/>
      <color theme="1"/>
      <name val="Aptos"/>
      <family val="2"/>
    </font>
    <font>
      <b/>
      <sz val="11"/>
      <color rgb="FFFF0000"/>
      <name val="Aptos Narrow"/>
      <family val="2"/>
      <scheme val="minor"/>
    </font>
    <font>
      <sz val="11"/>
      <color rgb="FFFF0000"/>
      <name val="Aptos Narrow"/>
      <family val="2"/>
      <scheme val="minor"/>
    </font>
    <font>
      <sz val="11"/>
      <color rgb="FF000000"/>
      <name val="Aptos Narrow"/>
      <family val="2"/>
    </font>
    <font>
      <sz val="11"/>
      <color theme="1"/>
      <name val="Aptos Narrow"/>
      <family val="2"/>
      <scheme val="minor"/>
    </font>
    <font>
      <sz val="11"/>
      <color rgb="FF000000"/>
      <name val="Aptos Narrow"/>
      <family val="2"/>
      <scheme val="minor"/>
    </font>
    <font>
      <sz val="11"/>
      <color rgb="FF000000"/>
      <name val="Aptos Narrow"/>
      <scheme val="minor"/>
    </font>
    <font>
      <sz val="11"/>
      <name val="Aptos Narrow"/>
      <family val="2"/>
    </font>
  </fonts>
  <fills count="18">
    <fill>
      <patternFill patternType="none"/>
    </fill>
    <fill>
      <patternFill patternType="gray125"/>
    </fill>
    <fill>
      <patternFill patternType="solid">
        <fgColor theme="9" tint="0.79998168889431442"/>
        <bgColor indexed="64"/>
      </patternFill>
    </fill>
    <fill>
      <patternFill patternType="solid">
        <fgColor rgb="FF00B05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theme="0" tint="-0.499984740745262"/>
        <bgColor indexed="64"/>
      </patternFill>
    </fill>
    <fill>
      <patternFill patternType="solid">
        <fgColor theme="3"/>
        <bgColor indexed="64"/>
      </patternFill>
    </fill>
    <fill>
      <patternFill patternType="solid">
        <fgColor theme="5"/>
        <bgColor indexed="64"/>
      </patternFill>
    </fill>
    <fill>
      <patternFill patternType="solid">
        <fgColor theme="9"/>
        <bgColor indexed="64"/>
      </patternFill>
    </fill>
    <fill>
      <patternFill patternType="solid">
        <fgColor theme="8"/>
        <bgColor indexed="64"/>
      </patternFill>
    </fill>
    <fill>
      <patternFill patternType="solid">
        <fgColor theme="3" tint="0.89999084444715716"/>
        <bgColor indexed="64"/>
      </patternFill>
    </fill>
    <fill>
      <patternFill patternType="solid">
        <fgColor rgb="FFFFFF99"/>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FFFFF"/>
        <bgColor indexed="64"/>
      </patternFill>
    </fill>
  </fills>
  <borders count="2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4">
    <xf numFmtId="0" fontId="0" fillId="0" borderId="0"/>
    <xf numFmtId="0" fontId="5" fillId="0" borderId="0" applyNumberFormat="0" applyFill="0" applyBorder="0" applyAlignment="0" applyProtection="0"/>
    <xf numFmtId="0" fontId="24" fillId="0" borderId="0"/>
    <xf numFmtId="9" fontId="31" fillId="0" borderId="0" applyFont="0" applyFill="0" applyBorder="0" applyAlignment="0" applyProtection="0"/>
  </cellStyleXfs>
  <cellXfs count="120">
    <xf numFmtId="0" fontId="0" fillId="0" borderId="0" xfId="0"/>
    <xf numFmtId="0" fontId="1" fillId="0" borderId="0" xfId="0" applyFont="1"/>
    <xf numFmtId="0" fontId="0" fillId="0" borderId="2" xfId="0" applyBorder="1" applyAlignment="1">
      <alignment horizontal="center"/>
    </xf>
    <xf numFmtId="0" fontId="0" fillId="0" borderId="4" xfId="0" applyBorder="1" applyAlignment="1">
      <alignment horizontal="center"/>
    </xf>
    <xf numFmtId="0" fontId="0" fillId="0" borderId="6" xfId="0" applyBorder="1" applyAlignment="1">
      <alignment horizontal="center"/>
    </xf>
    <xf numFmtId="0" fontId="0" fillId="0" borderId="7" xfId="0" applyBorder="1"/>
    <xf numFmtId="0" fontId="1" fillId="2" borderId="8" xfId="0" applyFont="1" applyFill="1" applyBorder="1" applyAlignment="1">
      <alignment horizontal="center"/>
    </xf>
    <xf numFmtId="0" fontId="1" fillId="2" borderId="9" xfId="0" applyFont="1" applyFill="1" applyBorder="1" applyAlignment="1">
      <alignment horizontal="center"/>
    </xf>
    <xf numFmtId="0" fontId="1" fillId="2" borderId="10" xfId="0" applyFont="1" applyFill="1" applyBorder="1" applyAlignment="1">
      <alignment horizontal="center"/>
    </xf>
    <xf numFmtId="0" fontId="1" fillId="3" borderId="1" xfId="0" applyFont="1" applyFill="1" applyBorder="1" applyAlignment="1">
      <alignment horizontal="center"/>
    </xf>
    <xf numFmtId="0" fontId="1" fillId="4" borderId="3" xfId="0" applyFont="1" applyFill="1" applyBorder="1" applyAlignment="1">
      <alignment horizontal="center"/>
    </xf>
    <xf numFmtId="0" fontId="1" fillId="5" borderId="3" xfId="0" applyFont="1" applyFill="1" applyBorder="1" applyAlignment="1">
      <alignment horizontal="center"/>
    </xf>
    <xf numFmtId="0" fontId="1" fillId="6" borderId="3" xfId="0" applyFont="1" applyFill="1" applyBorder="1" applyAlignment="1">
      <alignment horizontal="center"/>
    </xf>
    <xf numFmtId="0" fontId="1" fillId="7" borderId="5" xfId="0" applyFont="1" applyFill="1" applyBorder="1" applyAlignment="1">
      <alignment horizontal="center"/>
    </xf>
    <xf numFmtId="0" fontId="0" fillId="0" borderId="0" xfId="0" applyAlignment="1">
      <alignment horizontal="center"/>
    </xf>
    <xf numFmtId="0" fontId="0" fillId="0" borderId="12" xfId="0" applyBorder="1"/>
    <xf numFmtId="0" fontId="1" fillId="8" borderId="13" xfId="0" applyFont="1" applyFill="1" applyBorder="1"/>
    <xf numFmtId="0" fontId="1" fillId="8" borderId="14" xfId="0" applyFont="1" applyFill="1" applyBorder="1"/>
    <xf numFmtId="0" fontId="0" fillId="0" borderId="11" xfId="0" applyBorder="1"/>
    <xf numFmtId="0" fontId="3" fillId="9" borderId="0" xfId="0" applyFont="1" applyFill="1"/>
    <xf numFmtId="0" fontId="2" fillId="9" borderId="0" xfId="0" applyFont="1" applyFill="1"/>
    <xf numFmtId="0" fontId="1" fillId="0" borderId="15" xfId="0" applyFont="1" applyBorder="1"/>
    <xf numFmtId="0" fontId="1" fillId="2" borderId="8" xfId="0" applyFont="1" applyFill="1" applyBorder="1" applyAlignment="1">
      <alignment horizontal="center" vertical="top"/>
    </xf>
    <xf numFmtId="0" fontId="1" fillId="2" borderId="9" xfId="0" applyFont="1" applyFill="1" applyBorder="1" applyAlignment="1">
      <alignment horizontal="center" vertical="top"/>
    </xf>
    <xf numFmtId="0" fontId="1" fillId="2" borderId="10" xfId="0" applyFont="1" applyFill="1" applyBorder="1" applyAlignment="1">
      <alignment horizontal="center" vertical="top"/>
    </xf>
    <xf numFmtId="0" fontId="0" fillId="0" borderId="0" xfId="0" applyAlignment="1">
      <alignment horizontal="left" vertical="top" wrapText="1"/>
    </xf>
    <xf numFmtId="0" fontId="0" fillId="0" borderId="0" xfId="0" applyAlignment="1">
      <alignment horizontal="left" vertical="top"/>
    </xf>
    <xf numFmtId="0" fontId="1" fillId="0" borderId="15" xfId="0" applyFont="1" applyBorder="1" applyAlignment="1">
      <alignment horizontal="left" vertical="top"/>
    </xf>
    <xf numFmtId="0" fontId="0" fillId="0" borderId="0" xfId="0" applyAlignment="1">
      <alignment horizontal="center" vertical="top"/>
    </xf>
    <xf numFmtId="0" fontId="4" fillId="0" borderId="0" xfId="0" applyFont="1"/>
    <xf numFmtId="0" fontId="4" fillId="0" borderId="0" xfId="0" applyFont="1" applyAlignment="1">
      <alignment vertical="top"/>
    </xf>
    <xf numFmtId="0" fontId="1" fillId="0" borderId="0" xfId="0" applyFont="1" applyAlignment="1">
      <alignment horizontal="right" vertical="top"/>
    </xf>
    <xf numFmtId="0" fontId="0" fillId="0" borderId="0" xfId="0" applyAlignment="1">
      <alignment horizontal="right" vertical="top"/>
    </xf>
    <xf numFmtId="0" fontId="0" fillId="14" borderId="0" xfId="0" applyFill="1"/>
    <xf numFmtId="0" fontId="1" fillId="14" borderId="0" xfId="0" applyFont="1" applyFill="1"/>
    <xf numFmtId="0" fontId="5" fillId="0" borderId="0" xfId="1"/>
    <xf numFmtId="0" fontId="0" fillId="10" borderId="0" xfId="0" applyFill="1"/>
    <xf numFmtId="0" fontId="0" fillId="11" borderId="0" xfId="0" applyFill="1"/>
    <xf numFmtId="0" fontId="0" fillId="0" borderId="0" xfId="0" applyAlignment="1">
      <alignment wrapText="1"/>
    </xf>
    <xf numFmtId="0" fontId="11" fillId="0" borderId="0" xfId="0" applyFont="1" applyAlignment="1">
      <alignment wrapText="1"/>
    </xf>
    <xf numFmtId="0" fontId="1" fillId="13" borderId="16" xfId="0" applyFont="1" applyFill="1" applyBorder="1"/>
    <xf numFmtId="0" fontId="12" fillId="0" borderId="0" xfId="0" applyFont="1"/>
    <xf numFmtId="4" fontId="0" fillId="0" borderId="0" xfId="0" applyNumberFormat="1"/>
    <xf numFmtId="0" fontId="0" fillId="5" borderId="0" xfId="0" applyFill="1"/>
    <xf numFmtId="0" fontId="5" fillId="5" borderId="0" xfId="1" applyFill="1"/>
    <xf numFmtId="0" fontId="1" fillId="2" borderId="0" xfId="0" applyFont="1" applyFill="1" applyAlignment="1">
      <alignment horizontal="center"/>
    </xf>
    <xf numFmtId="164" fontId="0" fillId="0" borderId="0" xfId="0" applyNumberFormat="1"/>
    <xf numFmtId="2" fontId="0" fillId="0" borderId="0" xfId="0" applyNumberFormat="1"/>
    <xf numFmtId="0" fontId="1" fillId="0" borderId="0" xfId="0" applyFont="1" applyAlignment="1">
      <alignment horizontal="center"/>
    </xf>
    <xf numFmtId="0" fontId="18" fillId="0" borderId="0" xfId="0" applyFont="1"/>
    <xf numFmtId="164" fontId="18" fillId="0" borderId="0" xfId="0" applyNumberFormat="1" applyFont="1"/>
    <xf numFmtId="0" fontId="20" fillId="0" borderId="0" xfId="0" applyFont="1" applyAlignment="1">
      <alignment horizontal="left" vertical="center" wrapText="1"/>
    </xf>
    <xf numFmtId="0" fontId="21" fillId="2" borderId="0" xfId="0" applyFont="1" applyFill="1" applyAlignment="1">
      <alignment horizontal="left" vertical="center" wrapText="1"/>
    </xf>
    <xf numFmtId="0" fontId="22" fillId="2" borderId="0" xfId="0" applyFont="1" applyFill="1" applyAlignment="1">
      <alignment horizontal="left" vertical="center" wrapText="1"/>
    </xf>
    <xf numFmtId="0" fontId="21" fillId="0" borderId="0" xfId="0" applyFont="1" applyAlignment="1">
      <alignment horizontal="left" vertical="center" wrapText="1"/>
    </xf>
    <xf numFmtId="0" fontId="21" fillId="2" borderId="0" xfId="0" applyFont="1" applyFill="1" applyAlignment="1">
      <alignment horizontal="left" vertical="center"/>
    </xf>
    <xf numFmtId="0" fontId="22" fillId="2" borderId="0" xfId="0" applyFont="1" applyFill="1" applyAlignment="1">
      <alignment horizontal="left" vertical="center"/>
    </xf>
    <xf numFmtId="0" fontId="22" fillId="0" borderId="0" xfId="0" applyFont="1" applyAlignment="1">
      <alignment horizontal="left" vertical="center" wrapText="1"/>
    </xf>
    <xf numFmtId="0" fontId="21" fillId="0" borderId="0" xfId="0" applyFont="1" applyAlignment="1">
      <alignment horizontal="left" vertical="center"/>
    </xf>
    <xf numFmtId="165" fontId="0" fillId="0" borderId="0" xfId="0" applyNumberFormat="1"/>
    <xf numFmtId="165" fontId="21" fillId="0" borderId="0" xfId="0" applyNumberFormat="1" applyFont="1" applyAlignment="1">
      <alignment horizontal="left" vertical="center" wrapText="1"/>
    </xf>
    <xf numFmtId="3" fontId="0" fillId="0" borderId="0" xfId="0" applyNumberFormat="1"/>
    <xf numFmtId="3" fontId="21" fillId="0" borderId="0" xfId="0" applyNumberFormat="1" applyFont="1" applyAlignment="1">
      <alignment horizontal="left" vertical="center" wrapText="1"/>
    </xf>
    <xf numFmtId="0" fontId="2" fillId="0" borderId="0" xfId="0" applyFont="1" applyAlignment="1">
      <alignment horizontal="left" wrapText="1"/>
    </xf>
    <xf numFmtId="0" fontId="23" fillId="0" borderId="0" xfId="0" applyFont="1" applyAlignment="1">
      <alignment horizontal="left" vertical="center"/>
    </xf>
    <xf numFmtId="0" fontId="24" fillId="0" borderId="0" xfId="2"/>
    <xf numFmtId="0" fontId="25" fillId="0" borderId="0" xfId="0" applyFont="1" applyAlignment="1">
      <alignment horizontal="left" vertical="center"/>
    </xf>
    <xf numFmtId="0" fontId="26" fillId="0" borderId="0" xfId="0" applyFont="1"/>
    <xf numFmtId="1" fontId="0" fillId="0" borderId="0" xfId="0" applyNumberFormat="1"/>
    <xf numFmtId="0" fontId="27" fillId="2" borderId="0" xfId="0" applyFont="1" applyFill="1" applyAlignment="1">
      <alignment horizontal="left" vertical="center" wrapText="1"/>
    </xf>
    <xf numFmtId="164" fontId="1" fillId="0" borderId="0" xfId="0" applyNumberFormat="1" applyFont="1"/>
    <xf numFmtId="0" fontId="0" fillId="0" borderId="0" xfId="0" applyAlignment="1">
      <alignment vertical="top" wrapText="1"/>
    </xf>
    <xf numFmtId="0" fontId="4" fillId="0" borderId="0" xfId="0" applyFont="1" applyAlignment="1">
      <alignment vertical="top" wrapText="1"/>
    </xf>
    <xf numFmtId="0" fontId="0" fillId="0" borderId="7" xfId="0" applyBorder="1" applyAlignment="1">
      <alignment horizontal="center" vertical="top" wrapText="1"/>
    </xf>
    <xf numFmtId="0" fontId="0" fillId="14" borderId="0" xfId="0" applyFill="1" applyAlignment="1">
      <alignment horizontal="left" vertical="top"/>
    </xf>
    <xf numFmtId="49" fontId="0" fillId="0" borderId="7" xfId="0" applyNumberFormat="1" applyBorder="1" applyAlignment="1">
      <alignment horizontal="center" vertical="top" wrapText="1"/>
    </xf>
    <xf numFmtId="49" fontId="0" fillId="0" borderId="0" xfId="0" applyNumberFormat="1" applyAlignment="1">
      <alignment horizontal="left" vertical="top" wrapText="1"/>
    </xf>
    <xf numFmtId="0" fontId="1" fillId="0" borderId="7" xfId="0" applyFont="1" applyBorder="1" applyAlignment="1">
      <alignment horizontal="center" vertical="top" wrapText="1"/>
    </xf>
    <xf numFmtId="0" fontId="0" fillId="0" borderId="0" xfId="0" applyAlignment="1">
      <alignment vertical="top"/>
    </xf>
    <xf numFmtId="0" fontId="0" fillId="0" borderId="0" xfId="0" applyAlignment="1">
      <alignment horizontal="right"/>
    </xf>
    <xf numFmtId="0" fontId="0" fillId="0" borderId="0" xfId="0" applyAlignment="1">
      <alignment horizontal="left"/>
    </xf>
    <xf numFmtId="2" fontId="0" fillId="0" borderId="0" xfId="0" applyNumberFormat="1" applyAlignment="1">
      <alignment horizontal="left"/>
    </xf>
    <xf numFmtId="2" fontId="0" fillId="0" borderId="0" xfId="0" applyNumberFormat="1" applyAlignment="1">
      <alignment horizontal="left" vertical="top"/>
    </xf>
    <xf numFmtId="0" fontId="28" fillId="0" borderId="0" xfId="0" applyFont="1" applyAlignment="1">
      <alignment horizontal="right"/>
    </xf>
    <xf numFmtId="0" fontId="28" fillId="0" borderId="0" xfId="0" applyFont="1"/>
    <xf numFmtId="0" fontId="29" fillId="0" borderId="0" xfId="0" applyFont="1"/>
    <xf numFmtId="0" fontId="30" fillId="17" borderId="0" xfId="0" applyFont="1" applyFill="1" applyAlignment="1">
      <alignment vertical="top" wrapText="1"/>
    </xf>
    <xf numFmtId="0" fontId="30" fillId="17" borderId="0" xfId="0" applyFont="1" applyFill="1" applyAlignment="1">
      <alignment horizontal="left" vertical="top" wrapText="1"/>
    </xf>
    <xf numFmtId="0" fontId="30" fillId="0" borderId="0" xfId="0" applyFont="1" applyAlignment="1">
      <alignment wrapText="1"/>
    </xf>
    <xf numFmtId="166" fontId="1" fillId="0" borderId="0" xfId="0" applyNumberFormat="1" applyFont="1"/>
    <xf numFmtId="9" fontId="0" fillId="0" borderId="0" xfId="3" applyFont="1"/>
    <xf numFmtId="0" fontId="0" fillId="0" borderId="7" xfId="0" applyBorder="1" applyAlignment="1">
      <alignment horizontal="center" vertical="top"/>
    </xf>
    <xf numFmtId="0" fontId="32" fillId="0" borderId="0" xfId="0" applyFont="1" applyAlignment="1">
      <alignment wrapText="1"/>
    </xf>
    <xf numFmtId="0" fontId="29" fillId="0" borderId="0" xfId="0" applyFont="1" applyAlignment="1">
      <alignment wrapText="1"/>
    </xf>
    <xf numFmtId="0" fontId="10" fillId="0" borderId="0" xfId="0" applyFont="1"/>
    <xf numFmtId="0" fontId="0" fillId="0" borderId="0" xfId="0" applyAlignment="1">
      <alignment horizontal="left" vertical="center" wrapText="1"/>
    </xf>
    <xf numFmtId="0" fontId="11" fillId="0" borderId="0" xfId="0" applyFont="1"/>
    <xf numFmtId="2" fontId="11" fillId="0" borderId="0" xfId="0" applyNumberFormat="1" applyFont="1"/>
    <xf numFmtId="9" fontId="0" fillId="0" borderId="0" xfId="0" applyNumberFormat="1"/>
    <xf numFmtId="0" fontId="11" fillId="0" borderId="0" xfId="0" applyFont="1" applyAlignment="1">
      <alignment vertical="top" wrapText="1"/>
    </xf>
    <xf numFmtId="0" fontId="33" fillId="0" borderId="0" xfId="0" applyFont="1" applyAlignment="1">
      <alignment vertical="top" wrapText="1"/>
    </xf>
    <xf numFmtId="0" fontId="30" fillId="0" borderId="0" xfId="0" applyFont="1" applyAlignment="1">
      <alignment vertical="top" wrapText="1"/>
    </xf>
    <xf numFmtId="0" fontId="34" fillId="0" borderId="0" xfId="0" applyFont="1" applyAlignment="1">
      <alignment vertical="top" wrapText="1"/>
    </xf>
    <xf numFmtId="0" fontId="19" fillId="15" borderId="0" xfId="0" applyFont="1" applyFill="1" applyAlignment="1">
      <alignment horizontal="center" vertical="center" wrapText="1"/>
    </xf>
    <xf numFmtId="0" fontId="0" fillId="13" borderId="8" xfId="0" applyFill="1" applyBorder="1" applyAlignment="1">
      <alignment horizontal="center"/>
    </xf>
    <xf numFmtId="0" fontId="0" fillId="13" borderId="9" xfId="0" applyFill="1" applyBorder="1" applyAlignment="1">
      <alignment horizontal="center"/>
    </xf>
    <xf numFmtId="0" fontId="0" fillId="13" borderId="10" xfId="0" applyFill="1" applyBorder="1" applyAlignment="1">
      <alignment horizontal="center"/>
    </xf>
    <xf numFmtId="0" fontId="0" fillId="16" borderId="1" xfId="0" applyFill="1" applyBorder="1" applyAlignment="1">
      <alignment horizontal="center" vertical="center"/>
    </xf>
    <xf numFmtId="0" fontId="0" fillId="16" borderId="5" xfId="0" applyFill="1" applyBorder="1" applyAlignment="1">
      <alignment horizontal="center" vertical="center"/>
    </xf>
    <xf numFmtId="0" fontId="0" fillId="13" borderId="19" xfId="0" applyFill="1" applyBorder="1" applyAlignment="1">
      <alignment horizontal="center" vertical="center"/>
    </xf>
    <xf numFmtId="0" fontId="0" fillId="13" borderId="20" xfId="0" applyFill="1" applyBorder="1" applyAlignment="1">
      <alignment horizontal="center" vertical="center"/>
    </xf>
    <xf numFmtId="0" fontId="0" fillId="16" borderId="17" xfId="0" applyFill="1" applyBorder="1" applyAlignment="1">
      <alignment horizontal="center" vertical="center"/>
    </xf>
    <xf numFmtId="0" fontId="0" fillId="16" borderId="18" xfId="0" applyFill="1" applyBorder="1" applyAlignment="1">
      <alignment horizontal="center" vertical="center"/>
    </xf>
    <xf numFmtId="0" fontId="0" fillId="16" borderId="8" xfId="0" applyFill="1" applyBorder="1" applyAlignment="1">
      <alignment horizontal="center"/>
    </xf>
    <xf numFmtId="0" fontId="0" fillId="16" borderId="9" xfId="0" applyFill="1" applyBorder="1" applyAlignment="1">
      <alignment horizontal="center"/>
    </xf>
    <xf numFmtId="0" fontId="0" fillId="16" borderId="10" xfId="0" applyFill="1" applyBorder="1" applyAlignment="1">
      <alignment horizontal="center"/>
    </xf>
    <xf numFmtId="0" fontId="1" fillId="2" borderId="16" xfId="0" applyFont="1" applyFill="1" applyBorder="1" applyAlignment="1">
      <alignment horizontal="center" vertical="top" wrapText="1"/>
    </xf>
    <xf numFmtId="0" fontId="2" fillId="10" borderId="0" xfId="0" applyFont="1" applyFill="1" applyAlignment="1">
      <alignment horizontal="left" wrapText="1"/>
    </xf>
    <xf numFmtId="0" fontId="2" fillId="11" borderId="0" xfId="0" applyFont="1" applyFill="1" applyAlignment="1">
      <alignment horizontal="left" vertical="top" wrapText="1"/>
    </xf>
    <xf numFmtId="0" fontId="2" fillId="12" borderId="0" xfId="0" applyFont="1" applyFill="1" applyAlignment="1">
      <alignment horizontal="left" wrapText="1"/>
    </xf>
  </cellXfs>
  <cellStyles count="4">
    <cellStyle name="Hipervínculo" xfId="1" builtinId="8"/>
    <cellStyle name="Normal" xfId="0" builtinId="0"/>
    <cellStyle name="Normal 2" xfId="2" xr:uid="{84515C97-1619-4B03-85EB-BAA3765409E0}"/>
    <cellStyle name="Porcentaje" xfId="3" builtinId="5"/>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Prevelance of Undernourishment </a:t>
            </a:r>
          </a:p>
          <a:p>
            <a:pPr>
              <a:defRPr/>
            </a:pPr>
            <a:r>
              <a:rPr lang="en-AU" sz="900" i="1"/>
              <a:t>Share of total population living below the minimum calorie daily threshold </a:t>
            </a:r>
            <a:endParaRPr lang="en-AU" i="1"/>
          </a:p>
        </c:rich>
      </c:tx>
      <c:layout>
        <c:manualLayout>
          <c:xMode val="edge"/>
          <c:yMode val="edge"/>
          <c:x val="0.1389722222222222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[2]Hunger!$H$8</c:f>
              <c:strCache>
                <c:ptCount val="1"/>
                <c:pt idx="0">
                  <c:v>LAC</c:v>
                </c:pt>
              </c:strCache>
            </c:strRef>
          </c:tx>
          <c:spPr>
            <a:ln w="28575" cap="rnd">
              <a:solidFill>
                <a:schemeClr val="accent1"/>
              </a:solidFill>
              <a:round/>
            </a:ln>
            <a:effectLst/>
          </c:spPr>
          <c:marker>
            <c:symbol val="none"/>
          </c:marker>
          <c:val>
            <c:numRef>
              <c:f>[1]Hunger!$J$8:$AB$8</c:f>
              <c:numCache>
                <c:formatCode>General</c:formatCode>
                <c:ptCount val="19"/>
              </c:numCache>
              <c:extLst/>
            </c:numRef>
          </c:val>
          <c:smooth val="0"/>
          <c:extLst>
            <c:ext xmlns:c15="http://schemas.microsoft.com/office/drawing/2012/chart" uri="{02D57815-91ED-43cb-92C2-25804820EDAC}">
              <c15:filteredCategoryTitle>
                <c15:cat>
                  <c:strRef>
                    <c:extLst>
                      <c:ext uri="{02D57815-91ED-43cb-92C2-25804820EDAC}">
                        <c15:formulaRef>
                          <c15:sqref>[1]Hunger!$I$6:$AB$6</c15:sqref>
                        </c15:formulaRef>
                      </c:ext>
                    </c:extLst>
                    <c:strCache>
                      <c:ptCount val="20"/>
                    </c:strCache>
                  </c:strRef>
                </c15:cat>
              </c15:filteredCategoryTitle>
            </c:ext>
            <c:ext xmlns:c16="http://schemas.microsoft.com/office/drawing/2014/chart" uri="{C3380CC4-5D6E-409C-BE32-E72D297353CC}">
              <c16:uniqueId val="{00000000-235F-42B4-BE41-C87AC3C1B033}"/>
            </c:ext>
          </c:extLst>
        </c:ser>
        <c:ser>
          <c:idx val="1"/>
          <c:order val="1"/>
          <c:tx>
            <c:strRef>
              <c:f>[2]Hunger!$H$9</c:f>
              <c:strCache>
                <c:ptCount val="1"/>
                <c:pt idx="0">
                  <c:v>CWANA</c:v>
                </c:pt>
              </c:strCache>
            </c:strRef>
          </c:tx>
          <c:spPr>
            <a:ln w="28575" cap="rnd">
              <a:solidFill>
                <a:schemeClr val="accent2"/>
              </a:solidFill>
              <a:round/>
            </a:ln>
            <a:effectLst/>
          </c:spPr>
          <c:marker>
            <c:symbol val="none"/>
          </c:marker>
          <c:val>
            <c:numRef>
              <c:f>[1]Hunger!$J$9:$AB$9</c:f>
              <c:numCache>
                <c:formatCode>General</c:formatCode>
                <c:ptCount val="19"/>
              </c:numCache>
              <c:extLst/>
            </c:numRef>
          </c:val>
          <c:smooth val="0"/>
          <c:extLst>
            <c:ext xmlns:c15="http://schemas.microsoft.com/office/drawing/2012/chart" uri="{02D57815-91ED-43cb-92C2-25804820EDAC}">
              <c15:filteredCategoryTitle>
                <c15:cat>
                  <c:strRef>
                    <c:extLst>
                      <c:ext uri="{02D57815-91ED-43cb-92C2-25804820EDAC}">
                        <c15:formulaRef>
                          <c15:sqref>[1]Hunger!$I$6:$AB$6</c15:sqref>
                        </c15:formulaRef>
                      </c:ext>
                    </c:extLst>
                    <c:strCache>
                      <c:ptCount val="20"/>
                    </c:strCache>
                  </c:strRef>
                </c15:cat>
              </c15:filteredCategoryTitle>
            </c:ext>
            <c:ext xmlns:c16="http://schemas.microsoft.com/office/drawing/2014/chart" uri="{C3380CC4-5D6E-409C-BE32-E72D297353CC}">
              <c16:uniqueId val="{00000001-235F-42B4-BE41-C87AC3C1B033}"/>
            </c:ext>
          </c:extLst>
        </c:ser>
        <c:ser>
          <c:idx val="2"/>
          <c:order val="2"/>
          <c:tx>
            <c:strRef>
              <c:f>[2]Hunger!$H$10</c:f>
              <c:strCache>
                <c:ptCount val="1"/>
                <c:pt idx="0">
                  <c:v>WCA</c:v>
                </c:pt>
              </c:strCache>
            </c:strRef>
          </c:tx>
          <c:spPr>
            <a:ln w="28575" cap="rnd">
              <a:solidFill>
                <a:schemeClr val="accent3"/>
              </a:solidFill>
              <a:round/>
            </a:ln>
            <a:effectLst/>
          </c:spPr>
          <c:marker>
            <c:symbol val="none"/>
          </c:marker>
          <c:val>
            <c:numRef>
              <c:f>[1]Hunger!$J$10:$AB$10</c:f>
              <c:numCache>
                <c:formatCode>General</c:formatCode>
                <c:ptCount val="19"/>
              </c:numCache>
              <c:extLst/>
            </c:numRef>
          </c:val>
          <c:smooth val="0"/>
          <c:extLst>
            <c:ext xmlns:c15="http://schemas.microsoft.com/office/drawing/2012/chart" uri="{02D57815-91ED-43cb-92C2-25804820EDAC}">
              <c15:filteredCategoryTitle>
                <c15:cat>
                  <c:strRef>
                    <c:extLst>
                      <c:ext uri="{02D57815-91ED-43cb-92C2-25804820EDAC}">
                        <c15:formulaRef>
                          <c15:sqref>[1]Hunger!$I$6:$AB$6</c15:sqref>
                        </c15:formulaRef>
                      </c:ext>
                    </c:extLst>
                    <c:strCache>
                      <c:ptCount val="20"/>
                    </c:strCache>
                  </c:strRef>
                </c15:cat>
              </c15:filteredCategoryTitle>
            </c:ext>
            <c:ext xmlns:c16="http://schemas.microsoft.com/office/drawing/2014/chart" uri="{C3380CC4-5D6E-409C-BE32-E72D297353CC}">
              <c16:uniqueId val="{00000002-235F-42B4-BE41-C87AC3C1B033}"/>
            </c:ext>
          </c:extLst>
        </c:ser>
        <c:ser>
          <c:idx val="3"/>
          <c:order val="3"/>
          <c:tx>
            <c:strRef>
              <c:f>[2]Hunger!$H$11</c:f>
              <c:strCache>
                <c:ptCount val="1"/>
                <c:pt idx="0">
                  <c:v>ESA</c:v>
                </c:pt>
              </c:strCache>
            </c:strRef>
          </c:tx>
          <c:spPr>
            <a:ln w="28575" cap="rnd">
              <a:solidFill>
                <a:schemeClr val="accent4"/>
              </a:solidFill>
              <a:round/>
            </a:ln>
            <a:effectLst/>
          </c:spPr>
          <c:marker>
            <c:symbol val="none"/>
          </c:marker>
          <c:val>
            <c:numRef>
              <c:f>[1]Hunger!$J$11:$AB$11</c:f>
              <c:numCache>
                <c:formatCode>General</c:formatCode>
                <c:ptCount val="19"/>
              </c:numCache>
              <c:extLst/>
            </c:numRef>
          </c:val>
          <c:smooth val="0"/>
          <c:extLst>
            <c:ext xmlns:c15="http://schemas.microsoft.com/office/drawing/2012/chart" uri="{02D57815-91ED-43cb-92C2-25804820EDAC}">
              <c15:filteredCategoryTitle>
                <c15:cat>
                  <c:strRef>
                    <c:extLst>
                      <c:ext uri="{02D57815-91ED-43cb-92C2-25804820EDAC}">
                        <c15:formulaRef>
                          <c15:sqref>[1]Hunger!$I$6:$AB$6</c15:sqref>
                        </c15:formulaRef>
                      </c:ext>
                    </c:extLst>
                    <c:strCache>
                      <c:ptCount val="20"/>
                    </c:strCache>
                  </c:strRef>
                </c15:cat>
              </c15:filteredCategoryTitle>
            </c:ext>
            <c:ext xmlns:c16="http://schemas.microsoft.com/office/drawing/2014/chart" uri="{C3380CC4-5D6E-409C-BE32-E72D297353CC}">
              <c16:uniqueId val="{00000003-235F-42B4-BE41-C87AC3C1B033}"/>
            </c:ext>
          </c:extLst>
        </c:ser>
        <c:ser>
          <c:idx val="4"/>
          <c:order val="4"/>
          <c:tx>
            <c:strRef>
              <c:f>[2]Hunger!$H$12</c:f>
              <c:strCache>
                <c:ptCount val="1"/>
                <c:pt idx="0">
                  <c:v>SA</c:v>
                </c:pt>
              </c:strCache>
            </c:strRef>
          </c:tx>
          <c:spPr>
            <a:ln w="28575" cap="rnd">
              <a:solidFill>
                <a:schemeClr val="accent5"/>
              </a:solidFill>
              <a:round/>
            </a:ln>
            <a:effectLst/>
          </c:spPr>
          <c:marker>
            <c:symbol val="none"/>
          </c:marker>
          <c:val>
            <c:numRef>
              <c:f>[1]Hunger!$J$12:$AB$12</c:f>
              <c:numCache>
                <c:formatCode>General</c:formatCode>
                <c:ptCount val="19"/>
              </c:numCache>
              <c:extLst/>
            </c:numRef>
          </c:val>
          <c:smooth val="0"/>
          <c:extLst>
            <c:ext xmlns:c15="http://schemas.microsoft.com/office/drawing/2012/chart" uri="{02D57815-91ED-43cb-92C2-25804820EDAC}">
              <c15:filteredCategoryTitle>
                <c15:cat>
                  <c:strRef>
                    <c:extLst>
                      <c:ext uri="{02D57815-91ED-43cb-92C2-25804820EDAC}">
                        <c15:formulaRef>
                          <c15:sqref>[1]Hunger!$I$6:$AB$6</c15:sqref>
                        </c15:formulaRef>
                      </c:ext>
                    </c:extLst>
                    <c:strCache>
                      <c:ptCount val="20"/>
                    </c:strCache>
                  </c:strRef>
                </c15:cat>
              </c15:filteredCategoryTitle>
            </c:ext>
            <c:ext xmlns:c16="http://schemas.microsoft.com/office/drawing/2014/chart" uri="{C3380CC4-5D6E-409C-BE32-E72D297353CC}">
              <c16:uniqueId val="{00000004-235F-42B4-BE41-C87AC3C1B033}"/>
            </c:ext>
          </c:extLst>
        </c:ser>
        <c:ser>
          <c:idx val="5"/>
          <c:order val="5"/>
          <c:tx>
            <c:strRef>
              <c:f>[2]Hunger!$H$13</c:f>
              <c:strCache>
                <c:ptCount val="1"/>
                <c:pt idx="0">
                  <c:v>SEA</c:v>
                </c:pt>
              </c:strCache>
            </c:strRef>
          </c:tx>
          <c:spPr>
            <a:ln w="28575" cap="rnd">
              <a:solidFill>
                <a:schemeClr val="accent6"/>
              </a:solidFill>
              <a:round/>
            </a:ln>
            <a:effectLst/>
          </c:spPr>
          <c:marker>
            <c:symbol val="none"/>
          </c:marker>
          <c:val>
            <c:numRef>
              <c:f>[1]Hunger!$J$13:$AB$13</c:f>
              <c:numCache>
                <c:formatCode>General</c:formatCode>
                <c:ptCount val="19"/>
              </c:numCache>
              <c:extLst/>
            </c:numRef>
          </c:val>
          <c:smooth val="0"/>
          <c:extLst>
            <c:ext xmlns:c15="http://schemas.microsoft.com/office/drawing/2012/chart" uri="{02D57815-91ED-43cb-92C2-25804820EDAC}">
              <c15:filteredCategoryTitle>
                <c15:cat>
                  <c:strRef>
                    <c:extLst>
                      <c:ext uri="{02D57815-91ED-43cb-92C2-25804820EDAC}">
                        <c15:formulaRef>
                          <c15:sqref>[1]Hunger!$I$6:$AB$6</c15:sqref>
                        </c15:formulaRef>
                      </c:ext>
                    </c:extLst>
                    <c:strCache>
                      <c:ptCount val="20"/>
                    </c:strCache>
                  </c:strRef>
                </c15:cat>
              </c15:filteredCategoryTitle>
            </c:ext>
            <c:ext xmlns:c16="http://schemas.microsoft.com/office/drawing/2014/chart" uri="{C3380CC4-5D6E-409C-BE32-E72D297353CC}">
              <c16:uniqueId val="{00000005-235F-42B4-BE41-C87AC3C1B033}"/>
            </c:ext>
          </c:extLst>
        </c:ser>
        <c:dLbls>
          <c:showLegendKey val="0"/>
          <c:showVal val="0"/>
          <c:showCatName val="0"/>
          <c:showSerName val="0"/>
          <c:showPercent val="0"/>
          <c:showBubbleSize val="0"/>
        </c:dLbls>
        <c:smooth val="0"/>
        <c:axId val="1148425615"/>
        <c:axId val="1148423695"/>
      </c:lineChart>
      <c:catAx>
        <c:axId val="1148425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Year</a:t>
                </a:r>
              </a:p>
            </c:rich>
          </c:tx>
          <c:layout>
            <c:manualLayout>
              <c:xMode val="edge"/>
              <c:yMode val="edge"/>
              <c:x val="0.46367935258092741"/>
              <c:y val="0.8237029746281714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423695"/>
        <c:crosses val="autoZero"/>
        <c:auto val="1"/>
        <c:lblAlgn val="ctr"/>
        <c:lblOffset val="100"/>
        <c:noMultiLvlLbl val="0"/>
      </c:catAx>
      <c:valAx>
        <c:axId val="11484236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Percentage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4256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Poverty Headcount Rate ($2.15)</a:t>
            </a:r>
            <a:br>
              <a:rPr lang="en-AU"/>
            </a:br>
            <a:r>
              <a:rPr lang="en-AU" sz="900" i="1"/>
              <a:t>Share of total population living below the poverty line</a:t>
            </a:r>
            <a:endParaRPr lang="en-AU" i="1"/>
          </a:p>
        </c:rich>
      </c:tx>
      <c:layout>
        <c:manualLayout>
          <c:xMode val="edge"/>
          <c:yMode val="edge"/>
          <c:x val="0.21656131978417287"/>
          <c:y val="1.3970060164294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manualLayout>
          <c:layoutTarget val="inner"/>
          <c:xMode val="edge"/>
          <c:yMode val="edge"/>
          <c:x val="0.11952661869781522"/>
          <c:y val="0.15446606165286514"/>
          <c:w val="0.8555340005799551"/>
          <c:h val="0.55386599994778229"/>
        </c:manualLayout>
      </c:layout>
      <c:lineChart>
        <c:grouping val="standard"/>
        <c:varyColors val="0"/>
        <c:ser>
          <c:idx val="1"/>
          <c:order val="0"/>
          <c:tx>
            <c:strRef>
              <c:f>[2]Poverty_215!$M$8</c:f>
              <c:strCache>
                <c:ptCount val="1"/>
                <c:pt idx="0">
                  <c:v>LAC</c:v>
                </c:pt>
              </c:strCache>
            </c:strRef>
          </c:tx>
          <c:spPr>
            <a:ln w="28575" cap="rnd">
              <a:solidFill>
                <a:schemeClr val="accent2"/>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[2]Poverty_215!$N$8:$AG$8</c:f>
              <c:numCache>
                <c:formatCode>General</c:formatCode>
                <c:ptCount val="20"/>
                <c:pt idx="0">
                  <c:v>4.9855700000000001</c:v>
                </c:pt>
                <c:pt idx="1">
                  <c:v>5.0242558249487326</c:v>
                </c:pt>
                <c:pt idx="2">
                  <c:v>5.062117154095195</c:v>
                </c:pt>
                <c:pt idx="3">
                  <c:v>5.0991221524061769</c:v>
                </c:pt>
                <c:pt idx="4">
                  <c:v>5.1352386432570594</c:v>
                </c:pt>
                <c:pt idx="5">
                  <c:v>5.1704341135176257</c:v>
                </c:pt>
                <c:pt idx="6">
                  <c:v>5.2046757190976036</c:v>
                </c:pt>
                <c:pt idx="7">
                  <c:v>5.2379302909876833</c:v>
                </c:pt>
                <c:pt idx="8">
                  <c:v>5.2701643418338628</c:v>
                </c:pt>
                <c:pt idx="9">
                  <c:v>5.3013440730862023</c:v>
                </c:pt>
                <c:pt idx="10">
                  <c:v>5.3314353827658323</c:v>
                </c:pt>
                <c:pt idx="11">
                  <c:v>5.3604038738972362</c:v>
                </c:pt>
                <c:pt idx="12">
                  <c:v>5.3882148636566836</c:v>
                </c:pt>
                <c:pt idx="13">
                  <c:v>5.4148333932908708</c:v>
                </c:pt>
                <c:pt idx="14">
                  <c:v>5.440224238864193</c:v>
                </c:pt>
                <c:pt idx="15">
                  <c:v>5.4643519228972357</c:v>
                </c:pt>
                <c:pt idx="16">
                  <c:v>5.4871807269634791</c:v>
                </c:pt>
                <c:pt idx="17">
                  <c:v>5.5086747053163601</c:v>
                </c:pt>
                <c:pt idx="18">
                  <c:v>5.5287976996237669</c:v>
                </c:pt>
                <c:pt idx="19">
                  <c:v>5.5475133548929874</c:v>
                </c:pt>
              </c:numCache>
            </c:numRef>
          </c:val>
          <c:smooth val="0"/>
          <c:extLst>
            <c:ext xmlns:c16="http://schemas.microsoft.com/office/drawing/2014/chart" uri="{C3380CC4-5D6E-409C-BE32-E72D297353CC}">
              <c16:uniqueId val="{00000000-D415-4E0B-B7B2-A4A11611C730}"/>
            </c:ext>
          </c:extLst>
        </c:ser>
        <c:ser>
          <c:idx val="2"/>
          <c:order val="1"/>
          <c:tx>
            <c:strRef>
              <c:f>[2]Poverty_215!$M$9</c:f>
              <c:strCache>
                <c:ptCount val="1"/>
                <c:pt idx="0">
                  <c:v>CWANA</c:v>
                </c:pt>
              </c:strCache>
            </c:strRef>
          </c:tx>
          <c:spPr>
            <a:ln w="28575" cap="rnd">
              <a:solidFill>
                <a:schemeClr val="accent3"/>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[2]Poverty_215!$N$9:$AG$9</c:f>
              <c:numCache>
                <c:formatCode>General</c:formatCode>
                <c:ptCount val="20"/>
                <c:pt idx="0">
                  <c:v>4.5991800000000005</c:v>
                </c:pt>
                <c:pt idx="1">
                  <c:v>4.4042124111186176</c:v>
                </c:pt>
                <c:pt idx="2">
                  <c:v>4.2131090946072494</c:v>
                </c:pt>
                <c:pt idx="3">
                  <c:v>4.0259800445895442</c:v>
                </c:pt>
                <c:pt idx="4">
                  <c:v>3.8429300331731717</c:v>
                </c:pt>
                <c:pt idx="5">
                  <c:v>3.6640582478081392</c:v>
                </c:pt>
                <c:pt idx="6">
                  <c:v>3.4894579332820426</c:v>
                </c:pt>
                <c:pt idx="7">
                  <c:v>3.3192160404052045</c:v>
                </c:pt>
                <c:pt idx="8">
                  <c:v>3.1534128835435875</c:v>
                </c:pt>
                <c:pt idx="9">
                  <c:v>2.9921218092536246</c:v>
                </c:pt>
                <c:pt idx="10">
                  <c:v>2.8354088783588502</c:v>
                </c:pt>
                <c:pt idx="11">
                  <c:v>2.6833325638814145</c:v>
                </c:pt>
                <c:pt idx="12">
                  <c:v>2.5359434673004513</c:v>
                </c:pt>
                <c:pt idx="13">
                  <c:v>2.3932840556515869</c:v>
                </c:pt>
                <c:pt idx="14">
                  <c:v>2.2553884220052036</c:v>
                </c:pt>
                <c:pt idx="15">
                  <c:v>2.1222820718637156</c:v>
                </c:pt>
                <c:pt idx="16">
                  <c:v>1.9939817379979106</c:v>
                </c:pt>
                <c:pt idx="17">
                  <c:v>1.8704952261966068</c:v>
                </c:pt>
                <c:pt idx="18">
                  <c:v>1.7518212943315459</c:v>
                </c:pt>
                <c:pt idx="19">
                  <c:v>1.637949567038026</c:v>
                </c:pt>
              </c:numCache>
            </c:numRef>
          </c:val>
          <c:smooth val="0"/>
          <c:extLst>
            <c:ext xmlns:c16="http://schemas.microsoft.com/office/drawing/2014/chart" uri="{C3380CC4-5D6E-409C-BE32-E72D297353CC}">
              <c16:uniqueId val="{00000001-D415-4E0B-B7B2-A4A11611C730}"/>
            </c:ext>
          </c:extLst>
        </c:ser>
        <c:ser>
          <c:idx val="3"/>
          <c:order val="2"/>
          <c:tx>
            <c:strRef>
              <c:f>[2]Poverty_215!$M$10</c:f>
              <c:strCache>
                <c:ptCount val="1"/>
                <c:pt idx="0">
                  <c:v>WCA</c:v>
                </c:pt>
              </c:strCache>
            </c:strRef>
          </c:tx>
          <c:spPr>
            <a:ln w="28575" cap="rnd">
              <a:solidFill>
                <a:schemeClr val="accent4"/>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[2]Poverty_215!$N$10:$AG$10</c:f>
              <c:numCache>
                <c:formatCode>General</c:formatCode>
                <c:ptCount val="20"/>
                <c:pt idx="0">
                  <c:v>36.308069999999994</c:v>
                </c:pt>
                <c:pt idx="1">
                  <c:v>36.185861896128479</c:v>
                </c:pt>
                <c:pt idx="2">
                  <c:v>36.06170110049667</c:v>
                </c:pt>
                <c:pt idx="3">
                  <c:v>35.93557699720413</c:v>
                </c:pt>
                <c:pt idx="4">
                  <c:v>35.807478695050726</c:v>
                </c:pt>
                <c:pt idx="5">
                  <c:v>35.677395033949246</c:v>
                </c:pt>
                <c:pt idx="6">
                  <c:v>35.545314591576144</c:v>
                </c:pt>
                <c:pt idx="7">
                  <c:v>35.411225690279473</c:v>
                </c:pt>
                <c:pt idx="8">
                  <c:v>35.2751164042635</c:v>
                </c:pt>
                <c:pt idx="9">
                  <c:v>35.136974567070602</c:v>
                </c:pt>
                <c:pt idx="10">
                  <c:v>34.99678777938167</c:v>
                </c:pt>
                <c:pt idx="11">
                  <c:v>34.854543417157117</c:v>
                </c:pt>
                <c:pt idx="12">
                  <c:v>34.710228640141892</c:v>
                </c:pt>
                <c:pt idx="13">
                  <c:v>34.563830400758199</c:v>
                </c:pt>
                <c:pt idx="14">
                  <c:v>34.415335453411203</c:v>
                </c:pt>
                <c:pt idx="15">
                  <c:v>34.264730364233813</c:v>
                </c:pt>
                <c:pt idx="16">
                  <c:v>34.112001521297493</c:v>
                </c:pt>
                <c:pt idx="17">
                  <c:v>33.957135145317729</c:v>
                </c:pt>
                <c:pt idx="18">
                  <c:v>33.800117300883173</c:v>
                </c:pt>
                <c:pt idx="19">
                  <c:v>33.64093390823939</c:v>
                </c:pt>
              </c:numCache>
            </c:numRef>
          </c:val>
          <c:smooth val="0"/>
          <c:extLst>
            <c:ext xmlns:c16="http://schemas.microsoft.com/office/drawing/2014/chart" uri="{C3380CC4-5D6E-409C-BE32-E72D297353CC}">
              <c16:uniqueId val="{00000002-D415-4E0B-B7B2-A4A11611C730}"/>
            </c:ext>
          </c:extLst>
        </c:ser>
        <c:ser>
          <c:idx val="4"/>
          <c:order val="3"/>
          <c:tx>
            <c:strRef>
              <c:f>[2]Poverty_215!$M$11</c:f>
              <c:strCache>
                <c:ptCount val="1"/>
                <c:pt idx="0">
                  <c:v>ESA</c:v>
                </c:pt>
              </c:strCache>
            </c:strRef>
          </c:tx>
          <c:spPr>
            <a:ln w="28575" cap="rnd">
              <a:solidFill>
                <a:schemeClr val="accent5"/>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[2]Poverty_215!$N$11:$AG$11</c:f>
              <c:numCache>
                <c:formatCode>General</c:formatCode>
                <c:ptCount val="20"/>
                <c:pt idx="0">
                  <c:v>38.895679999999999</c:v>
                </c:pt>
                <c:pt idx="1">
                  <c:v>38.854339595759434</c:v>
                </c:pt>
                <c:pt idx="2">
                  <c:v>38.811608056121294</c:v>
                </c:pt>
                <c:pt idx="3">
                  <c:v>38.76744471582041</c:v>
                </c:pt>
                <c:pt idx="4">
                  <c:v>38.721807292463673</c:v>
                </c:pt>
                <c:pt idx="5">
                  <c:v>38.674651820200459</c:v>
                </c:pt>
                <c:pt idx="6">
                  <c:v>38.625932580548529</c:v>
                </c:pt>
                <c:pt idx="7">
                  <c:v>38.575602030264164</c:v>
                </c:pt>
                <c:pt idx="8">
                  <c:v>38.523610726142337</c:v>
                </c:pt>
                <c:pt idx="9">
                  <c:v>38.469907246630569</c:v>
                </c:pt>
                <c:pt idx="10">
                  <c:v>38.414438110137155</c:v>
                </c:pt>
                <c:pt idx="11">
                  <c:v>38.357147689913063</c:v>
                </c:pt>
                <c:pt idx="12">
                  <c:v>38.297978125384574</c:v>
                </c:pt>
                <c:pt idx="13">
                  <c:v>38.23686922981279</c:v>
                </c:pt>
                <c:pt idx="14">
                  <c:v>38.173758394154838</c:v>
                </c:pt>
                <c:pt idx="15">
                  <c:v>38.108580487001923</c:v>
                </c:pt>
                <c:pt idx="16">
                  <c:v>38.041267750469046</c:v>
                </c:pt>
                <c:pt idx="17">
                  <c:v>37.971749691912898</c:v>
                </c:pt>
                <c:pt idx="18">
                  <c:v>37.899952971356136</c:v>
                </c:pt>
                <c:pt idx="19">
                  <c:v>37.825801284499441</c:v>
                </c:pt>
              </c:numCache>
            </c:numRef>
          </c:val>
          <c:smooth val="0"/>
          <c:extLst>
            <c:ext xmlns:c16="http://schemas.microsoft.com/office/drawing/2014/chart" uri="{C3380CC4-5D6E-409C-BE32-E72D297353CC}">
              <c16:uniqueId val="{00000003-D415-4E0B-B7B2-A4A11611C730}"/>
            </c:ext>
          </c:extLst>
        </c:ser>
        <c:ser>
          <c:idx val="0"/>
          <c:order val="4"/>
          <c:tx>
            <c:strRef>
              <c:f>[2]Poverty_215!$M$12</c:f>
              <c:strCache>
                <c:ptCount val="1"/>
                <c:pt idx="0">
                  <c:v>SA</c:v>
                </c:pt>
              </c:strCache>
            </c:strRef>
          </c:tx>
          <c:spPr>
            <a:ln w="28575" cap="rnd">
              <a:solidFill>
                <a:schemeClr val="accent1"/>
              </a:solidFill>
              <a:round/>
            </a:ln>
            <a:effectLst/>
          </c:spPr>
          <c:marker>
            <c:symbol val="none"/>
          </c:marker>
          <c:val>
            <c:numRef>
              <c:f>[2]Poverty_215!$N$12:$AG$12</c:f>
              <c:numCache>
                <c:formatCode>General</c:formatCode>
                <c:ptCount val="20"/>
                <c:pt idx="0">
                  <c:v>11.48274</c:v>
                </c:pt>
                <c:pt idx="1">
                  <c:v>10.469357809197607</c:v>
                </c:pt>
                <c:pt idx="2">
                  <c:v>9.4825202525357888</c:v>
                </c:pt>
                <c:pt idx="3">
                  <c:v>8.5274756835821197</c:v>
                </c:pt>
                <c:pt idx="4">
                  <c:v>7.609438644494297</c:v>
                </c:pt>
                <c:pt idx="5">
                  <c:v>6.7334754098511684</c:v>
                </c:pt>
                <c:pt idx="6">
                  <c:v>5.9043760153954095</c:v>
                </c:pt>
                <c:pt idx="7">
                  <c:v>5.1265159997613008</c:v>
                </c:pt>
                <c:pt idx="8">
                  <c:v>4.403712587839661</c:v>
                </c:pt>
                <c:pt idx="9">
                  <c:v>3.7390816146864139</c:v>
                </c:pt>
                <c:pt idx="10">
                  <c:v>3.1349029870807015</c:v>
                </c:pt>
                <c:pt idx="11">
                  <c:v>2.5925037146786232</c:v>
                </c:pt>
                <c:pt idx="12">
                  <c:v>2.1121682806009399</c:v>
                </c:pt>
                <c:pt idx="13">
                  <c:v>1.6930861056307471</c:v>
                </c:pt>
                <c:pt idx="14">
                  <c:v>1.3333448452239742</c:v>
                </c:pt>
                <c:pt idx="15">
                  <c:v>1.0299760582613207</c:v>
                </c:pt>
                <c:pt idx="16">
                  <c:v>0.77905633517437689</c:v>
                </c:pt>
                <c:pt idx="17">
                  <c:v>0.57586238850067506</c:v>
                </c:pt>
                <c:pt idx="18">
                  <c:v>0.41507324294913156</c:v>
                </c:pt>
                <c:pt idx="19">
                  <c:v>0.29100711854202421</c:v>
                </c:pt>
              </c:numCache>
            </c:numRef>
          </c:val>
          <c:smooth val="0"/>
          <c:extLst>
            <c:ext xmlns:c16="http://schemas.microsoft.com/office/drawing/2014/chart" uri="{C3380CC4-5D6E-409C-BE32-E72D297353CC}">
              <c16:uniqueId val="{00000004-D415-4E0B-B7B2-A4A11611C730}"/>
            </c:ext>
          </c:extLst>
        </c:ser>
        <c:ser>
          <c:idx val="5"/>
          <c:order val="5"/>
          <c:tx>
            <c:strRef>
              <c:f>[2]Poverty_215!$M$13</c:f>
              <c:strCache>
                <c:ptCount val="1"/>
                <c:pt idx="0">
                  <c:v>SEA</c:v>
                </c:pt>
              </c:strCache>
            </c:strRef>
          </c:tx>
          <c:spPr>
            <a:ln w="28575" cap="rnd">
              <a:solidFill>
                <a:schemeClr val="accent6"/>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[2]Poverty_215!$N$12:$AG$12</c:f>
              <c:numCache>
                <c:formatCode>General</c:formatCode>
                <c:ptCount val="20"/>
                <c:pt idx="0">
                  <c:v>11.48274</c:v>
                </c:pt>
                <c:pt idx="1">
                  <c:v>10.469357809197607</c:v>
                </c:pt>
                <c:pt idx="2">
                  <c:v>9.4825202525357888</c:v>
                </c:pt>
                <c:pt idx="3">
                  <c:v>8.5274756835821197</c:v>
                </c:pt>
                <c:pt idx="4">
                  <c:v>7.609438644494297</c:v>
                </c:pt>
                <c:pt idx="5">
                  <c:v>6.7334754098511684</c:v>
                </c:pt>
                <c:pt idx="6">
                  <c:v>5.9043760153954095</c:v>
                </c:pt>
                <c:pt idx="7">
                  <c:v>5.1265159997613008</c:v>
                </c:pt>
                <c:pt idx="8">
                  <c:v>4.403712587839661</c:v>
                </c:pt>
                <c:pt idx="9">
                  <c:v>3.7390816146864139</c:v>
                </c:pt>
                <c:pt idx="10">
                  <c:v>3.1349029870807015</c:v>
                </c:pt>
                <c:pt idx="11">
                  <c:v>2.5925037146786232</c:v>
                </c:pt>
                <c:pt idx="12">
                  <c:v>2.1121682806009399</c:v>
                </c:pt>
                <c:pt idx="13">
                  <c:v>1.6930861056307471</c:v>
                </c:pt>
                <c:pt idx="14">
                  <c:v>1.3333448452239742</c:v>
                </c:pt>
                <c:pt idx="15">
                  <c:v>1.0299760582613207</c:v>
                </c:pt>
                <c:pt idx="16">
                  <c:v>0.77905633517437689</c:v>
                </c:pt>
                <c:pt idx="17">
                  <c:v>0.57586238850067506</c:v>
                </c:pt>
                <c:pt idx="18">
                  <c:v>0.41507324294913156</c:v>
                </c:pt>
                <c:pt idx="19">
                  <c:v>0.29100711854202421</c:v>
                </c:pt>
              </c:numCache>
            </c:numRef>
          </c:val>
          <c:smooth val="0"/>
          <c:extLst>
            <c:ext xmlns:c16="http://schemas.microsoft.com/office/drawing/2014/chart" uri="{C3380CC4-5D6E-409C-BE32-E72D297353CC}">
              <c16:uniqueId val="{00000005-D415-4E0B-B7B2-A4A11611C730}"/>
            </c:ext>
          </c:extLst>
        </c:ser>
        <c:dLbls>
          <c:showLegendKey val="0"/>
          <c:showVal val="0"/>
          <c:showCatName val="0"/>
          <c:showSerName val="0"/>
          <c:showPercent val="0"/>
          <c:showBubbleSize val="0"/>
        </c:dLbls>
        <c:smooth val="0"/>
        <c:axId val="1148425615"/>
        <c:axId val="1148423695"/>
      </c:lineChart>
      <c:catAx>
        <c:axId val="1148425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Year</a:t>
                </a:r>
              </a:p>
            </c:rich>
          </c:tx>
          <c:layout>
            <c:manualLayout>
              <c:xMode val="edge"/>
              <c:yMode val="edge"/>
              <c:x val="0.46367935258092741"/>
              <c:y val="0.8237029746281714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423695"/>
        <c:crossesAt val="0"/>
        <c:auto val="1"/>
        <c:lblAlgn val="ctr"/>
        <c:lblOffset val="100"/>
        <c:noMultiLvlLbl val="0"/>
      </c:catAx>
      <c:valAx>
        <c:axId val="11484236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Percentage total population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4256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Undernourished Population</a:t>
            </a:r>
            <a:br>
              <a:rPr lang="en-AU"/>
            </a:br>
            <a:r>
              <a:rPr lang="en-AU" sz="900" i="1"/>
              <a:t>Millions of people living below the minimum calorie daily threshold </a:t>
            </a:r>
            <a:endParaRPr lang="en-AU" i="1"/>
          </a:p>
        </c:rich>
      </c:tx>
      <c:layout>
        <c:manualLayout>
          <c:xMode val="edge"/>
          <c:yMode val="edge"/>
          <c:x val="0.1362010930125441"/>
          <c:y val="4.629719859659548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lineChart>
        <c:grouping val="standard"/>
        <c:varyColors val="0"/>
        <c:ser>
          <c:idx val="0"/>
          <c:order val="0"/>
          <c:tx>
            <c:strRef>
              <c:f>[2]Hunger!$H$32</c:f>
              <c:strCache>
                <c:ptCount val="1"/>
                <c:pt idx="0">
                  <c:v>LAC</c:v>
                </c:pt>
              </c:strCache>
            </c:strRef>
          </c:tx>
          <c:spPr>
            <a:ln w="28575" cap="rnd">
              <a:solidFill>
                <a:schemeClr val="accent1"/>
              </a:solidFill>
              <a:round/>
            </a:ln>
            <a:effectLst/>
          </c:spPr>
          <c:marker>
            <c:symbol val="none"/>
          </c:marker>
          <c:val>
            <c:numRef>
              <c:f>[2]Hunger!$I$32:$AB$32</c:f>
              <c:numCache>
                <c:formatCode>General</c:formatCode>
                <c:ptCount val="20"/>
                <c:pt idx="0">
                  <c:v>44.994626247528409</c:v>
                </c:pt>
                <c:pt idx="1">
                  <c:v>42.274181310493304</c:v>
                </c:pt>
                <c:pt idx="2">
                  <c:v>39.642775911585034</c:v>
                </c:pt>
                <c:pt idx="3">
                  <c:v>37.10303743411346</c:v>
                </c:pt>
                <c:pt idx="4">
                  <c:v>34.657196751465953</c:v>
                </c:pt>
                <c:pt idx="5">
                  <c:v>32.307079996639004</c:v>
                </c:pt>
                <c:pt idx="6">
                  <c:v>30.054103446080493</c:v>
                </c:pt>
                <c:pt idx="7">
                  <c:v>27.899271595631379</c:v>
                </c:pt>
                <c:pt idx="8">
                  <c:v>25.843178467953077</c:v>
                </c:pt>
                <c:pt idx="9">
                  <c:v>23.886012150879463</c:v>
                </c:pt>
                <c:pt idx="10">
                  <c:v>22.027562525242541</c:v>
                </c:pt>
                <c:pt idx="11">
                  <c:v>20.267232099633596</c:v>
                </c:pt>
                <c:pt idx="12">
                  <c:v>18.604049829002967</c:v>
                </c:pt>
                <c:pt idx="13">
                  <c:v>17.036687754712815</c:v>
                </c:pt>
                <c:pt idx="14">
                  <c:v>15.563480266407618</c:v>
                </c:pt>
                <c:pt idx="15">
                  <c:v>14.182445751574955</c:v>
                </c:pt>
                <c:pt idx="16">
                  <c:v>12.891310367628208</c:v>
                </c:pt>
                <c:pt idx="17">
                  <c:v>11.687533644387715</c:v>
                </c:pt>
                <c:pt idx="18">
                  <c:v>10.568335602534368</c:v>
                </c:pt>
                <c:pt idx="19">
                  <c:v>9.5307250564153101</c:v>
                </c:pt>
              </c:numCache>
            </c:numRef>
          </c:val>
          <c:smooth val="0"/>
          <c:extLst>
            <c:ext xmlns:c16="http://schemas.microsoft.com/office/drawing/2014/chart" uri="{C3380CC4-5D6E-409C-BE32-E72D297353CC}">
              <c16:uniqueId val="{00000000-C46D-4F04-8702-2C9E08639A6F}"/>
            </c:ext>
          </c:extLst>
        </c:ser>
        <c:ser>
          <c:idx val="1"/>
          <c:order val="1"/>
          <c:tx>
            <c:strRef>
              <c:f>[2]Hunger!$H$33</c:f>
              <c:strCache>
                <c:ptCount val="1"/>
                <c:pt idx="0">
                  <c:v>CWANA</c:v>
                </c:pt>
              </c:strCache>
            </c:strRef>
          </c:tx>
          <c:spPr>
            <a:ln w="28575" cap="rnd">
              <a:solidFill>
                <a:schemeClr val="accent2"/>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[2]Hunger!$I$33:$AB$33</c:f>
              <c:numCache>
                <c:formatCode>General</c:formatCode>
                <c:ptCount val="20"/>
                <c:pt idx="0">
                  <c:v>53.029004234032065</c:v>
                </c:pt>
                <c:pt idx="1">
                  <c:v>52.525290224514286</c:v>
                </c:pt>
                <c:pt idx="2">
                  <c:v>51.96185637562116</c:v>
                </c:pt>
                <c:pt idx="3">
                  <c:v>51.339094690398539</c:v>
                </c:pt>
                <c:pt idx="4">
                  <c:v>50.657604575609803</c:v>
                </c:pt>
                <c:pt idx="5">
                  <c:v>49.918200256079977</c:v>
                </c:pt>
                <c:pt idx="6">
                  <c:v>49.12191735931718</c:v>
                </c:pt>
                <c:pt idx="7">
                  <c:v>48.270018536166937</c:v>
                </c:pt>
                <c:pt idx="8">
                  <c:v>47.363997978801621</c:v>
                </c:pt>
                <c:pt idx="9">
                  <c:v>46.405584694269365</c:v>
                </c:pt>
                <c:pt idx="10">
                  <c:v>45.396744390391454</c:v>
                </c:pt>
                <c:pt idx="11">
                  <c:v>44.339679831303215</c:v>
                </c:pt>
                <c:pt idx="12">
                  <c:v>43.236829522627083</c:v>
                </c:pt>
                <c:pt idx="13">
                  <c:v>42.090864591472283</c:v>
                </c:pt>
                <c:pt idx="14">
                  <c:v>40.904683734416942</c:v>
                </c:pt>
                <c:pt idx="15">
                  <c:v>39.681406117611161</c:v>
                </c:pt>
                <c:pt idx="16">
                  <c:v>38.424362127423528</c:v>
                </c:pt>
                <c:pt idx="17">
                  <c:v>37.137081887757027</c:v>
                </c:pt>
                <c:pt idx="18">
                  <c:v>35.823281481524063</c:v>
                </c:pt>
                <c:pt idx="19">
                  <c:v>34.486846838830338</c:v>
                </c:pt>
              </c:numCache>
            </c:numRef>
          </c:val>
          <c:smooth val="0"/>
          <c:extLst>
            <c:ext xmlns:c16="http://schemas.microsoft.com/office/drawing/2014/chart" uri="{C3380CC4-5D6E-409C-BE32-E72D297353CC}">
              <c16:uniqueId val="{00000001-C46D-4F04-8702-2C9E08639A6F}"/>
            </c:ext>
          </c:extLst>
        </c:ser>
        <c:ser>
          <c:idx val="2"/>
          <c:order val="2"/>
          <c:tx>
            <c:strRef>
              <c:f>[2]Hunger!$H$34</c:f>
              <c:strCache>
                <c:ptCount val="1"/>
                <c:pt idx="0">
                  <c:v>WCA</c:v>
                </c:pt>
              </c:strCache>
            </c:strRef>
          </c:tx>
          <c:spPr>
            <a:ln w="28575" cap="rnd">
              <a:solidFill>
                <a:schemeClr val="accent3"/>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[2]Hunger!$I$34:$AB$34</c:f>
              <c:numCache>
                <c:formatCode>General</c:formatCode>
                <c:ptCount val="20"/>
                <c:pt idx="0">
                  <c:v>108.61272300297506</c:v>
                </c:pt>
                <c:pt idx="1">
                  <c:v>108.74281075537525</c:v>
                </c:pt>
                <c:pt idx="2">
                  <c:v>108.75146812675052</c:v>
                </c:pt>
                <c:pt idx="3">
                  <c:v>108.63645888480424</c:v>
                </c:pt>
                <c:pt idx="4">
                  <c:v>108.39591134798818</c:v>
                </c:pt>
                <c:pt idx="5">
                  <c:v>108.02834379867106</c:v>
                </c:pt>
                <c:pt idx="6">
                  <c:v>107.53268866167555</c:v>
                </c:pt>
                <c:pt idx="7">
                  <c:v>106.90831514239645</c:v>
                </c:pt>
                <c:pt idx="8">
                  <c:v>106.15505001255639</c:v>
                </c:pt>
                <c:pt idx="9">
                  <c:v>105.27319622925576</c:v>
                </c:pt>
                <c:pt idx="10">
                  <c:v>104.26354907481114</c:v>
                </c:pt>
                <c:pt idx="11">
                  <c:v>103.12740951124412</c:v>
                </c:pt>
                <c:pt idx="12">
                  <c:v>101.86659445453394</c:v>
                </c:pt>
                <c:pt idx="13">
                  <c:v>100.48344369010545</c:v>
                </c:pt>
                <c:pt idx="14">
                  <c:v>98.980823172615416</c:v>
                </c:pt>
                <c:pt idx="15">
                  <c:v>97.362124480114034</c:v>
                </c:pt>
                <c:pt idx="16">
                  <c:v>95.631260224898313</c:v>
                </c:pt>
                <c:pt idx="17">
                  <c:v>93.792655260915183</c:v>
                </c:pt>
                <c:pt idx="18">
                  <c:v>91.851233569961806</c:v>
                </c:pt>
                <c:pt idx="19">
                  <c:v>89.812400756005999</c:v>
                </c:pt>
              </c:numCache>
            </c:numRef>
          </c:val>
          <c:smooth val="0"/>
          <c:extLst>
            <c:ext xmlns:c16="http://schemas.microsoft.com/office/drawing/2014/chart" uri="{C3380CC4-5D6E-409C-BE32-E72D297353CC}">
              <c16:uniqueId val="{00000002-C46D-4F04-8702-2C9E08639A6F}"/>
            </c:ext>
          </c:extLst>
        </c:ser>
        <c:ser>
          <c:idx val="3"/>
          <c:order val="3"/>
          <c:tx>
            <c:strRef>
              <c:f>[2]Hunger!$H$35</c:f>
              <c:strCache>
                <c:ptCount val="1"/>
                <c:pt idx="0">
                  <c:v>ESA</c:v>
                </c:pt>
              </c:strCache>
            </c:strRef>
          </c:tx>
          <c:spPr>
            <a:ln w="28575" cap="rnd">
              <a:solidFill>
                <a:schemeClr val="accent4"/>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[2]Hunger!$I$35:$AB$35</c:f>
              <c:numCache>
                <c:formatCode>General</c:formatCode>
                <c:ptCount val="20"/>
                <c:pt idx="0">
                  <c:v>136.58277344182454</c:v>
                </c:pt>
                <c:pt idx="1">
                  <c:v>133.80325740823852</c:v>
                </c:pt>
                <c:pt idx="2">
                  <c:v>130.81169389927274</c:v>
                </c:pt>
                <c:pt idx="3">
                  <c:v>127.61502458888565</c:v>
                </c:pt>
                <c:pt idx="4">
                  <c:v>124.22171589799966</c:v>
                </c:pt>
                <c:pt idx="5">
                  <c:v>120.64177208407331</c:v>
                </c:pt>
                <c:pt idx="6">
                  <c:v>116.88672959836752</c:v>
                </c:pt>
                <c:pt idx="7">
                  <c:v>112.96963098244476</c:v>
                </c:pt>
                <c:pt idx="8">
                  <c:v>108.90497681647865</c:v>
                </c:pt>
                <c:pt idx="9">
                  <c:v>104.70865454402686</c:v>
                </c:pt>
                <c:pt idx="10">
                  <c:v>100.39784338159049</c:v>
                </c:pt>
                <c:pt idx="11">
                  <c:v>95.990894974677246</c:v>
                </c:pt>
                <c:pt idx="12">
                  <c:v>91.507189980302982</c:v>
                </c:pt>
                <c:pt idx="13">
                  <c:v>86.966971330753381</c:v>
                </c:pt>
                <c:pt idx="14">
                  <c:v>82.391155553491927</c:v>
                </c:pt>
                <c:pt idx="15">
                  <c:v>77.80112417213013</c:v>
                </c:pt>
                <c:pt idx="16">
                  <c:v>73.2184978749885</c:v>
                </c:pt>
                <c:pt idx="17">
                  <c:v>68.664896789270884</c:v>
                </c:pt>
                <c:pt idx="18">
                  <c:v>64.16169081610434</c:v>
                </c:pt>
                <c:pt idx="19">
                  <c:v>59.729744538591724</c:v>
                </c:pt>
              </c:numCache>
            </c:numRef>
          </c:val>
          <c:smooth val="0"/>
          <c:extLst>
            <c:ext xmlns:c16="http://schemas.microsoft.com/office/drawing/2014/chart" uri="{C3380CC4-5D6E-409C-BE32-E72D297353CC}">
              <c16:uniqueId val="{00000003-C46D-4F04-8702-2C9E08639A6F}"/>
            </c:ext>
          </c:extLst>
        </c:ser>
        <c:ser>
          <c:idx val="4"/>
          <c:order val="4"/>
          <c:tx>
            <c:strRef>
              <c:f>[2]Hunger!$H$36</c:f>
              <c:strCache>
                <c:ptCount val="1"/>
                <c:pt idx="0">
                  <c:v>SA</c:v>
                </c:pt>
              </c:strCache>
            </c:strRef>
          </c:tx>
          <c:spPr>
            <a:ln w="28575" cap="rnd">
              <a:solidFill>
                <a:schemeClr val="accent5"/>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[2]Hunger!$I$36:$AB$36</c:f>
              <c:numCache>
                <c:formatCode>General</c:formatCode>
                <c:ptCount val="20"/>
                <c:pt idx="0">
                  <c:v>285.97811732395007</c:v>
                </c:pt>
                <c:pt idx="1">
                  <c:v>259.96047433622363</c:v>
                </c:pt>
                <c:pt idx="2">
                  <c:v>235.06924338441894</c:v>
                </c:pt>
                <c:pt idx="3">
                  <c:v>211.39957144142542</c:v>
                </c:pt>
                <c:pt idx="4">
                  <c:v>189.03167055207234</c:v>
                </c:pt>
                <c:pt idx="5">
                  <c:v>168.02968007506837</c:v>
                </c:pt>
                <c:pt idx="6">
                  <c:v>148.44085416875936</c:v>
                </c:pt>
                <c:pt idx="7">
                  <c:v>130.29510607260826</c:v>
                </c:pt>
                <c:pt idx="8">
                  <c:v>113.60493020982643</c:v>
                </c:pt>
                <c:pt idx="9">
                  <c:v>98.365711055345173</c:v>
                </c:pt>
                <c:pt idx="10">
                  <c:v>84.556414528514409</c:v>
                </c:pt>
                <c:pt idx="11">
                  <c:v>72.140643942711421</c:v>
                </c:pt>
                <c:pt idx="12">
                  <c:v>61.068028923248249</c:v>
                </c:pt>
                <c:pt idx="13">
                  <c:v>51.275902893832011</c:v>
                </c:pt>
                <c:pt idx="14">
                  <c:v>42.691213447000997</c:v>
                </c:pt>
                <c:pt idx="15">
                  <c:v>35.232600836880536</c:v>
                </c:pt>
                <c:pt idx="16">
                  <c:v>28.812573558076505</c:v>
                </c:pt>
                <c:pt idx="17">
                  <c:v>23.339706959850233</c:v>
                </c:pt>
                <c:pt idx="18">
                  <c:v>18.720791363989754</c:v>
                </c:pt>
                <c:pt idx="19">
                  <c:v>14.862860264376677</c:v>
                </c:pt>
              </c:numCache>
            </c:numRef>
          </c:val>
          <c:smooth val="0"/>
          <c:extLst>
            <c:ext xmlns:c16="http://schemas.microsoft.com/office/drawing/2014/chart" uri="{C3380CC4-5D6E-409C-BE32-E72D297353CC}">
              <c16:uniqueId val="{00000004-C46D-4F04-8702-2C9E08639A6F}"/>
            </c:ext>
          </c:extLst>
        </c:ser>
        <c:ser>
          <c:idx val="5"/>
          <c:order val="5"/>
          <c:tx>
            <c:strRef>
              <c:f>[2]Hunger!$H$37</c:f>
              <c:strCache>
                <c:ptCount val="1"/>
                <c:pt idx="0">
                  <c:v>SEA</c:v>
                </c:pt>
              </c:strCache>
            </c:strRef>
          </c:tx>
          <c:spPr>
            <a:ln w="28575" cap="rnd">
              <a:solidFill>
                <a:schemeClr val="accent6"/>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[2]Hunger!$I$37:$AB$37</c:f>
              <c:numCache>
                <c:formatCode>General</c:formatCode>
                <c:ptCount val="20"/>
                <c:pt idx="0">
                  <c:v>63.434623188118827</c:v>
                </c:pt>
                <c:pt idx="1">
                  <c:v>55.039026121819838</c:v>
                </c:pt>
                <c:pt idx="2">
                  <c:v>47.508669601200317</c:v>
                </c:pt>
                <c:pt idx="3">
                  <c:v>40.792406994222738</c:v>
                </c:pt>
                <c:pt idx="4">
                  <c:v>34.83664000723217</c:v>
                </c:pt>
                <c:pt idx="5">
                  <c:v>29.586210650753618</c:v>
                </c:pt>
                <c:pt idx="6">
                  <c:v>24.985258502709165</c:v>
                </c:pt>
                <c:pt idx="7">
                  <c:v>20.978025664776631</c:v>
                </c:pt>
                <c:pt idx="8">
                  <c:v>17.5095942441598</c:v>
                </c:pt>
                <c:pt idx="9">
                  <c:v>14.526544038026993</c:v>
                </c:pt>
                <c:pt idx="10">
                  <c:v>11.977521220647132</c:v>
                </c:pt>
                <c:pt idx="11">
                  <c:v>9.8137120942565428</c:v>
                </c:pt>
                <c:pt idx="12">
                  <c:v>7.9892192232337811</c:v>
                </c:pt>
                <c:pt idx="13">
                  <c:v>6.4613403929105191</c:v>
                </c:pt>
                <c:pt idx="14">
                  <c:v>5.1907536984482805</c:v>
                </c:pt>
                <c:pt idx="15">
                  <c:v>4.1416145740998411</c:v>
                </c:pt>
                <c:pt idx="16">
                  <c:v>3.2815726412781241</c:v>
                </c:pt>
                <c:pt idx="17">
                  <c:v>2.5817178343489147</c:v>
                </c:pt>
                <c:pt idx="18">
                  <c:v>2.0164663329687422</c:v>
                </c:pt>
                <c:pt idx="19">
                  <c:v>1.5633973932392926</c:v>
                </c:pt>
              </c:numCache>
            </c:numRef>
          </c:val>
          <c:smooth val="0"/>
          <c:extLst>
            <c:ext xmlns:c16="http://schemas.microsoft.com/office/drawing/2014/chart" uri="{C3380CC4-5D6E-409C-BE32-E72D297353CC}">
              <c16:uniqueId val="{00000005-C46D-4F04-8702-2C9E08639A6F}"/>
            </c:ext>
          </c:extLst>
        </c:ser>
        <c:dLbls>
          <c:showLegendKey val="0"/>
          <c:showVal val="0"/>
          <c:showCatName val="0"/>
          <c:showSerName val="0"/>
          <c:showPercent val="0"/>
          <c:showBubbleSize val="0"/>
        </c:dLbls>
        <c:smooth val="0"/>
        <c:axId val="1148425615"/>
        <c:axId val="1148423695"/>
      </c:lineChart>
      <c:catAx>
        <c:axId val="1148425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Year</a:t>
                </a:r>
              </a:p>
            </c:rich>
          </c:tx>
          <c:layout>
            <c:manualLayout>
              <c:xMode val="edge"/>
              <c:yMode val="edge"/>
              <c:x val="0.46367935258092741"/>
              <c:y val="0.8237029746281714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423695"/>
        <c:crossesAt val="0"/>
        <c:auto val="1"/>
        <c:lblAlgn val="ctr"/>
        <c:lblOffset val="100"/>
        <c:noMultiLvlLbl val="0"/>
      </c:catAx>
      <c:valAx>
        <c:axId val="1148423695"/>
        <c:scaling>
          <c:orientation val="minMax"/>
          <c:max val="30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Millions of people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425615"/>
        <c:crosses val="autoZero"/>
        <c:crossBetween val="between"/>
        <c:majorUnit val="5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Poverty Headcount Rate ($3.65)</a:t>
            </a:r>
          </a:p>
          <a:p>
            <a:pPr>
              <a:defRPr/>
            </a:pPr>
            <a:r>
              <a:rPr lang="en-AU" sz="900" i="1"/>
              <a:t>Share of total population living below the poverty line</a:t>
            </a:r>
            <a:endParaRPr lang="en-AU" i="1"/>
          </a:p>
        </c:rich>
      </c:tx>
      <c:layout>
        <c:manualLayout>
          <c:xMode val="edge"/>
          <c:yMode val="edge"/>
          <c:x val="0.21656131978417287"/>
          <c:y val="1.3970060164294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lineChart>
        <c:grouping val="standard"/>
        <c:varyColors val="0"/>
        <c:ser>
          <c:idx val="1"/>
          <c:order val="0"/>
          <c:tx>
            <c:strRef>
              <c:f>[2]Poverty_365!$M$8</c:f>
              <c:strCache>
                <c:ptCount val="1"/>
                <c:pt idx="0">
                  <c:v>LAC</c:v>
                </c:pt>
              </c:strCache>
            </c:strRef>
          </c:tx>
          <c:spPr>
            <a:ln w="28575" cap="rnd">
              <a:solidFill>
                <a:schemeClr val="accent2"/>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[2]Poverty_365!$N$8:$AG$8</c:f>
              <c:numCache>
                <c:formatCode>General</c:formatCode>
                <c:ptCount val="20"/>
                <c:pt idx="0">
                  <c:v>12.326178476819264</c:v>
                </c:pt>
                <c:pt idx="1">
                  <c:v>12.381889163349326</c:v>
                </c:pt>
                <c:pt idx="2">
                  <c:v>12.436251628916459</c:v>
                </c:pt>
                <c:pt idx="3">
                  <c:v>12.489232445082679</c:v>
                </c:pt>
                <c:pt idx="4">
                  <c:v>12.540797718585354</c:v>
                </c:pt>
                <c:pt idx="5">
                  <c:v>12.590913081668123</c:v>
                </c:pt>
                <c:pt idx="6">
                  <c:v>12.639543682250387</c:v>
                </c:pt>
                <c:pt idx="7">
                  <c:v>12.686654173942228</c:v>
                </c:pt>
                <c:pt idx="8">
                  <c:v>12.732208705912404</c:v>
                </c:pt>
                <c:pt idx="9">
                  <c:v>12.77617091261866</c:v>
                </c:pt>
                <c:pt idx="10">
                  <c:v>12.818503903410948</c:v>
                </c:pt>
                <c:pt idx="11">
                  <c:v>12.859170252019601</c:v>
                </c:pt>
                <c:pt idx="12">
                  <c:v>12.898131985942833</c:v>
                </c:pt>
                <c:pt idx="13">
                  <c:v>12.93535057574935</c:v>
                </c:pt>
                <c:pt idx="14">
                  <c:v>12.970786924314398</c:v>
                </c:pt>
                <c:pt idx="15">
                  <c:v>13.004401356010282</c:v>
                </c:pt>
                <c:pt idx="16">
                  <c:v>13.036153605874441</c:v>
                </c:pt>
                <c:pt idx="17">
                  <c:v>13.066002808782224</c:v>
                </c:pt>
                <c:pt idx="18">
                  <c:v>13.093907488653745</c:v>
                </c:pt>
                <c:pt idx="19">
                  <c:v>13.119825547729045</c:v>
                </c:pt>
              </c:numCache>
            </c:numRef>
          </c:val>
          <c:smooth val="0"/>
          <c:extLst>
            <c:ext xmlns:c16="http://schemas.microsoft.com/office/drawing/2014/chart" uri="{C3380CC4-5D6E-409C-BE32-E72D297353CC}">
              <c16:uniqueId val="{00000000-C560-4718-AC6A-4551B6E6639F}"/>
            </c:ext>
          </c:extLst>
        </c:ser>
        <c:ser>
          <c:idx val="2"/>
          <c:order val="1"/>
          <c:tx>
            <c:strRef>
              <c:f>[2]Poverty_365!$M$9</c:f>
              <c:strCache>
                <c:ptCount val="1"/>
                <c:pt idx="0">
                  <c:v>CWANA</c:v>
                </c:pt>
              </c:strCache>
            </c:strRef>
          </c:tx>
          <c:spPr>
            <a:ln w="28575" cap="rnd">
              <a:solidFill>
                <a:schemeClr val="accent3"/>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[2]Poverty_365!$N$9:$AG$9</c:f>
              <c:numCache>
                <c:formatCode>General</c:formatCode>
                <c:ptCount val="20"/>
                <c:pt idx="0">
                  <c:v>14.288422822098919</c:v>
                </c:pt>
                <c:pt idx="1">
                  <c:v>13.982702549201973</c:v>
                </c:pt>
                <c:pt idx="2">
                  <c:v>13.67683968914368</c:v>
                </c:pt>
                <c:pt idx="3">
                  <c:v>13.370966999763937</c:v>
                </c:pt>
                <c:pt idx="4">
                  <c:v>13.065220507316768</c:v>
                </c:pt>
                <c:pt idx="5">
                  <c:v>12.75973944689008</c:v>
                </c:pt>
                <c:pt idx="6">
                  <c:v>12.45466619149396</c:v>
                </c:pt>
                <c:pt idx="7">
                  <c:v>12.150146169228629</c:v>
                </c:pt>
                <c:pt idx="8">
                  <c:v>11.846327767942952</c:v>
                </c:pt>
                <c:pt idx="9">
                  <c:v>11.543362226797486</c:v>
                </c:pt>
                <c:pt idx="10">
                  <c:v>11.241403514153248</c:v>
                </c:pt>
                <c:pt idx="11">
                  <c:v>10.940608191217761</c:v>
                </c:pt>
                <c:pt idx="12">
                  <c:v>10.641135260895059</c:v>
                </c:pt>
                <c:pt idx="13">
                  <c:v>10.343146001306888</c:v>
                </c:pt>
                <c:pt idx="14">
                  <c:v>10.046803783476943</c:v>
                </c:pt>
                <c:pt idx="15">
                  <c:v>9.7522738727010143</c:v>
                </c:pt>
                <c:pt idx="16">
                  <c:v>9.4597232131634286</c:v>
                </c:pt>
                <c:pt idx="17">
                  <c:v>9.169320195402916</c:v>
                </c:pt>
                <c:pt idx="18">
                  <c:v>8.8812344062825215</c:v>
                </c:pt>
                <c:pt idx="19">
                  <c:v>8.5956363611760942</c:v>
                </c:pt>
              </c:numCache>
            </c:numRef>
          </c:val>
          <c:smooth val="0"/>
          <c:extLst>
            <c:ext xmlns:c16="http://schemas.microsoft.com/office/drawing/2014/chart" uri="{C3380CC4-5D6E-409C-BE32-E72D297353CC}">
              <c16:uniqueId val="{00000001-C560-4718-AC6A-4551B6E6639F}"/>
            </c:ext>
          </c:extLst>
        </c:ser>
        <c:ser>
          <c:idx val="3"/>
          <c:order val="2"/>
          <c:tx>
            <c:strRef>
              <c:f>[2]Poverty_365!$M$10</c:f>
              <c:strCache>
                <c:ptCount val="1"/>
                <c:pt idx="0">
                  <c:v>WCA</c:v>
                </c:pt>
              </c:strCache>
            </c:strRef>
          </c:tx>
          <c:spPr>
            <a:ln w="28575" cap="rnd">
              <a:solidFill>
                <a:schemeClr val="accent4"/>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[2]Poverty_365!$N$10:$AG$10</c:f>
              <c:numCache>
                <c:formatCode>General</c:formatCode>
                <c:ptCount val="20"/>
                <c:pt idx="0">
                  <c:v>64.127509059426401</c:v>
                </c:pt>
                <c:pt idx="1">
                  <c:v>64.124548141671539</c:v>
                </c:pt>
                <c:pt idx="2">
                  <c:v>64.121536417731221</c:v>
                </c:pt>
                <c:pt idx="3">
                  <c:v>64.11847342100998</c:v>
                </c:pt>
                <c:pt idx="4">
                  <c:v>64.115358669989774</c:v>
                </c:pt>
                <c:pt idx="5">
                  <c:v>64.112191668041959</c:v>
                </c:pt>
                <c:pt idx="6">
                  <c:v>64.108971903230866</c:v>
                </c:pt>
                <c:pt idx="7">
                  <c:v>64.10569884810873</c:v>
                </c:pt>
                <c:pt idx="8">
                  <c:v>64.102371959502051</c:v>
                </c:pt>
                <c:pt idx="9">
                  <c:v>64.098990678288956</c:v>
                </c:pt>
                <c:pt idx="10">
                  <c:v>64.095554429167606</c:v>
                </c:pt>
                <c:pt idx="11">
                  <c:v>64.092062620415476</c:v>
                </c:pt>
                <c:pt idx="12">
                  <c:v>64.08851464363913</c:v>
                </c:pt>
                <c:pt idx="13">
                  <c:v>64.084909873514761</c:v>
                </c:pt>
                <c:pt idx="14">
                  <c:v>64.081247667518738</c:v>
                </c:pt>
                <c:pt idx="15">
                  <c:v>64.077527365648464</c:v>
                </c:pt>
                <c:pt idx="16">
                  <c:v>64.073748290133068</c:v>
                </c:pt>
                <c:pt idx="17">
                  <c:v>64.069909745133799</c:v>
                </c:pt>
                <c:pt idx="18">
                  <c:v>64.066011016434032</c:v>
                </c:pt>
                <c:pt idx="19">
                  <c:v>64.0620513711184</c:v>
                </c:pt>
              </c:numCache>
            </c:numRef>
          </c:val>
          <c:smooth val="0"/>
          <c:extLst>
            <c:ext xmlns:c16="http://schemas.microsoft.com/office/drawing/2014/chart" uri="{C3380CC4-5D6E-409C-BE32-E72D297353CC}">
              <c16:uniqueId val="{00000002-C560-4718-AC6A-4551B6E6639F}"/>
            </c:ext>
          </c:extLst>
        </c:ser>
        <c:ser>
          <c:idx val="4"/>
          <c:order val="3"/>
          <c:tx>
            <c:strRef>
              <c:f>[2]Poverty_365!$M$11</c:f>
              <c:strCache>
                <c:ptCount val="1"/>
                <c:pt idx="0">
                  <c:v>ESA</c:v>
                </c:pt>
              </c:strCache>
            </c:strRef>
          </c:tx>
          <c:spPr>
            <a:ln w="28575" cap="rnd">
              <a:solidFill>
                <a:schemeClr val="accent5"/>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[2]Poverty_365!$N$11:$AG$11</c:f>
              <c:numCache>
                <c:formatCode>General</c:formatCode>
                <c:ptCount val="20"/>
                <c:pt idx="0">
                  <c:v>65.5165687371194</c:v>
                </c:pt>
                <c:pt idx="1">
                  <c:v>65.515304931460904</c:v>
                </c:pt>
                <c:pt idx="2">
                  <c:v>65.513998192389707</c:v>
                </c:pt>
                <c:pt idx="3">
                  <c:v>65.51264723352152</c:v>
                </c:pt>
                <c:pt idx="4">
                  <c:v>65.511250715585177</c:v>
                </c:pt>
                <c:pt idx="5">
                  <c:v>65.509807244115564</c:v>
                </c:pt>
                <c:pt idx="6">
                  <c:v>65.508315367035863</c:v>
                </c:pt>
                <c:pt idx="7">
                  <c:v>65.506773572123265</c:v>
                </c:pt>
                <c:pt idx="8">
                  <c:v>65.505180284352662</c:v>
                </c:pt>
                <c:pt idx="9">
                  <c:v>65.503533863111798</c:v>
                </c:pt>
                <c:pt idx="10">
                  <c:v>65.501832599281641</c:v>
                </c:pt>
                <c:pt idx="11">
                  <c:v>65.500074712175063</c:v>
                </c:pt>
                <c:pt idx="12">
                  <c:v>65.49825834632675</c:v>
                </c:pt>
                <c:pt idx="13">
                  <c:v>65.496381568126708</c:v>
                </c:pt>
                <c:pt idx="14">
                  <c:v>65.494442362289362</c:v>
                </c:pt>
                <c:pt idx="15">
                  <c:v>65.492438628150126</c:v>
                </c:pt>
                <c:pt idx="16">
                  <c:v>65.490368175780418</c:v>
                </c:pt>
                <c:pt idx="17">
                  <c:v>65.48822872191198</c:v>
                </c:pt>
                <c:pt idx="18">
                  <c:v>65.486017885660644</c:v>
                </c:pt>
                <c:pt idx="19">
                  <c:v>65.483733184039494</c:v>
                </c:pt>
              </c:numCache>
            </c:numRef>
          </c:val>
          <c:smooth val="0"/>
          <c:extLst>
            <c:ext xmlns:c16="http://schemas.microsoft.com/office/drawing/2014/chart" uri="{C3380CC4-5D6E-409C-BE32-E72D297353CC}">
              <c16:uniqueId val="{00000003-C560-4718-AC6A-4551B6E6639F}"/>
            </c:ext>
          </c:extLst>
        </c:ser>
        <c:ser>
          <c:idx val="5"/>
          <c:order val="4"/>
          <c:tx>
            <c:strRef>
              <c:f>[2]Poverty_365!$M$12</c:f>
              <c:strCache>
                <c:ptCount val="1"/>
                <c:pt idx="0">
                  <c:v>SA</c:v>
                </c:pt>
              </c:strCache>
            </c:strRef>
          </c:tx>
          <c:spPr>
            <a:ln w="28575" cap="rnd">
              <a:solidFill>
                <a:schemeClr val="accent6"/>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[2]Poverty_365!$N$12:$AG$12</c:f>
              <c:numCache>
                <c:formatCode>General</c:formatCode>
                <c:ptCount val="20"/>
                <c:pt idx="0">
                  <c:v>43.134169730216684</c:v>
                </c:pt>
                <c:pt idx="1">
                  <c:v>42.785936062727707</c:v>
                </c:pt>
                <c:pt idx="2">
                  <c:v>42.423103240684</c:v>
                </c:pt>
                <c:pt idx="3">
                  <c:v>42.045095756720556</c:v>
                </c:pt>
                <c:pt idx="4">
                  <c:v>41.65132322262177</c:v>
                </c:pt>
                <c:pt idx="5">
                  <c:v>41.241181256264561</c:v>
                </c:pt>
                <c:pt idx="6">
                  <c:v>40.814052617892735</c:v>
                </c:pt>
                <c:pt idx="7">
                  <c:v>40.369308632944382</c:v>
                </c:pt>
                <c:pt idx="8">
                  <c:v>39.906310943056774</c:v>
                </c:pt>
                <c:pt idx="9">
                  <c:v>39.424413631627587</c:v>
                </c:pt>
                <c:pt idx="10">
                  <c:v>38.922965775403092</c:v>
                </c:pt>
                <c:pt idx="11">
                  <c:v>38.401314478959492</c:v>
                </c:pt>
                <c:pt idx="12">
                  <c:v>37.858808454588946</c:v>
                </c:pt>
                <c:pt idx="13">
                  <c:v>37.29480221591367</c:v>
                </c:pt>
                <c:pt idx="14">
                  <c:v>36.708660959410587</c:v>
                </c:pt>
                <c:pt idx="15">
                  <c:v>36.099766213769868</c:v>
                </c:pt>
                <c:pt idx="16">
                  <c:v>35.46752234241179</c:v>
                </c:pt>
                <c:pt idx="17">
                  <c:v>34.811363989254396</c:v>
                </c:pt>
                <c:pt idx="18">
                  <c:v>34.130764561582758</c:v>
                </c:pt>
                <c:pt idx="19">
                  <c:v>33.425245846137834</c:v>
                </c:pt>
              </c:numCache>
            </c:numRef>
          </c:val>
          <c:smooth val="0"/>
          <c:extLst>
            <c:ext xmlns:c16="http://schemas.microsoft.com/office/drawing/2014/chart" uri="{C3380CC4-5D6E-409C-BE32-E72D297353CC}">
              <c16:uniqueId val="{00000004-C560-4718-AC6A-4551B6E6639F}"/>
            </c:ext>
          </c:extLst>
        </c:ser>
        <c:ser>
          <c:idx val="0"/>
          <c:order val="5"/>
          <c:tx>
            <c:strRef>
              <c:f>[2]Poverty_365!$M$13</c:f>
              <c:strCache>
                <c:ptCount val="1"/>
                <c:pt idx="0">
                  <c:v>SEA</c:v>
                </c:pt>
              </c:strCache>
            </c:strRef>
          </c:tx>
          <c:spPr>
            <a:ln w="28575" cap="rnd">
              <a:solidFill>
                <a:schemeClr val="accent1"/>
              </a:solidFill>
              <a:round/>
            </a:ln>
            <a:effectLst/>
          </c:spPr>
          <c:marker>
            <c:symbol val="none"/>
          </c:marker>
          <c:val>
            <c:numRef>
              <c:f>[2]Poverty_365!$N$13:$AG$13</c:f>
              <c:numCache>
                <c:formatCode>General</c:formatCode>
                <c:ptCount val="20"/>
                <c:pt idx="0">
                  <c:v>6.6233528939511919</c:v>
                </c:pt>
                <c:pt idx="1">
                  <c:v>5.5934125729499016</c:v>
                </c:pt>
                <c:pt idx="2">
                  <c:v>4.6450586257173407</c:v>
                </c:pt>
                <c:pt idx="3">
                  <c:v>3.786173914837176</c:v>
                </c:pt>
                <c:pt idx="4">
                  <c:v>3.0226307406783413</c:v>
                </c:pt>
                <c:pt idx="5">
                  <c:v>2.357833528713984</c:v>
                </c:pt>
                <c:pt idx="6">
                  <c:v>1.7923686946310629</c:v>
                </c:pt>
                <c:pt idx="7">
                  <c:v>1.3238210051222614</c:v>
                </c:pt>
                <c:pt idx="8">
                  <c:v>0.94680860843435022</c:v>
                </c:pt>
                <c:pt idx="9">
                  <c:v>0.65326964308088331</c:v>
                </c:pt>
                <c:pt idx="10">
                  <c:v>0.43300161114111568</c:v>
                </c:pt>
                <c:pt idx="11">
                  <c:v>0.27441370348333582</c:v>
                </c:pt>
                <c:pt idx="12">
                  <c:v>0.16540941087168839</c:v>
                </c:pt>
                <c:pt idx="13">
                  <c:v>9.4283044263614654E-2</c:v>
                </c:pt>
                <c:pt idx="14">
                  <c:v>5.0501137911965505E-2</c:v>
                </c:pt>
                <c:pt idx="15">
                  <c:v>2.5256506789093403E-2</c:v>
                </c:pt>
                <c:pt idx="16">
                  <c:v>1.172900824802448E-2</c:v>
                </c:pt>
                <c:pt idx="17">
                  <c:v>5.0518673078637812E-3</c:v>
                </c:pt>
                <c:pt idx="18">
                  <c:v>2.045953654585674E-3</c:v>
                </c:pt>
                <c:pt idx="19">
                  <c:v>8.2542744513886197E-4</c:v>
                </c:pt>
              </c:numCache>
            </c:numRef>
          </c:val>
          <c:smooth val="0"/>
          <c:extLst>
            <c:ext xmlns:c16="http://schemas.microsoft.com/office/drawing/2014/chart" uri="{C3380CC4-5D6E-409C-BE32-E72D297353CC}">
              <c16:uniqueId val="{00000005-C560-4718-AC6A-4551B6E6639F}"/>
            </c:ext>
          </c:extLst>
        </c:ser>
        <c:dLbls>
          <c:showLegendKey val="0"/>
          <c:showVal val="0"/>
          <c:showCatName val="0"/>
          <c:showSerName val="0"/>
          <c:showPercent val="0"/>
          <c:showBubbleSize val="0"/>
        </c:dLbls>
        <c:smooth val="0"/>
        <c:axId val="1148425615"/>
        <c:axId val="1148423695"/>
      </c:lineChart>
      <c:catAx>
        <c:axId val="1148425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Year</a:t>
                </a:r>
              </a:p>
            </c:rich>
          </c:tx>
          <c:layout>
            <c:manualLayout>
              <c:xMode val="edge"/>
              <c:yMode val="edge"/>
              <c:x val="0.46367935258092741"/>
              <c:y val="0.8237029746281714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423695"/>
        <c:crossesAt val="0"/>
        <c:auto val="1"/>
        <c:lblAlgn val="ctr"/>
        <c:lblOffset val="100"/>
        <c:noMultiLvlLbl val="0"/>
      </c:catAx>
      <c:valAx>
        <c:axId val="11484236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Percentage total population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425615"/>
        <c:crosses val="autoZero"/>
        <c:crossBetween val="between"/>
        <c:majorUnit val="1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baseline="0">
                <a:effectLst/>
              </a:rPr>
              <a:t>Poverty Headcount Rate ($6.85)</a:t>
            </a:r>
            <a:r>
              <a:rPr lang="en-AU" sz="1400" b="0" i="0" u="none" strike="noStrike" baseline="0"/>
              <a:t> </a:t>
            </a:r>
            <a:br>
              <a:rPr lang="en-AU" sz="1400" b="0" i="0" u="none" strike="noStrike" baseline="0"/>
            </a:br>
            <a:r>
              <a:rPr lang="en-AU" sz="1050" b="0" i="1" u="none" strike="noStrike" baseline="0"/>
              <a:t>Share of total population living below the poverty line</a:t>
            </a:r>
            <a:endParaRPr lang="en-AU" sz="1050"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manualLayout>
          <c:layoutTarget val="inner"/>
          <c:xMode val="edge"/>
          <c:yMode val="edge"/>
          <c:x val="0.12524619708264925"/>
          <c:y val="0.23455526947007413"/>
          <c:w val="0.8414541043189534"/>
          <c:h val="0.56593230110665493"/>
        </c:manualLayout>
      </c:layout>
      <c:lineChart>
        <c:grouping val="standard"/>
        <c:varyColors val="0"/>
        <c:ser>
          <c:idx val="0"/>
          <c:order val="0"/>
          <c:tx>
            <c:strRef>
              <c:f>[2]Poverty_685!$M$8</c:f>
              <c:strCache>
                <c:ptCount val="1"/>
                <c:pt idx="0">
                  <c:v>LAC</c:v>
                </c:pt>
              </c:strCache>
            </c:strRef>
          </c:tx>
          <c:spPr>
            <a:ln w="28575" cap="rnd">
              <a:solidFill>
                <a:schemeClr val="accent1"/>
              </a:solidFill>
              <a:round/>
            </a:ln>
            <a:effectLst/>
          </c:spPr>
          <c:marker>
            <c:symbol val="none"/>
          </c:marker>
          <c:cat>
            <c:strRef>
              <c:f>[2]Poverty_685!$N$6:$AG$6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[2]Poverty_685!$N$8:$AG$8</c:f>
              <c:numCache>
                <c:formatCode>General</c:formatCode>
                <c:ptCount val="20"/>
                <c:pt idx="0">
                  <c:v>31.997969993346203</c:v>
                </c:pt>
                <c:pt idx="1">
                  <c:v>32.039062810175608</c:v>
                </c:pt>
                <c:pt idx="2">
                  <c:v>32.079057725043626</c:v>
                </c:pt>
                <c:pt idx="3">
                  <c:v>32.117938611160028</c:v>
                </c:pt>
                <c:pt idx="4">
                  <c:v>32.15568892393707</c:v>
                </c:pt>
                <c:pt idx="5">
                  <c:v>32.192291687299296</c:v>
                </c:pt>
                <c:pt idx="6">
                  <c:v>32.227729479466248</c:v>
                </c:pt>
                <c:pt idx="7">
                  <c:v>32.261984418183793</c:v>
                </c:pt>
                <c:pt idx="8">
                  <c:v>32.295038145378363</c:v>
                </c:pt>
                <c:pt idx="9">
                  <c:v>32.326871811207042</c:v>
                </c:pt>
                <c:pt idx="10">
                  <c:v>32.35746605747552</c:v>
                </c:pt>
                <c:pt idx="11">
                  <c:v>32.386801000393902</c:v>
                </c:pt>
                <c:pt idx="12">
                  <c:v>32.414856212639791</c:v>
                </c:pt>
                <c:pt idx="13">
                  <c:v>32.441610704695691</c:v>
                </c:pt>
                <c:pt idx="14">
                  <c:v>32.467042905426887</c:v>
                </c:pt>
                <c:pt idx="15">
                  <c:v>32.491130641864018</c:v>
                </c:pt>
                <c:pt idx="16">
                  <c:v>32.513851118152751</c:v>
                </c:pt>
                <c:pt idx="17">
                  <c:v>32.53518089363169</c:v>
                </c:pt>
                <c:pt idx="18">
                  <c:v>32.555095859997088</c:v>
                </c:pt>
                <c:pt idx="19">
                  <c:v>32.573571217511805</c:v>
                </c:pt>
              </c:numCache>
            </c:numRef>
          </c:val>
          <c:smooth val="0"/>
          <c:extLst>
            <c:ext xmlns:c16="http://schemas.microsoft.com/office/drawing/2014/chart" uri="{C3380CC4-5D6E-409C-BE32-E72D297353CC}">
              <c16:uniqueId val="{00000000-033F-4BEA-9EF8-73308288A37F}"/>
            </c:ext>
          </c:extLst>
        </c:ser>
        <c:ser>
          <c:idx val="1"/>
          <c:order val="1"/>
          <c:tx>
            <c:strRef>
              <c:f>[2]Poverty_685!$M$9</c:f>
              <c:strCache>
                <c:ptCount val="1"/>
                <c:pt idx="0">
                  <c:v>CWANA</c:v>
                </c:pt>
              </c:strCache>
            </c:strRef>
          </c:tx>
          <c:spPr>
            <a:ln w="28575" cap="rnd">
              <a:solidFill>
                <a:schemeClr val="accent2"/>
              </a:solidFill>
              <a:round/>
            </a:ln>
            <a:effectLst/>
          </c:spPr>
          <c:marker>
            <c:symbol val="none"/>
          </c:marker>
          <c:val>
            <c:numRef>
              <c:f>[2]Poverty_685!$N$9:$AG$9</c:f>
              <c:numCache>
                <c:formatCode>General</c:formatCode>
                <c:ptCount val="20"/>
                <c:pt idx="0">
                  <c:v>39.779016636555149</c:v>
                </c:pt>
                <c:pt idx="1">
                  <c:v>39.643680609114753</c:v>
                </c:pt>
                <c:pt idx="2">
                  <c:v>39.506380908463292</c:v>
                </c:pt>
                <c:pt idx="3">
                  <c:v>39.367094354850529</c:v>
                </c:pt>
                <c:pt idx="4">
                  <c:v>39.225797452353419</c:v>
                </c:pt>
                <c:pt idx="5">
                  <c:v>39.082466386812591</c:v>
                </c:pt>
                <c:pt idx="6">
                  <c:v>38.937077023844417</c:v>
                </c:pt>
                <c:pt idx="7">
                  <c:v>38.789604906939594</c:v>
                </c:pt>
                <c:pt idx="8">
                  <c:v>38.640025255660525</c:v>
                </c:pt>
                <c:pt idx="9">
                  <c:v>38.488312963950222</c:v>
                </c:pt>
                <c:pt idx="10">
                  <c:v>38.334442598567406</c:v>
                </c:pt>
                <c:pt idx="11">
                  <c:v>38.178388397663184</c:v>
                </c:pt>
                <c:pt idx="12">
                  <c:v>38.020124269516145</c:v>
                </c:pt>
                <c:pt idx="13">
                  <c:v>37.859623791444534</c:v>
                </c:pt>
                <c:pt idx="14">
                  <c:v>37.69686020891541</c:v>
                </c:pt>
                <c:pt idx="15">
                  <c:v>37.531806434872571</c:v>
                </c:pt>
                <c:pt idx="16">
                  <c:v>37.364435049306998</c:v>
                </c:pt>
                <c:pt idx="17">
                  <c:v>37.194718299095641</c:v>
                </c:pt>
                <c:pt idx="18">
                  <c:v>37.022628098136288</c:v>
                </c:pt>
                <c:pt idx="19">
                  <c:v>36.848136027809275</c:v>
                </c:pt>
              </c:numCache>
            </c:numRef>
          </c:val>
          <c:smooth val="0"/>
          <c:extLst>
            <c:ext xmlns:c16="http://schemas.microsoft.com/office/drawing/2014/chart" uri="{C3380CC4-5D6E-409C-BE32-E72D297353CC}">
              <c16:uniqueId val="{00000001-033F-4BEA-9EF8-73308288A37F}"/>
            </c:ext>
          </c:extLst>
        </c:ser>
        <c:ser>
          <c:idx val="2"/>
          <c:order val="2"/>
          <c:tx>
            <c:strRef>
              <c:f>[2]Poverty_685!$M$10</c:f>
              <c:strCache>
                <c:ptCount val="1"/>
                <c:pt idx="0">
                  <c:v>WCA</c:v>
                </c:pt>
              </c:strCache>
            </c:strRef>
          </c:tx>
          <c:spPr>
            <a:ln w="28575" cap="rnd">
              <a:solidFill>
                <a:schemeClr val="accent3"/>
              </a:solidFill>
              <a:round/>
            </a:ln>
            <a:effectLst/>
          </c:spPr>
          <c:marker>
            <c:symbol val="none"/>
          </c:marker>
          <c:val>
            <c:numRef>
              <c:f>[2]Poverty_685!$N$10:$AG$10</c:f>
              <c:numCache>
                <c:formatCode>General</c:formatCode>
                <c:ptCount val="20"/>
                <c:pt idx="0">
                  <c:v>88.509866853767235</c:v>
                </c:pt>
                <c:pt idx="1">
                  <c:v>88.506905907516682</c:v>
                </c:pt>
                <c:pt idx="2">
                  <c:v>88.503894154216354</c:v>
                </c:pt>
                <c:pt idx="3">
                  <c:v>88.500831127247025</c:v>
                </c:pt>
                <c:pt idx="4">
                  <c:v>88.49771634506611</c:v>
                </c:pt>
                <c:pt idx="5">
                  <c:v>88.494549311019711</c:v>
                </c:pt>
                <c:pt idx="6">
                  <c:v>88.491329513146155</c:v>
                </c:pt>
                <c:pt idx="7">
                  <c:v>88.488056423970917</c:v>
                </c:pt>
                <c:pt idx="8">
                  <c:v>88.484729500292858</c:v>
                </c:pt>
                <c:pt idx="9">
                  <c:v>88.481348182961682</c:v>
                </c:pt>
                <c:pt idx="10">
                  <c:v>88.477911896646276</c:v>
                </c:pt>
                <c:pt idx="11">
                  <c:v>88.47442004959386</c:v>
                </c:pt>
                <c:pt idx="12">
                  <c:v>88.470872033379976</c:v>
                </c:pt>
                <c:pt idx="13">
                  <c:v>88.467267222648758</c:v>
                </c:pt>
                <c:pt idx="14">
                  <c:v>88.463604974843548</c:v>
                </c:pt>
                <c:pt idx="15">
                  <c:v>88.459884629927714</c:v>
                </c:pt>
                <c:pt idx="16">
                  <c:v>88.456105510095327</c:v>
                </c:pt>
                <c:pt idx="17">
                  <c:v>88.452266919471526</c:v>
                </c:pt>
                <c:pt idx="18">
                  <c:v>88.44836814380244</c:v>
                </c:pt>
                <c:pt idx="19">
                  <c:v>88.444408450134276</c:v>
                </c:pt>
              </c:numCache>
            </c:numRef>
          </c:val>
          <c:smooth val="0"/>
          <c:extLst>
            <c:ext xmlns:c16="http://schemas.microsoft.com/office/drawing/2014/chart" uri="{C3380CC4-5D6E-409C-BE32-E72D297353CC}">
              <c16:uniqueId val="{00000002-033F-4BEA-9EF8-73308288A37F}"/>
            </c:ext>
          </c:extLst>
        </c:ser>
        <c:ser>
          <c:idx val="3"/>
          <c:order val="3"/>
          <c:tx>
            <c:strRef>
              <c:f>[2]Poverty_685!$M$11</c:f>
              <c:strCache>
                <c:ptCount val="1"/>
                <c:pt idx="0">
                  <c:v>ESA</c:v>
                </c:pt>
              </c:strCache>
            </c:strRef>
          </c:tx>
          <c:spPr>
            <a:ln w="28575" cap="rnd">
              <a:solidFill>
                <a:schemeClr val="accent4"/>
              </a:solidFill>
              <a:round/>
            </a:ln>
            <a:effectLst/>
          </c:spPr>
          <c:marker>
            <c:symbol val="none"/>
          </c:marker>
          <c:val>
            <c:numRef>
              <c:f>[2]Poverty_685!$N$11:$AG$11</c:f>
              <c:numCache>
                <c:formatCode>General</c:formatCode>
                <c:ptCount val="20"/>
                <c:pt idx="0">
                  <c:v>87.439470089502706</c:v>
                </c:pt>
                <c:pt idx="1">
                  <c:v>87.438206272418199</c:v>
                </c:pt>
                <c:pt idx="2">
                  <c:v>87.43689952147345</c:v>
                </c:pt>
                <c:pt idx="3">
                  <c:v>87.435548550266446</c:v>
                </c:pt>
                <c:pt idx="4">
                  <c:v>87.434152019507337</c:v>
                </c:pt>
                <c:pt idx="5">
                  <c:v>87.432708534711367</c:v>
                </c:pt>
                <c:pt idx="6">
                  <c:v>87.431216643780985</c:v>
                </c:pt>
                <c:pt idx="7">
                  <c:v>87.429674834471584</c:v>
                </c:pt>
                <c:pt idx="8">
                  <c:v>87.428081531735046</c:v>
                </c:pt>
                <c:pt idx="9">
                  <c:v>87.426435094934845</c:v>
                </c:pt>
                <c:pt idx="10">
                  <c:v>87.424733814926384</c:v>
                </c:pt>
                <c:pt idx="11">
                  <c:v>87.422975910995547</c:v>
                </c:pt>
                <c:pt idx="12">
                  <c:v>87.421159527648513</c:v>
                </c:pt>
                <c:pt idx="13">
                  <c:v>87.41928273124519</c:v>
                </c:pt>
                <c:pt idx="14">
                  <c:v>87.417343506468242</c:v>
                </c:pt>
                <c:pt idx="15">
                  <c:v>87.415339752619502</c:v>
                </c:pt>
                <c:pt idx="16">
                  <c:v>87.413269279734905</c:v>
                </c:pt>
                <c:pt idx="17">
                  <c:v>87.411129804508619</c:v>
                </c:pt>
                <c:pt idx="18">
                  <c:v>87.408918946016826</c:v>
                </c:pt>
                <c:pt idx="19">
                  <c:v>87.406634221230576</c:v>
                </c:pt>
              </c:numCache>
            </c:numRef>
          </c:val>
          <c:smooth val="0"/>
          <c:extLst>
            <c:ext xmlns:c16="http://schemas.microsoft.com/office/drawing/2014/chart" uri="{C3380CC4-5D6E-409C-BE32-E72D297353CC}">
              <c16:uniqueId val="{00000003-033F-4BEA-9EF8-73308288A37F}"/>
            </c:ext>
          </c:extLst>
        </c:ser>
        <c:ser>
          <c:idx val="4"/>
          <c:order val="4"/>
          <c:tx>
            <c:strRef>
              <c:f>[2]Poverty_685!$M$12</c:f>
              <c:strCache>
                <c:ptCount val="1"/>
                <c:pt idx="0">
                  <c:v>SA</c:v>
                </c:pt>
              </c:strCache>
            </c:strRef>
          </c:tx>
          <c:spPr>
            <a:ln w="28575" cap="rnd">
              <a:solidFill>
                <a:schemeClr val="accent5"/>
              </a:solidFill>
              <a:round/>
            </a:ln>
            <a:effectLst/>
          </c:spPr>
          <c:marker>
            <c:symbol val="none"/>
          </c:marker>
          <c:val>
            <c:numRef>
              <c:f>[2]Poverty_685!$N$12:$AG$12</c:f>
              <c:numCache>
                <c:formatCode>General</c:formatCode>
                <c:ptCount val="20"/>
                <c:pt idx="0">
                  <c:v>80.974434595048464</c:v>
                </c:pt>
                <c:pt idx="1">
                  <c:v>80.959242803092351</c:v>
                </c:pt>
                <c:pt idx="2">
                  <c:v>80.943388042141493</c:v>
                </c:pt>
                <c:pt idx="3">
                  <c:v>80.926840343727847</c:v>
                </c:pt>
                <c:pt idx="4">
                  <c:v>80.909568355452805</c:v>
                </c:pt>
                <c:pt idx="5">
                  <c:v>80.891539276056207</c:v>
                </c:pt>
                <c:pt idx="6">
                  <c:v>80.87271878739547</c:v>
                </c:pt>
                <c:pt idx="7">
                  <c:v>80.853070983186115</c:v>
                </c:pt>
                <c:pt idx="8">
                  <c:v>80.832558294348132</c:v>
                </c:pt>
                <c:pt idx="9">
                  <c:v>80.811141410795415</c:v>
                </c:pt>
                <c:pt idx="10">
                  <c:v>80.788779199497441</c:v>
                </c:pt>
                <c:pt idx="11">
                  <c:v>80.765428618634701</c:v>
                </c:pt>
                <c:pt idx="12">
                  <c:v>80.741044627660742</c:v>
                </c:pt>
                <c:pt idx="13">
                  <c:v>80.715580093075289</c:v>
                </c:pt>
                <c:pt idx="14">
                  <c:v>80.688985689703458</c:v>
                </c:pt>
                <c:pt idx="15">
                  <c:v>80.661209797267162</c:v>
                </c:pt>
                <c:pt idx="16">
                  <c:v>80.632198392024776</c:v>
                </c:pt>
                <c:pt idx="17">
                  <c:v>80.601894933245035</c:v>
                </c:pt>
                <c:pt idx="18">
                  <c:v>80.570240244270892</c:v>
                </c:pt>
                <c:pt idx="19">
                  <c:v>80.537172387918261</c:v>
                </c:pt>
              </c:numCache>
            </c:numRef>
          </c:val>
          <c:smooth val="0"/>
          <c:extLst>
            <c:ext xmlns:c16="http://schemas.microsoft.com/office/drawing/2014/chart" uri="{C3380CC4-5D6E-409C-BE32-E72D297353CC}">
              <c16:uniqueId val="{00000004-033F-4BEA-9EF8-73308288A37F}"/>
            </c:ext>
          </c:extLst>
        </c:ser>
        <c:ser>
          <c:idx val="5"/>
          <c:order val="5"/>
          <c:tx>
            <c:strRef>
              <c:f>[2]Poverty_685!$M$13</c:f>
              <c:strCache>
                <c:ptCount val="1"/>
                <c:pt idx="0">
                  <c:v>SEA</c:v>
                </c:pt>
              </c:strCache>
            </c:strRef>
          </c:tx>
          <c:spPr>
            <a:ln w="28575" cap="rnd">
              <a:solidFill>
                <a:schemeClr val="accent6"/>
              </a:solidFill>
              <a:round/>
            </a:ln>
            <a:effectLst/>
          </c:spPr>
          <c:marker>
            <c:symbol val="none"/>
          </c:marker>
          <c:val>
            <c:numRef>
              <c:f>[2]Poverty_685!$N$13:$AG$13</c:f>
              <c:numCache>
                <c:formatCode>General</c:formatCode>
                <c:ptCount val="20"/>
                <c:pt idx="0">
                  <c:v>29.552820007379527</c:v>
                </c:pt>
                <c:pt idx="1">
                  <c:v>28.453080931793412</c:v>
                </c:pt>
                <c:pt idx="2">
                  <c:v>27.310321404829729</c:v>
                </c:pt>
                <c:pt idx="3">
                  <c:v>26.12551348313033</c:v>
                </c:pt>
                <c:pt idx="4">
                  <c:v>24.900204498083639</c:v>
                </c:pt>
                <c:pt idx="5">
                  <c:v>23.63660480947399</c:v>
                </c:pt>
                <c:pt idx="6">
                  <c:v>22.337678810268585</c:v>
                </c:pt>
                <c:pt idx="7">
                  <c:v>21.007236195027286</c:v>
                </c:pt>
                <c:pt idx="8">
                  <c:v>19.65001929952161</c:v>
                </c:pt>
                <c:pt idx="9">
                  <c:v>18.271780897959644</c:v>
                </c:pt>
                <c:pt idx="10">
                  <c:v>16.879345241730842</c:v>
                </c:pt>
                <c:pt idx="11">
                  <c:v>15.480643420645551</c:v>
                </c:pt>
                <c:pt idx="12">
                  <c:v>14.084712469190334</c:v>
                </c:pt>
                <c:pt idx="13">
                  <c:v>12.701646254863919</c:v>
                </c:pt>
                <c:pt idx="14">
                  <c:v>11.342485402175255</c:v>
                </c:pt>
                <c:pt idx="15">
                  <c:v>10.019033761655447</c:v>
                </c:pt>
                <c:pt idx="16">
                  <c:v>8.7435907626419773</c:v>
                </c:pt>
                <c:pt idx="17">
                  <c:v>7.5285929792859632</c:v>
                </c:pt>
                <c:pt idx="18">
                  <c:v>6.3861649398990448</c:v>
                </c:pt>
                <c:pt idx="19">
                  <c:v>5.3275889751452086</c:v>
                </c:pt>
              </c:numCache>
            </c:numRef>
          </c:val>
          <c:smooth val="0"/>
          <c:extLst>
            <c:ext xmlns:c16="http://schemas.microsoft.com/office/drawing/2014/chart" uri="{C3380CC4-5D6E-409C-BE32-E72D297353CC}">
              <c16:uniqueId val="{00000005-033F-4BEA-9EF8-73308288A37F}"/>
            </c:ext>
          </c:extLst>
        </c:ser>
        <c:dLbls>
          <c:showLegendKey val="0"/>
          <c:showVal val="0"/>
          <c:showCatName val="0"/>
          <c:showSerName val="0"/>
          <c:showPercent val="0"/>
          <c:showBubbleSize val="0"/>
        </c:dLbls>
        <c:smooth val="0"/>
        <c:axId val="929478607"/>
        <c:axId val="929479087"/>
      </c:lineChart>
      <c:catAx>
        <c:axId val="929478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Year</a:t>
                </a:r>
              </a:p>
            </c:rich>
          </c:tx>
          <c:layout>
            <c:manualLayout>
              <c:xMode val="edge"/>
              <c:yMode val="edge"/>
              <c:x val="0.45891529509345119"/>
              <c:y val="0.8727350503889537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479087"/>
        <c:crosses val="autoZero"/>
        <c:auto val="1"/>
        <c:lblAlgn val="ctr"/>
        <c:lblOffset val="100"/>
        <c:noMultiLvlLbl val="0"/>
      </c:catAx>
      <c:valAx>
        <c:axId val="929479087"/>
        <c:scaling>
          <c:orientation val="minMax"/>
          <c:max val="9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Share,</a:t>
                </a:r>
                <a:r>
                  <a:rPr lang="en-AU" baseline="0"/>
                  <a:t> total population</a:t>
                </a:r>
                <a:endParaRPr lang="en-AU"/>
              </a:p>
            </c:rich>
          </c:tx>
          <c:layout>
            <c:manualLayout>
              <c:xMode val="edge"/>
              <c:yMode val="edge"/>
              <c:x val="8.3249246495993336E-3"/>
              <c:y val="0.2439543986814575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478607"/>
        <c:crosses val="autoZero"/>
        <c:crossBetween val="between"/>
        <c:majorUnit val="10"/>
      </c:valAx>
      <c:spPr>
        <a:noFill/>
        <a:ln>
          <a:noFill/>
        </a:ln>
        <a:effectLst/>
      </c:spPr>
    </c:plotArea>
    <c:legend>
      <c:legendPos val="b"/>
      <c:layout>
        <c:manualLayout>
          <c:xMode val="edge"/>
          <c:yMode val="edge"/>
          <c:x val="9.6282232862782091E-2"/>
          <c:y val="0.9206942922122664"/>
          <c:w val="0.80743531577247651"/>
          <c:h val="7.930570778773363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baseline="0">
                <a:effectLst/>
              </a:rPr>
              <a:t>Agrifood System Jobs (incl. subsistence farming and informal sector)</a:t>
            </a:r>
          </a:p>
          <a:p>
            <a:pPr>
              <a:defRPr/>
            </a:pPr>
            <a:r>
              <a:rPr lang="en-AU" sz="1050" b="0" i="1" u="none" strike="noStrike" baseline="0"/>
              <a:t>Millions of workers</a:t>
            </a:r>
            <a:endParaRPr lang="en-AU" sz="1050"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manualLayout>
          <c:layoutTarget val="inner"/>
          <c:xMode val="edge"/>
          <c:yMode val="edge"/>
          <c:x val="0.12524619708264925"/>
          <c:y val="0.23455526947007413"/>
          <c:w val="0.8414541043189534"/>
          <c:h val="0.56593230110665493"/>
        </c:manualLayout>
      </c:layout>
      <c:lineChart>
        <c:grouping val="standard"/>
        <c:varyColors val="0"/>
        <c:ser>
          <c:idx val="0"/>
          <c:order val="0"/>
          <c:tx>
            <c:strRef>
              <c:f>[2]Jobs!$H$8</c:f>
              <c:strCache>
                <c:ptCount val="1"/>
                <c:pt idx="0">
                  <c:v>LAC</c:v>
                </c:pt>
              </c:strCache>
            </c:strRef>
          </c:tx>
          <c:spPr>
            <a:ln w="28575" cap="rnd">
              <a:solidFill>
                <a:schemeClr val="accent1"/>
              </a:solidFill>
              <a:round/>
            </a:ln>
            <a:effectLst/>
          </c:spPr>
          <c:marker>
            <c:symbol val="none"/>
          </c:marker>
          <c:cat>
            <c:strRef>
              <c:f>[2]Poverty_685!$N$6:$AG$6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[2]Jobs!$I$8:$AB$8</c:f>
              <c:numCache>
                <c:formatCode>General</c:formatCode>
                <c:ptCount val="20"/>
                <c:pt idx="0">
                  <c:v>79.453806000000029</c:v>
                </c:pt>
                <c:pt idx="1">
                  <c:v>81.086566054723761</c:v>
                </c:pt>
                <c:pt idx="2">
                  <c:v>82.761199563724261</c:v>
                </c:pt>
                <c:pt idx="3">
                  <c:v>84.478933000031432</c:v>
                </c:pt>
                <c:pt idx="4">
                  <c:v>86.241032775044218</c:v>
                </c:pt>
                <c:pt idx="5">
                  <c:v>88.048806699008438</c:v>
                </c:pt>
                <c:pt idx="6">
                  <c:v>89.903605503022717</c:v>
                </c:pt>
                <c:pt idx="7">
                  <c:v>91.806824425594613</c:v>
                </c:pt>
                <c:pt idx="8">
                  <c:v>93.75990486693928</c:v>
                </c:pt>
                <c:pt idx="9">
                  <c:v>95.764336114393075</c:v>
                </c:pt>
                <c:pt idx="10">
                  <c:v>97.821657142505401</c:v>
                </c:pt>
                <c:pt idx="11">
                  <c:v>99.933458491576303</c:v>
                </c:pt>
                <c:pt idx="12">
                  <c:v>102.10138422862239</c:v>
                </c:pt>
                <c:pt idx="13">
                  <c:v>104.32713399498354</c:v>
                </c:pt>
                <c:pt idx="14">
                  <c:v>106.61246514502676</c:v>
                </c:pt>
                <c:pt idx="15">
                  <c:v>108.95919498066223</c:v>
                </c:pt>
                <c:pt idx="16">
                  <c:v>111.36920308666291</c:v>
                </c:pt>
                <c:pt idx="17">
                  <c:v>113.8444337720708</c:v>
                </c:pt>
                <c:pt idx="18">
                  <c:v>116.38689862328633</c:v>
                </c:pt>
                <c:pt idx="19">
                  <c:v>118.9986791747661</c:v>
                </c:pt>
              </c:numCache>
            </c:numRef>
          </c:val>
          <c:smooth val="0"/>
          <c:extLst>
            <c:ext xmlns:c16="http://schemas.microsoft.com/office/drawing/2014/chart" uri="{C3380CC4-5D6E-409C-BE32-E72D297353CC}">
              <c16:uniqueId val="{00000000-0B40-455F-A350-EFFA36C3D664}"/>
            </c:ext>
          </c:extLst>
        </c:ser>
        <c:ser>
          <c:idx val="1"/>
          <c:order val="1"/>
          <c:tx>
            <c:strRef>
              <c:f>[2]Jobs!$H$9</c:f>
              <c:strCache>
                <c:ptCount val="1"/>
                <c:pt idx="0">
                  <c:v>CWANA</c:v>
                </c:pt>
              </c:strCache>
            </c:strRef>
          </c:tx>
          <c:spPr>
            <a:ln w="28575" cap="rnd">
              <a:solidFill>
                <a:schemeClr val="accent2"/>
              </a:solidFill>
              <a:round/>
            </a:ln>
            <a:effectLst/>
          </c:spPr>
          <c:marker>
            <c:symbol val="none"/>
          </c:marker>
          <c:val>
            <c:numRef>
              <c:f>[2]Jobs!$I$9:$AB$9</c:f>
              <c:numCache>
                <c:formatCode>General</c:formatCode>
                <c:ptCount val="20"/>
                <c:pt idx="0">
                  <c:v>50.377779000000018</c:v>
                </c:pt>
                <c:pt idx="1">
                  <c:v>51.475883640949675</c:v>
                </c:pt>
                <c:pt idx="2">
                  <c:v>52.60694668056464</c:v>
                </c:pt>
                <c:pt idx="3">
                  <c:v>53.772163611607844</c:v>
                </c:pt>
                <c:pt idx="4">
                  <c:v>54.972780888224577</c:v>
                </c:pt>
                <c:pt idx="5">
                  <c:v>56.210098413985783</c:v>
                </c:pt>
                <c:pt idx="6">
                  <c:v>57.485472164940759</c:v>
                </c:pt>
                <c:pt idx="7">
                  <c:v>58.800316955564412</c:v>
                </c:pt>
                <c:pt idx="8">
                  <c:v>60.156109355966279</c:v>
                </c:pt>
                <c:pt idx="9">
                  <c:v>61.554390769242069</c:v>
                </c:pt>
                <c:pt idx="10">
                  <c:v>62.996770678393503</c:v>
                </c:pt>
                <c:pt idx="11">
                  <c:v>64.484930072822266</c:v>
                </c:pt>
                <c:pt idx="12">
                  <c:v>66.020625065020141</c:v>
                </c:pt>
                <c:pt idx="13">
                  <c:v>67.605690708732766</c:v>
                </c:pt>
                <c:pt idx="14">
                  <c:v>69.242045030571489</c:v>
                </c:pt>
                <c:pt idx="15">
                  <c:v>70.931693287788633</c:v>
                </c:pt>
                <c:pt idx="16">
                  <c:v>72.676732465719184</c:v>
                </c:pt>
                <c:pt idx="17">
                  <c:v>74.479356029230715</c:v>
                </c:pt>
                <c:pt idx="18">
                  <c:v>76.341858943413598</c:v>
                </c:pt>
                <c:pt idx="19">
                  <c:v>78.266642979691554</c:v>
                </c:pt>
              </c:numCache>
            </c:numRef>
          </c:val>
          <c:smooth val="0"/>
          <c:extLst>
            <c:ext xmlns:c16="http://schemas.microsoft.com/office/drawing/2014/chart" uri="{C3380CC4-5D6E-409C-BE32-E72D297353CC}">
              <c16:uniqueId val="{00000001-0B40-455F-A350-EFFA36C3D664}"/>
            </c:ext>
          </c:extLst>
        </c:ser>
        <c:ser>
          <c:idx val="2"/>
          <c:order val="2"/>
          <c:tx>
            <c:strRef>
              <c:f>[2]Jobs!$H$10</c:f>
              <c:strCache>
                <c:ptCount val="1"/>
                <c:pt idx="0">
                  <c:v>WCA</c:v>
                </c:pt>
              </c:strCache>
            </c:strRef>
          </c:tx>
          <c:spPr>
            <a:ln w="28575" cap="rnd">
              <a:solidFill>
                <a:schemeClr val="accent3"/>
              </a:solidFill>
              <a:round/>
            </a:ln>
            <a:effectLst/>
          </c:spPr>
          <c:marker>
            <c:symbol val="none"/>
          </c:marker>
          <c:val>
            <c:numRef>
              <c:f>[2]Jobs!$I$10:$AB$10</c:f>
              <c:numCache>
                <c:formatCode>General</c:formatCode>
                <c:ptCount val="20"/>
                <c:pt idx="0">
                  <c:v>118.18600999999997</c:v>
                </c:pt>
                <c:pt idx="1">
                  <c:v>122.23843040211432</c:v>
                </c:pt>
                <c:pt idx="2">
                  <c:v>126.45316524656667</c:v>
                </c:pt>
                <c:pt idx="3">
                  <c:v>130.83720375098156</c:v>
                </c:pt>
                <c:pt idx="4">
                  <c:v>135.39784981501148</c:v>
                </c:pt>
                <c:pt idx="5">
                  <c:v>140.14273666406737</c:v>
                </c:pt>
                <c:pt idx="6">
                  <c:v>145.07984219400183</c:v>
                </c:pt>
                <c:pt idx="7">
                  <c:v>150.21750505118411</c:v>
                </c:pt>
                <c:pt idx="8">
                  <c:v>155.56444148413863</c:v>
                </c:pt>
                <c:pt idx="9">
                  <c:v>161.12976300474412</c:v>
                </c:pt>
                <c:pt idx="10">
                  <c:v>166.92299489890539</c:v>
                </c:pt>
                <c:pt idx="11">
                  <c:v>172.95409562862969</c:v>
                </c:pt>
                <c:pt idx="12">
                  <c:v>179.23347716955743</c:v>
                </c:pt>
                <c:pt idx="13">
                  <c:v>185.77202633022995</c:v>
                </c:pt>
                <c:pt idx="14">
                  <c:v>192.58112710172094</c:v>
                </c:pt>
                <c:pt idx="15">
                  <c:v>199.67268408872843</c:v>
                </c:pt>
                <c:pt idx="16">
                  <c:v>207.05914707581761</c:v>
                </c:pt>
                <c:pt idx="17">
                  <c:v>214.75353678523783</c:v>
                </c:pt>
                <c:pt idx="18">
                  <c:v>222.7694718856078</c:v>
                </c:pt>
                <c:pt idx="19">
                  <c:v>231.1211973137884</c:v>
                </c:pt>
              </c:numCache>
            </c:numRef>
          </c:val>
          <c:smooth val="0"/>
          <c:extLst>
            <c:ext xmlns:c16="http://schemas.microsoft.com/office/drawing/2014/chart" uri="{C3380CC4-5D6E-409C-BE32-E72D297353CC}">
              <c16:uniqueId val="{00000002-0B40-455F-A350-EFFA36C3D664}"/>
            </c:ext>
          </c:extLst>
        </c:ser>
        <c:ser>
          <c:idx val="3"/>
          <c:order val="3"/>
          <c:tx>
            <c:strRef>
              <c:f>[2]Jobs!$H$11</c:f>
              <c:strCache>
                <c:ptCount val="1"/>
                <c:pt idx="0">
                  <c:v>ESA</c:v>
                </c:pt>
              </c:strCache>
            </c:strRef>
          </c:tx>
          <c:spPr>
            <a:ln w="28575" cap="rnd">
              <a:solidFill>
                <a:schemeClr val="accent4"/>
              </a:solidFill>
              <a:round/>
            </a:ln>
            <a:effectLst/>
          </c:spPr>
          <c:marker>
            <c:symbol val="none"/>
          </c:marker>
          <c:val>
            <c:numRef>
              <c:f>[2]Jobs!$I$11:$AB$11</c:f>
              <c:numCache>
                <c:formatCode>General</c:formatCode>
                <c:ptCount val="20"/>
                <c:pt idx="0">
                  <c:v>152.33566000000002</c:v>
                </c:pt>
                <c:pt idx="1">
                  <c:v>158.07421116433346</c:v>
                </c:pt>
                <c:pt idx="2">
                  <c:v>164.07237269379897</c:v>
                </c:pt>
                <c:pt idx="3">
                  <c:v>170.34341970834708</c:v>
                </c:pt>
                <c:pt idx="4">
                  <c:v>176.90137254096749</c:v>
                </c:pt>
                <c:pt idx="5">
                  <c:v>183.76104196085666</c:v>
                </c:pt>
                <c:pt idx="6">
                  <c:v>190.93807732942491</c:v>
                </c:pt>
                <c:pt idx="7">
                  <c:v>198.44901789019178</c:v>
                </c:pt>
                <c:pt idx="8">
                  <c:v>206.31134740803611</c:v>
                </c:pt>
                <c:pt idx="9">
                  <c:v>214.54355238875252</c:v>
                </c:pt>
                <c:pt idx="10">
                  <c:v>223.16518412650379</c:v>
                </c:pt>
                <c:pt idx="11">
                  <c:v>232.19692484464082</c:v>
                </c:pt>
                <c:pt idx="12">
                  <c:v>241.6606582145759</c:v>
                </c:pt>
                <c:pt idx="13">
                  <c:v>251.57954455804838</c:v>
                </c:pt>
                <c:pt idx="14">
                  <c:v>261.97810106032796</c:v>
                </c:pt>
                <c:pt idx="15">
                  <c:v>272.88228734576751</c:v>
                </c:pt>
                <c:pt idx="16">
                  <c:v>284.31959679279009</c:v>
                </c:pt>
                <c:pt idx="17">
                  <c:v>296.31915399299453</c:v>
                </c:pt>
                <c:pt idx="18">
                  <c:v>308.91181878875346</c:v>
                </c:pt>
                <c:pt idx="19">
                  <c:v>322.13029735561247</c:v>
                </c:pt>
              </c:numCache>
            </c:numRef>
          </c:val>
          <c:smooth val="0"/>
          <c:extLst>
            <c:ext xmlns:c16="http://schemas.microsoft.com/office/drawing/2014/chart" uri="{C3380CC4-5D6E-409C-BE32-E72D297353CC}">
              <c16:uniqueId val="{00000003-0B40-455F-A350-EFFA36C3D664}"/>
            </c:ext>
          </c:extLst>
        </c:ser>
        <c:ser>
          <c:idx val="4"/>
          <c:order val="4"/>
          <c:tx>
            <c:strRef>
              <c:f>[2]Jobs!$H$12</c:f>
              <c:strCache>
                <c:ptCount val="1"/>
                <c:pt idx="0">
                  <c:v>SA</c:v>
                </c:pt>
              </c:strCache>
            </c:strRef>
          </c:tx>
          <c:spPr>
            <a:ln w="28575" cap="rnd">
              <a:solidFill>
                <a:schemeClr val="accent5"/>
              </a:solidFill>
              <a:round/>
            </a:ln>
            <a:effectLst/>
          </c:spPr>
          <c:marker>
            <c:symbol val="none"/>
          </c:marker>
          <c:val>
            <c:numRef>
              <c:f>[2]Jobs!$I$12:$AB$12</c:f>
              <c:numCache>
                <c:formatCode>General</c:formatCode>
                <c:ptCount val="20"/>
                <c:pt idx="0">
                  <c:v>335.11902000000009</c:v>
                </c:pt>
                <c:pt idx="1">
                  <c:v>345.66881990260407</c:v>
                </c:pt>
                <c:pt idx="2">
                  <c:v>356.63814092719883</c:v>
                </c:pt>
                <c:pt idx="3">
                  <c:v>368.04753785339176</c:v>
                </c:pt>
                <c:pt idx="4">
                  <c:v>379.91876723366477</c:v>
                </c:pt>
                <c:pt idx="5">
                  <c:v>392.27486709759944</c:v>
                </c:pt>
                <c:pt idx="6">
                  <c:v>405.1402423684076</c:v>
                </c:pt>
                <c:pt idx="7">
                  <c:v>418.54075641958144</c:v>
                </c:pt>
                <c:pt idx="8">
                  <c:v>432.50382923231621</c:v>
                </c:pt>
                <c:pt idx="9">
                  <c:v>447.05854264974494</c:v>
                </c:pt>
                <c:pt idx="10">
                  <c:v>462.23575326217548</c:v>
                </c:pt>
                <c:pt idx="11">
                  <c:v>478.06821349863992</c:v>
                </c:pt>
                <c:pt idx="12">
                  <c:v>494.590701544387</c:v>
                </c:pt>
                <c:pt idx="13">
                  <c:v>511.84016075174111</c:v>
                </c:pt>
                <c:pt idx="14">
                  <c:v>529.85584926325362</c:v>
                </c:pt>
                <c:pt idx="15">
                  <c:v>548.67950062161788</c:v>
                </c:pt>
                <c:pt idx="16">
                  <c:v>568.35549620068832</c:v>
                </c:pt>
                <c:pt idx="17">
                  <c:v>588.93105035650285</c:v>
                </c:pt>
                <c:pt idx="18">
                  <c:v>610.45640926681085</c:v>
                </c:pt>
                <c:pt idx="19">
                  <c:v>632.98506450266382</c:v>
                </c:pt>
              </c:numCache>
            </c:numRef>
          </c:val>
          <c:smooth val="0"/>
          <c:extLst>
            <c:ext xmlns:c16="http://schemas.microsoft.com/office/drawing/2014/chart" uri="{C3380CC4-5D6E-409C-BE32-E72D297353CC}">
              <c16:uniqueId val="{00000004-0B40-455F-A350-EFFA36C3D664}"/>
            </c:ext>
          </c:extLst>
        </c:ser>
        <c:ser>
          <c:idx val="5"/>
          <c:order val="5"/>
          <c:tx>
            <c:strRef>
              <c:f>[2]Jobs!$H$13</c:f>
              <c:strCache>
                <c:ptCount val="1"/>
                <c:pt idx="0">
                  <c:v>SEA</c:v>
                </c:pt>
              </c:strCache>
            </c:strRef>
          </c:tx>
          <c:spPr>
            <a:ln w="28575" cap="rnd">
              <a:solidFill>
                <a:schemeClr val="accent6"/>
              </a:solidFill>
              <a:round/>
            </a:ln>
            <a:effectLst/>
          </c:spPr>
          <c:marker>
            <c:symbol val="none"/>
          </c:marker>
          <c:val>
            <c:numRef>
              <c:f>[2]Jobs!$I$13:$AB$13</c:f>
              <c:numCache>
                <c:formatCode>General</c:formatCode>
                <c:ptCount val="20"/>
                <c:pt idx="0">
                  <c:v>430.51747</c:v>
                </c:pt>
                <c:pt idx="1">
                  <c:v>439.33041241842869</c:v>
                </c:pt>
                <c:pt idx="2">
                  <c:v>448.38064327155428</c:v>
                </c:pt>
                <c:pt idx="3">
                  <c:v>457.67536459431091</c:v>
                </c:pt>
                <c:pt idx="4">
                  <c:v>467.22201511279206</c:v>
                </c:pt>
                <c:pt idx="5">
                  <c:v>477.02827850129813</c:v>
                </c:pt>
                <c:pt idx="6">
                  <c:v>487.10209194083677</c:v>
                </c:pt>
                <c:pt idx="7">
                  <c:v>497.45165499047306</c:v>
                </c:pt>
                <c:pt idx="8">
                  <c:v>508.08543878336332</c:v>
                </c:pt>
                <c:pt idx="9">
                  <c:v>519.01219555976866</c:v>
                </c:pt>
                <c:pt idx="10">
                  <c:v>530.24096854982224</c:v>
                </c:pt>
                <c:pt idx="11">
                  <c:v>541.78110221932002</c:v>
                </c:pt>
                <c:pt idx="12">
                  <c:v>553.64225289232104</c:v>
                </c:pt>
                <c:pt idx="13">
                  <c:v>565.83439976488307</c:v>
                </c:pt>
                <c:pt idx="14">
                  <c:v>578.36785632481349</c:v>
                </c:pt>
                <c:pt idx="15">
                  <c:v>591.25328219290111</c:v>
                </c:pt>
                <c:pt idx="16">
                  <c:v>604.50169540169111</c:v>
                </c:pt>
                <c:pt idx="17">
                  <c:v>618.12448512850256</c:v>
                </c:pt>
                <c:pt idx="18">
                  <c:v>632.13342490002969</c:v>
                </c:pt>
                <c:pt idx="19">
                  <c:v>646.5406862865575</c:v>
                </c:pt>
              </c:numCache>
            </c:numRef>
          </c:val>
          <c:smooth val="0"/>
          <c:extLst>
            <c:ext xmlns:c16="http://schemas.microsoft.com/office/drawing/2014/chart" uri="{C3380CC4-5D6E-409C-BE32-E72D297353CC}">
              <c16:uniqueId val="{00000005-0B40-455F-A350-EFFA36C3D664}"/>
            </c:ext>
          </c:extLst>
        </c:ser>
        <c:dLbls>
          <c:showLegendKey val="0"/>
          <c:showVal val="0"/>
          <c:showCatName val="0"/>
          <c:showSerName val="0"/>
          <c:showPercent val="0"/>
          <c:showBubbleSize val="0"/>
        </c:dLbls>
        <c:smooth val="0"/>
        <c:axId val="929478607"/>
        <c:axId val="929479087"/>
      </c:lineChart>
      <c:catAx>
        <c:axId val="929478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Year</a:t>
                </a:r>
              </a:p>
            </c:rich>
          </c:tx>
          <c:layout>
            <c:manualLayout>
              <c:xMode val="edge"/>
              <c:yMode val="edge"/>
              <c:x val="0.45891529509345119"/>
              <c:y val="0.8727350503889537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479087"/>
        <c:crosses val="autoZero"/>
        <c:auto val="1"/>
        <c:lblAlgn val="ctr"/>
        <c:lblOffset val="100"/>
        <c:noMultiLvlLbl val="0"/>
      </c:catAx>
      <c:valAx>
        <c:axId val="9294790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Share,</a:t>
                </a:r>
                <a:r>
                  <a:rPr lang="en-AU" baseline="0"/>
                  <a:t> total population</a:t>
                </a:r>
                <a:endParaRPr lang="en-AU"/>
              </a:p>
            </c:rich>
          </c:tx>
          <c:layout>
            <c:manualLayout>
              <c:xMode val="edge"/>
              <c:yMode val="edge"/>
              <c:x val="8.3249246495993336E-3"/>
              <c:y val="0.2439543986814575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478607"/>
        <c:crosses val="autoZero"/>
        <c:crossBetween val="between"/>
      </c:valAx>
      <c:spPr>
        <a:noFill/>
        <a:ln>
          <a:noFill/>
        </a:ln>
        <a:effectLst/>
      </c:spPr>
    </c:plotArea>
    <c:legend>
      <c:legendPos val="b"/>
      <c:layout>
        <c:manualLayout>
          <c:xMode val="edge"/>
          <c:yMode val="edge"/>
          <c:x val="9.6282232862782091E-2"/>
          <c:y val="0.9206942922122664"/>
          <c:w val="0.80743531577247651"/>
          <c:h val="7.930570778773363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baseline="0">
                <a:effectLst/>
              </a:rPr>
              <a:t>Agricultural Jobs </a:t>
            </a:r>
            <a:r>
              <a:rPr lang="en-AU" sz="1400" b="0" i="0" u="none" strike="noStrike" baseline="0">
                <a:effectLst/>
              </a:rPr>
              <a:t>(incl. subsistence farming and informal sector)</a:t>
            </a:r>
            <a:r>
              <a:rPr lang="en-AU" sz="1400" b="0" i="0" u="none" strike="noStrike" baseline="0"/>
              <a:t> </a:t>
            </a:r>
            <a:br>
              <a:rPr lang="en-AU" sz="1400" b="0" i="0" u="none" strike="noStrike" baseline="0"/>
            </a:br>
            <a:r>
              <a:rPr lang="en-AU" sz="1050" b="0" i="1" u="none" strike="noStrike" baseline="0"/>
              <a:t>Millions of people living below the poverty line</a:t>
            </a:r>
            <a:endParaRPr lang="en-AU" sz="1050"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manualLayout>
          <c:layoutTarget val="inner"/>
          <c:xMode val="edge"/>
          <c:yMode val="edge"/>
          <c:x val="0.12524619708264925"/>
          <c:y val="0.23455526947007413"/>
          <c:w val="0.8414541043189534"/>
          <c:h val="0.56593230110665493"/>
        </c:manualLayout>
      </c:layout>
      <c:lineChart>
        <c:grouping val="standard"/>
        <c:varyColors val="0"/>
        <c:ser>
          <c:idx val="0"/>
          <c:order val="0"/>
          <c:tx>
            <c:strRef>
              <c:f>[2]Jobs!$H$32</c:f>
              <c:strCache>
                <c:ptCount val="1"/>
                <c:pt idx="0">
                  <c:v>LAC</c:v>
                </c:pt>
              </c:strCache>
            </c:strRef>
          </c:tx>
          <c:spPr>
            <a:ln w="28575" cap="rnd">
              <a:solidFill>
                <a:schemeClr val="accent1"/>
              </a:solidFill>
              <a:round/>
            </a:ln>
            <a:effectLst/>
          </c:spPr>
          <c:marker>
            <c:symbol val="none"/>
          </c:marker>
          <c:cat>
            <c:strRef>
              <c:f>[2]Poverty_685!$N$6:$AG$6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[2]Jobs!$I$32:$AB$32</c:f>
              <c:numCache>
                <c:formatCode>General</c:formatCode>
                <c:ptCount val="20"/>
                <c:pt idx="0">
                  <c:v>39.87713500000001</c:v>
                </c:pt>
                <c:pt idx="1">
                  <c:v>40.696602265354485</c:v>
                </c:pt>
                <c:pt idx="2">
                  <c:v>41.537085432566613</c:v>
                </c:pt>
                <c:pt idx="3">
                  <c:v>42.399200057177985</c:v>
                </c:pt>
                <c:pt idx="4">
                  <c:v>43.283581739430616</c:v>
                </c:pt>
                <c:pt idx="5">
                  <c:v>44.190886857267287</c:v>
                </c:pt>
                <c:pt idx="6">
                  <c:v>45.121793330212284</c:v>
                </c:pt>
                <c:pt idx="7">
                  <c:v>46.077001415649413</c:v>
                </c:pt>
                <c:pt idx="8">
                  <c:v>47.057234539099298</c:v>
                </c:pt>
                <c:pt idx="9">
                  <c:v>48.063240160188528</c:v>
                </c:pt>
                <c:pt idx="10">
                  <c:v>49.095790676099298</c:v>
                </c:pt>
                <c:pt idx="11">
                  <c:v>50.155684364390105</c:v>
                </c:pt>
                <c:pt idx="12">
                  <c:v>51.243746367186574</c:v>
                </c:pt>
                <c:pt idx="13">
                  <c:v>52.360829718856365</c:v>
                </c:pt>
                <c:pt idx="14">
                  <c:v>53.507816419405103</c:v>
                </c:pt>
                <c:pt idx="15">
                  <c:v>54.685618555959309</c:v>
                </c:pt>
                <c:pt idx="16">
                  <c:v>55.895179474841946</c:v>
                </c:pt>
                <c:pt idx="17">
                  <c:v>57.137475006891762</c:v>
                </c:pt>
                <c:pt idx="18">
                  <c:v>58.413514748835354</c:v>
                </c:pt>
                <c:pt idx="19">
                  <c:v>59.724343403685864</c:v>
                </c:pt>
              </c:numCache>
            </c:numRef>
          </c:val>
          <c:smooth val="0"/>
          <c:extLst>
            <c:ext xmlns:c16="http://schemas.microsoft.com/office/drawing/2014/chart" uri="{C3380CC4-5D6E-409C-BE32-E72D297353CC}">
              <c16:uniqueId val="{00000000-C0A4-48CA-BECC-CAE744C21979}"/>
            </c:ext>
          </c:extLst>
        </c:ser>
        <c:ser>
          <c:idx val="1"/>
          <c:order val="1"/>
          <c:tx>
            <c:strRef>
              <c:f>[2]Jobs!$H$33</c:f>
              <c:strCache>
                <c:ptCount val="1"/>
                <c:pt idx="0">
                  <c:v>CWANA</c:v>
                </c:pt>
              </c:strCache>
            </c:strRef>
          </c:tx>
          <c:spPr>
            <a:ln w="28575" cap="rnd">
              <a:solidFill>
                <a:schemeClr val="accent2"/>
              </a:solidFill>
              <a:round/>
            </a:ln>
            <a:effectLst/>
          </c:spPr>
          <c:marker>
            <c:symbol val="none"/>
          </c:marker>
          <c:val>
            <c:numRef>
              <c:f>[2]Jobs!$I$33:$AB$33</c:f>
              <c:numCache>
                <c:formatCode>General</c:formatCode>
                <c:ptCount val="20"/>
                <c:pt idx="0">
                  <c:v>31.03291200000001</c:v>
                </c:pt>
                <c:pt idx="1">
                  <c:v>31.709348821269604</c:v>
                </c:pt>
                <c:pt idx="2">
                  <c:v>32.406088147050994</c:v>
                </c:pt>
                <c:pt idx="3">
                  <c:v>33.123866405635468</c:v>
                </c:pt>
                <c:pt idx="4">
                  <c:v>33.863451417728342</c:v>
                </c:pt>
                <c:pt idx="5">
                  <c:v>34.625643929093428</c:v>
                </c:pt>
                <c:pt idx="6">
                  <c:v>35.411279226363988</c:v>
                </c:pt>
                <c:pt idx="7">
                  <c:v>36.22122884087721</c:v>
                </c:pt>
                <c:pt idx="8">
                  <c:v>37.05640234568655</c:v>
                </c:pt>
                <c:pt idx="9">
                  <c:v>37.917749251222475</c:v>
                </c:pt>
                <c:pt idx="10">
                  <c:v>38.806261005408075</c:v>
                </c:pt>
                <c:pt idx="11">
                  <c:v>39.72297310439285</c:v>
                </c:pt>
                <c:pt idx="12">
                  <c:v>40.668967320448246</c:v>
                </c:pt>
                <c:pt idx="13">
                  <c:v>41.645374053971722</c:v>
                </c:pt>
                <c:pt idx="14">
                  <c:v>42.653374816975607</c:v>
                </c:pt>
                <c:pt idx="15">
                  <c:v>43.694204855893609</c:v>
                </c:pt>
                <c:pt idx="16">
                  <c:v>44.769155922022804</c:v>
                </c:pt>
                <c:pt idx="17">
                  <c:v>45.879579198435607</c:v>
                </c:pt>
                <c:pt idx="18">
                  <c:v>47.026888392744873</c:v>
                </c:pt>
                <c:pt idx="19">
                  <c:v>48.212563005689191</c:v>
                </c:pt>
              </c:numCache>
            </c:numRef>
          </c:val>
          <c:smooth val="0"/>
          <c:extLst>
            <c:ext xmlns:c16="http://schemas.microsoft.com/office/drawing/2014/chart" uri="{C3380CC4-5D6E-409C-BE32-E72D297353CC}">
              <c16:uniqueId val="{00000001-C0A4-48CA-BECC-CAE744C21979}"/>
            </c:ext>
          </c:extLst>
        </c:ser>
        <c:ser>
          <c:idx val="2"/>
          <c:order val="2"/>
          <c:tx>
            <c:strRef>
              <c:f>[2]Jobs!$H$34</c:f>
              <c:strCache>
                <c:ptCount val="1"/>
                <c:pt idx="0">
                  <c:v>WCA</c:v>
                </c:pt>
              </c:strCache>
            </c:strRef>
          </c:tx>
          <c:spPr>
            <a:ln w="28575" cap="rnd">
              <a:solidFill>
                <a:schemeClr val="accent3"/>
              </a:solidFill>
              <a:round/>
            </a:ln>
            <a:effectLst/>
          </c:spPr>
          <c:marker>
            <c:symbol val="none"/>
          </c:marker>
          <c:val>
            <c:numRef>
              <c:f>[2]Jobs!$I$34:$AB$34</c:f>
              <c:numCache>
                <c:formatCode>General</c:formatCode>
                <c:ptCount val="20"/>
                <c:pt idx="0">
                  <c:v>87.403205999999997</c:v>
                </c:pt>
                <c:pt idx="1">
                  <c:v>90.400130383897917</c:v>
                </c:pt>
                <c:pt idx="2">
                  <c:v>93.517092686331551</c:v>
                </c:pt>
                <c:pt idx="3">
                  <c:v>96.759261708818272</c:v>
                </c:pt>
                <c:pt idx="4">
                  <c:v>100.13203897262046</c:v>
                </c:pt>
                <c:pt idx="5">
                  <c:v>103.64106954836053</c:v>
                </c:pt>
                <c:pt idx="6">
                  <c:v>107.29225340401825</c:v>
                </c:pt>
                <c:pt idx="7">
                  <c:v>111.09175729677888</c:v>
                </c:pt>
                <c:pt idx="8">
                  <c:v>115.04602723548342</c:v>
                </c:pt>
                <c:pt idx="9">
                  <c:v>119.16180154178005</c:v>
                </c:pt>
                <c:pt idx="10">
                  <c:v>123.44612453949483</c:v>
                </c:pt>
                <c:pt idx="11">
                  <c:v>127.90636090323059</c:v>
                </c:pt>
                <c:pt idx="12">
                  <c:v>132.55021069877162</c:v>
                </c:pt>
                <c:pt idx="13">
                  <c:v>137.38572514952074</c:v>
                </c:pt>
                <c:pt idx="14">
                  <c:v>142.42132316493215</c:v>
                </c:pt>
                <c:pt idx="15">
                  <c:v>147.6658086687253</c:v>
                </c:pt>
                <c:pt idx="16">
                  <c:v>153.12838876658907</c:v>
                </c:pt>
                <c:pt idx="17">
                  <c:v>158.81869279510084</c:v>
                </c:pt>
                <c:pt idx="18">
                  <c:v>164.7467922957124</c:v>
                </c:pt>
                <c:pt idx="19">
                  <c:v>170.92322195988925</c:v>
                </c:pt>
              </c:numCache>
            </c:numRef>
          </c:val>
          <c:smooth val="0"/>
          <c:extLst>
            <c:ext xmlns:c16="http://schemas.microsoft.com/office/drawing/2014/chart" uri="{C3380CC4-5D6E-409C-BE32-E72D297353CC}">
              <c16:uniqueId val="{00000002-C0A4-48CA-BECC-CAE744C21979}"/>
            </c:ext>
          </c:extLst>
        </c:ser>
        <c:ser>
          <c:idx val="3"/>
          <c:order val="3"/>
          <c:tx>
            <c:strRef>
              <c:f>[2]Jobs!$H$35</c:f>
              <c:strCache>
                <c:ptCount val="1"/>
                <c:pt idx="0">
                  <c:v>ESA</c:v>
                </c:pt>
              </c:strCache>
            </c:strRef>
          </c:tx>
          <c:spPr>
            <a:ln w="28575" cap="rnd">
              <a:solidFill>
                <a:schemeClr val="accent4"/>
              </a:solidFill>
              <a:round/>
            </a:ln>
            <a:effectLst/>
          </c:spPr>
          <c:marker>
            <c:symbol val="none"/>
          </c:marker>
          <c:val>
            <c:numRef>
              <c:f>[2]Jobs!$I$35:$AB$35</c:f>
              <c:numCache>
                <c:formatCode>General</c:formatCode>
                <c:ptCount val="20"/>
                <c:pt idx="0">
                  <c:v>130.63965000000002</c:v>
                </c:pt>
                <c:pt idx="1">
                  <c:v>135.56090294639233</c:v>
                </c:pt>
                <c:pt idx="2">
                  <c:v>140.70479192716564</c:v>
                </c:pt>
                <c:pt idx="3">
                  <c:v>146.0827013878534</c:v>
                </c:pt>
                <c:pt idx="4">
                  <c:v>151.70665485199987</c:v>
                </c:pt>
                <c:pt idx="5">
                  <c:v>157.58935370353618</c:v>
                </c:pt>
                <c:pt idx="6">
                  <c:v>163.74421848429319</c:v>
                </c:pt>
                <c:pt idx="7">
                  <c:v>170.18543287906712</c:v>
                </c:pt>
                <c:pt idx="8">
                  <c:v>176.9279905730165</c:v>
                </c:pt>
                <c:pt idx="9">
                  <c:v>183.98774517944975</c:v>
                </c:pt>
                <c:pt idx="10">
                  <c:v>191.38146345033073</c:v>
                </c:pt>
                <c:pt idx="11">
                  <c:v>199.12688199716456</c:v>
                </c:pt>
                <c:pt idx="12">
                  <c:v>207.24276776640357</c:v>
                </c:pt>
                <c:pt idx="13">
                  <c:v>215.74898253122643</c:v>
                </c:pt>
                <c:pt idx="14">
                  <c:v>224.66655168058401</c:v>
                </c:pt>
                <c:pt idx="15">
                  <c:v>234.01773760687746</c:v>
                </c:pt>
                <c:pt idx="16">
                  <c:v>243.82611801564533</c:v>
                </c:pt>
                <c:pt idx="17">
                  <c:v>254.11666950430984</c:v>
                </c:pt>
                <c:pt idx="18">
                  <c:v>264.91585678249055</c:v>
                </c:pt>
                <c:pt idx="19">
                  <c:v>276.25172793378215</c:v>
                </c:pt>
              </c:numCache>
            </c:numRef>
          </c:val>
          <c:smooth val="0"/>
          <c:extLst>
            <c:ext xmlns:c16="http://schemas.microsoft.com/office/drawing/2014/chart" uri="{C3380CC4-5D6E-409C-BE32-E72D297353CC}">
              <c16:uniqueId val="{00000003-C0A4-48CA-BECC-CAE744C21979}"/>
            </c:ext>
          </c:extLst>
        </c:ser>
        <c:ser>
          <c:idx val="4"/>
          <c:order val="4"/>
          <c:tx>
            <c:strRef>
              <c:f>[2]Jobs!$H$36</c:f>
              <c:strCache>
                <c:ptCount val="1"/>
                <c:pt idx="0">
                  <c:v>SA</c:v>
                </c:pt>
              </c:strCache>
            </c:strRef>
          </c:tx>
          <c:spPr>
            <a:ln w="28575" cap="rnd">
              <a:solidFill>
                <a:schemeClr val="accent5"/>
              </a:solidFill>
              <a:round/>
            </a:ln>
            <a:effectLst/>
          </c:spPr>
          <c:marker>
            <c:symbol val="none"/>
          </c:marker>
          <c:val>
            <c:numRef>
              <c:f>[2]Jobs!$I$36:$AB$36</c:f>
              <c:numCache>
                <c:formatCode>General</c:formatCode>
                <c:ptCount val="20"/>
                <c:pt idx="0">
                  <c:v>269.06188000000009</c:v>
                </c:pt>
                <c:pt idx="1">
                  <c:v>277.53215123503298</c:v>
                </c:pt>
                <c:pt idx="2">
                  <c:v>286.33924949284307</c:v>
                </c:pt>
                <c:pt idx="3">
                  <c:v>295.49967788818657</c:v>
                </c:pt>
                <c:pt idx="4">
                  <c:v>305.03090442068083</c:v>
                </c:pt>
                <c:pt idx="5">
                  <c:v>314.95142596809416</c:v>
                </c:pt>
                <c:pt idx="6">
                  <c:v>325.2808368659571</c:v>
                </c:pt>
                <c:pt idx="7">
                  <c:v>336.03990241698204</c:v>
                </c:pt>
                <c:pt idx="8">
                  <c:v>347.25063770014003</c:v>
                </c:pt>
                <c:pt idx="9">
                  <c:v>358.93639207765807</c:v>
                </c:pt>
                <c:pt idx="10">
                  <c:v>371.12193982883178</c:v>
                </c:pt>
                <c:pt idx="11">
                  <c:v>383.83357737255687</c:v>
                </c:pt>
                <c:pt idx="12">
                  <c:v>397.09922757607637</c:v>
                </c:pt>
                <c:pt idx="13">
                  <c:v>410.94855168580307</c:v>
                </c:pt>
                <c:pt idx="14">
                  <c:v>425.4130694574352</c:v>
                </c:pt>
                <c:pt idx="15">
                  <c:v>440.52628810717351</c:v>
                </c:pt>
                <c:pt idx="16">
                  <c:v>456.32384075392099</c:v>
                </c:pt>
                <c:pt idx="17">
                  <c:v>472.84363507417561</c:v>
                </c:pt>
                <c:pt idx="18">
                  <c:v>490.12601294721367</c:v>
                </c:pt>
                <c:pt idx="19">
                  <c:v>508.21392192841813</c:v>
                </c:pt>
              </c:numCache>
            </c:numRef>
          </c:val>
          <c:smooth val="0"/>
          <c:extLst>
            <c:ext xmlns:c16="http://schemas.microsoft.com/office/drawing/2014/chart" uri="{C3380CC4-5D6E-409C-BE32-E72D297353CC}">
              <c16:uniqueId val="{00000004-C0A4-48CA-BECC-CAE744C21979}"/>
            </c:ext>
          </c:extLst>
        </c:ser>
        <c:ser>
          <c:idx val="5"/>
          <c:order val="5"/>
          <c:tx>
            <c:strRef>
              <c:f>[2]Jobs!$H$37</c:f>
              <c:strCache>
                <c:ptCount val="1"/>
                <c:pt idx="0">
                  <c:v>SEA</c:v>
                </c:pt>
              </c:strCache>
            </c:strRef>
          </c:tx>
          <c:spPr>
            <a:ln w="28575" cap="rnd">
              <a:solidFill>
                <a:schemeClr val="accent6"/>
              </a:solidFill>
              <a:round/>
            </a:ln>
            <a:effectLst/>
          </c:spPr>
          <c:marker>
            <c:symbol val="none"/>
          </c:marker>
          <c:val>
            <c:numRef>
              <c:f>[2]Jobs!$I$37:$AB$37</c:f>
              <c:numCache>
                <c:formatCode>General</c:formatCode>
                <c:ptCount val="20"/>
                <c:pt idx="0">
                  <c:v>284.72257000000002</c:v>
                </c:pt>
                <c:pt idx="1">
                  <c:v>290.55100621801699</c:v>
                </c:pt>
                <c:pt idx="2">
                  <c:v>296.53637305480339</c:v>
                </c:pt>
                <c:pt idx="3">
                  <c:v>302.68343357350676</c:v>
                </c:pt>
                <c:pt idx="4">
                  <c:v>308.99710737288541</c:v>
                </c:pt>
                <c:pt idx="5">
                  <c:v>315.48247604810399</c:v>
                </c:pt>
                <c:pt idx="6">
                  <c:v>322.14478885089454</c:v>
                </c:pt>
                <c:pt idx="7">
                  <c:v>328.98946855662052</c:v>
                </c:pt>
                <c:pt idx="8">
                  <c:v>336.02211754607043</c:v>
                </c:pt>
                <c:pt idx="9">
                  <c:v>343.24852411011312</c:v>
                </c:pt>
                <c:pt idx="10">
                  <c:v>350.67466898566175</c:v>
                </c:pt>
                <c:pt idx="11">
                  <c:v>358.30673213172389</c:v>
                </c:pt>
                <c:pt idx="12">
                  <c:v>366.15109975465475</c:v>
                </c:pt>
                <c:pt idx="13">
                  <c:v>374.21437159208631</c:v>
                </c:pt>
                <c:pt idx="14">
                  <c:v>382.50336846537647</c:v>
                </c:pt>
                <c:pt idx="15">
                  <c:v>391.02514011080206</c:v>
                </c:pt>
                <c:pt idx="16">
                  <c:v>399.78697330012341</c:v>
                </c:pt>
                <c:pt idx="17">
                  <c:v>408.79640026155965</c:v>
                </c:pt>
                <c:pt idx="18">
                  <c:v>418.06120741264795</c:v>
                </c:pt>
                <c:pt idx="19">
                  <c:v>427.58944441690699</c:v>
                </c:pt>
              </c:numCache>
            </c:numRef>
          </c:val>
          <c:smooth val="0"/>
          <c:extLst>
            <c:ext xmlns:c16="http://schemas.microsoft.com/office/drawing/2014/chart" uri="{C3380CC4-5D6E-409C-BE32-E72D297353CC}">
              <c16:uniqueId val="{00000005-C0A4-48CA-BECC-CAE744C21979}"/>
            </c:ext>
          </c:extLst>
        </c:ser>
        <c:dLbls>
          <c:showLegendKey val="0"/>
          <c:showVal val="0"/>
          <c:showCatName val="0"/>
          <c:showSerName val="0"/>
          <c:showPercent val="0"/>
          <c:showBubbleSize val="0"/>
        </c:dLbls>
        <c:smooth val="0"/>
        <c:axId val="929478607"/>
        <c:axId val="929479087"/>
      </c:lineChart>
      <c:catAx>
        <c:axId val="929478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Year</a:t>
                </a:r>
              </a:p>
            </c:rich>
          </c:tx>
          <c:layout>
            <c:manualLayout>
              <c:xMode val="edge"/>
              <c:yMode val="edge"/>
              <c:x val="0.45891529509345119"/>
              <c:y val="0.8727350503889537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479087"/>
        <c:crosses val="autoZero"/>
        <c:auto val="1"/>
        <c:lblAlgn val="ctr"/>
        <c:lblOffset val="100"/>
        <c:noMultiLvlLbl val="0"/>
      </c:catAx>
      <c:valAx>
        <c:axId val="9294790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Millions of people</a:t>
                </a:r>
              </a:p>
            </c:rich>
          </c:tx>
          <c:layout>
            <c:manualLayout>
              <c:xMode val="edge"/>
              <c:yMode val="edge"/>
              <c:x val="8.3249246495993336E-3"/>
              <c:y val="0.2439543986814575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478607"/>
        <c:crosses val="autoZero"/>
        <c:crossBetween val="between"/>
      </c:valAx>
      <c:spPr>
        <a:noFill/>
        <a:ln>
          <a:noFill/>
        </a:ln>
        <a:effectLst/>
      </c:spPr>
    </c:plotArea>
    <c:legend>
      <c:legendPos val="b"/>
      <c:layout>
        <c:manualLayout>
          <c:xMode val="edge"/>
          <c:yMode val="edge"/>
          <c:x val="9.6282232862782091E-2"/>
          <c:y val="0.9206942922122664"/>
          <c:w val="0.80743531577247651"/>
          <c:h val="7.930570778773363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baseline="0">
                <a:effectLst/>
              </a:rPr>
              <a:t>Agricultural Greenhouse Gas (GHG) Emissions</a:t>
            </a:r>
            <a:br>
              <a:rPr lang="en-AU" sz="1400" b="1" i="0" u="none" strike="noStrike" baseline="0">
                <a:effectLst/>
              </a:rPr>
            </a:br>
            <a:r>
              <a:rPr lang="en-AU" sz="1050" b="0" i="1" u="none" strike="noStrike" baseline="0"/>
              <a:t>Millions of tons of CO2eq emissions</a:t>
            </a:r>
            <a:endParaRPr lang="en-AU" sz="1050" i="1"/>
          </a:p>
        </c:rich>
      </c:tx>
      <c:overlay val="0"/>
      <c:spPr>
        <a:noFill/>
        <a:ln>
          <a:noFill/>
        </a:ln>
        <a:effectLst/>
      </c:spPr>
    </c:title>
    <c:autoTitleDeleted val="0"/>
    <c:plotArea>
      <c:layout>
        <c:manualLayout>
          <c:layoutTarget val="inner"/>
          <c:xMode val="edge"/>
          <c:yMode val="edge"/>
          <c:x val="9.0649919484000224E-2"/>
          <c:y val="0.21035763075443212"/>
          <c:w val="0.87605039918392535"/>
          <c:h val="0.59012980381493496"/>
        </c:manualLayout>
      </c:layout>
      <c:lineChart>
        <c:grouping val="standard"/>
        <c:varyColors val="0"/>
        <c:ser>
          <c:idx val="0"/>
          <c:order val="0"/>
          <c:tx>
            <c:strRef>
              <c:f>[2]EA!$M$7</c:f>
              <c:strCache>
                <c:ptCount val="1"/>
                <c:pt idx="0">
                  <c:v>LAC</c:v>
                </c:pt>
              </c:strCache>
            </c:strRef>
          </c:tx>
          <c:marker>
            <c:symbol val="none"/>
          </c:marker>
          <c:val>
            <c:numRef>
              <c:f>[2]EA!$N$7:$AG$7</c:f>
              <c:numCache>
                <c:formatCode>General</c:formatCode>
                <c:ptCount val="20"/>
                <c:pt idx="0">
                  <c:v>1062.1580331999901</c:v>
                </c:pt>
                <c:pt idx="1">
                  <c:v>1066.28860098679</c:v>
                </c:pt>
                <c:pt idx="2">
                  <c:v>1070.46887931063</c:v>
                </c:pt>
                <c:pt idx="3">
                  <c:v>1074.6999178165199</c:v>
                </c:pt>
                <c:pt idx="4">
                  <c:v>1078.9827968055399</c:v>
                </c:pt>
                <c:pt idx="5">
                  <c:v>1083.3186281891701</c:v>
                </c:pt>
                <c:pt idx="6">
                  <c:v>1087.7085564742599</c:v>
                </c:pt>
                <c:pt idx="7">
                  <c:v>1092.1537597798399</c:v>
                </c:pt>
                <c:pt idx="8">
                  <c:v>1096.6554508865599</c:v>
                </c:pt>
                <c:pt idx="9">
                  <c:v>1101.2148783201701</c:v>
                </c:pt>
                <c:pt idx="10">
                  <c:v>1105.83332746976</c:v>
                </c:pt>
                <c:pt idx="11">
                  <c:v>1110.51212174227</c:v>
                </c:pt>
                <c:pt idx="12">
                  <c:v>1115.2526237541599</c:v>
                </c:pt>
                <c:pt idx="13">
                  <c:v>1120.05623656168</c:v>
                </c:pt>
                <c:pt idx="14">
                  <c:v>1124.9244049309</c:v>
                </c:pt>
                <c:pt idx="15">
                  <c:v>1129.8586166487501</c:v>
                </c:pt>
                <c:pt idx="16">
                  <c:v>1134.86040387663</c:v>
                </c:pt>
                <c:pt idx="17">
                  <c:v>1139.9313445477201</c:v>
                </c:pt>
                <c:pt idx="18">
                  <c:v>1145.07306380962</c:v>
                </c:pt>
                <c:pt idx="19">
                  <c:v>1150.2872355137299</c:v>
                </c:pt>
              </c:numCache>
            </c:numRef>
          </c:val>
          <c:smooth val="0"/>
          <c:extLst>
            <c:ext xmlns:c16="http://schemas.microsoft.com/office/drawing/2014/chart" uri="{C3380CC4-5D6E-409C-BE32-E72D297353CC}">
              <c16:uniqueId val="{00000000-FE61-442D-B452-95F3C5820CD7}"/>
            </c:ext>
          </c:extLst>
        </c:ser>
        <c:ser>
          <c:idx val="6"/>
          <c:order val="1"/>
          <c:tx>
            <c:strRef>
              <c:f>[2]EA!$M$8</c:f>
              <c:strCache>
                <c:ptCount val="1"/>
                <c:pt idx="0">
                  <c:v>CWANA</c:v>
                </c:pt>
              </c:strCache>
            </c:strRef>
          </c:tx>
          <c:marker>
            <c:symbol val="none"/>
          </c:marker>
          <c:cat>
            <c:strRef>
              <c:f>[2]Poverty_685!$N$6:$AG$6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[2]EA!$N$8:$AG$8</c:f>
              <c:numCache>
                <c:formatCode>General</c:formatCode>
                <c:ptCount val="20"/>
                <c:pt idx="0">
                  <c:v>267.73907960000003</c:v>
                </c:pt>
                <c:pt idx="1">
                  <c:v>273.34463420968098</c:v>
                </c:pt>
                <c:pt idx="2">
                  <c:v>279.09723013930602</c:v>
                </c:pt>
                <c:pt idx="3">
                  <c:v>285.00085062601102</c:v>
                </c:pt>
                <c:pt idx="4">
                  <c:v>291.05959129262402</c:v>
                </c:pt>
                <c:pt idx="5">
                  <c:v>297.27766337903603</c:v>
                </c:pt>
                <c:pt idx="6">
                  <c:v>303.65939706781103</c:v>
                </c:pt>
                <c:pt idx="7">
                  <c:v>310.20924490681602</c:v>
                </c:pt>
                <c:pt idx="8">
                  <c:v>316.93178533171903</c:v>
                </c:pt>
                <c:pt idx="9">
                  <c:v>323.83172629131099</c:v>
                </c:pt>
                <c:pt idx="10">
                  <c:v>330.91390897866398</c:v>
                </c:pt>
                <c:pt idx="11">
                  <c:v>338.18331167126303</c:v>
                </c:pt>
                <c:pt idx="12">
                  <c:v>345.64505368330299</c:v>
                </c:pt>
                <c:pt idx="13">
                  <c:v>353.30439943348</c:v>
                </c:pt>
                <c:pt idx="14">
                  <c:v>361.16676263165903</c:v>
                </c:pt>
                <c:pt idx="15">
                  <c:v>369.23771058794301</c:v>
                </c:pt>
                <c:pt idx="16">
                  <c:v>377.52296864774598</c:v>
                </c:pt>
                <c:pt idx="17">
                  <c:v>386.028424756589</c:v>
                </c:pt>
                <c:pt idx="18">
                  <c:v>394.76013415844199</c:v>
                </c:pt>
                <c:pt idx="19">
                  <c:v>403.72432423157198</c:v>
                </c:pt>
              </c:numCache>
            </c:numRef>
          </c:val>
          <c:smooth val="0"/>
          <c:extLst>
            <c:ext xmlns:c16="http://schemas.microsoft.com/office/drawing/2014/chart" uri="{C3380CC4-5D6E-409C-BE32-E72D297353CC}">
              <c16:uniqueId val="{00000001-FE61-442D-B452-95F3C5820CD7}"/>
            </c:ext>
          </c:extLst>
        </c:ser>
        <c:ser>
          <c:idx val="9"/>
          <c:order val="2"/>
          <c:tx>
            <c:strRef>
              <c:f>[2]EA!$M$9</c:f>
              <c:strCache>
                <c:ptCount val="1"/>
                <c:pt idx="0">
                  <c:v>WCA</c:v>
                </c:pt>
              </c:strCache>
            </c:strRef>
          </c:tx>
          <c:marker>
            <c:symbol val="none"/>
          </c:marker>
          <c:val>
            <c:numRef>
              <c:f>[2]EA!$N$9:$AG$9</c:f>
              <c:numCache>
                <c:formatCode>General</c:formatCode>
                <c:ptCount val="20"/>
                <c:pt idx="0">
                  <c:v>354.39023769999898</c:v>
                </c:pt>
                <c:pt idx="1">
                  <c:v>363.35389500703599</c:v>
                </c:pt>
                <c:pt idx="2">
                  <c:v>372.57065881653199</c:v>
                </c:pt>
                <c:pt idx="3">
                  <c:v>382.04803712420397</c:v>
                </c:pt>
                <c:pt idx="4">
                  <c:v>391.79377206257402</c:v>
                </c:pt>
                <c:pt idx="5">
                  <c:v>401.81584761893498</c:v>
                </c:pt>
                <c:pt idx="6">
                  <c:v>412.12249762273399</c:v>
                </c:pt>
                <c:pt idx="7">
                  <c:v>422.72221401228501</c:v>
                </c:pt>
                <c:pt idx="8">
                  <c:v>433.62375539113401</c:v>
                </c:pt>
                <c:pt idx="9">
                  <c:v>444.83615588478801</c:v>
                </c:pt>
                <c:pt idx="10">
                  <c:v>456.36873430891598</c:v>
                </c:pt>
                <c:pt idx="11">
                  <c:v>468.23110366059802</c:v>
                </c:pt>
                <c:pt idx="12">
                  <c:v>480.43318094461603</c:v>
                </c:pt>
                <c:pt idx="13">
                  <c:v>492.98519734726</c:v>
                </c:pt>
                <c:pt idx="14">
                  <c:v>505.89770877060801</c:v>
                </c:pt>
                <c:pt idx="15">
                  <c:v>519.18160674074397</c:v>
                </c:pt>
                <c:pt idx="16">
                  <c:v>532.84812970390499</c:v>
                </c:pt>
                <c:pt idx="17">
                  <c:v>546.90887472508905</c:v>
                </c:pt>
                <c:pt idx="18">
                  <c:v>561.37580960423804</c:v>
                </c:pt>
                <c:pt idx="19">
                  <c:v>576.26128542568199</c:v>
                </c:pt>
              </c:numCache>
            </c:numRef>
          </c:val>
          <c:smooth val="0"/>
          <c:extLst>
            <c:ext xmlns:c16="http://schemas.microsoft.com/office/drawing/2014/chart" uri="{C3380CC4-5D6E-409C-BE32-E72D297353CC}">
              <c16:uniqueId val="{00000002-FE61-442D-B452-95F3C5820CD7}"/>
            </c:ext>
          </c:extLst>
        </c:ser>
        <c:ser>
          <c:idx val="8"/>
          <c:order val="3"/>
          <c:tx>
            <c:strRef>
              <c:f>[2]EA!$M$10</c:f>
              <c:strCache>
                <c:ptCount val="1"/>
                <c:pt idx="0">
                  <c:v>ESA</c:v>
                </c:pt>
              </c:strCache>
            </c:strRef>
          </c:tx>
          <c:marker>
            <c:symbol val="none"/>
          </c:marker>
          <c:val>
            <c:numRef>
              <c:f>[2]EA!$N$10:$AG$10</c:f>
              <c:numCache>
                <c:formatCode>General</c:formatCode>
                <c:ptCount val="20"/>
                <c:pt idx="0">
                  <c:v>505.23433779999903</c:v>
                </c:pt>
                <c:pt idx="1">
                  <c:v>525.74193172002697</c:v>
                </c:pt>
                <c:pt idx="2">
                  <c:v>547.25019877286104</c:v>
                </c:pt>
                <c:pt idx="3">
                  <c:v>569.81421939826498</c:v>
                </c:pt>
                <c:pt idx="4">
                  <c:v>593.49231856741903</c:v>
                </c:pt>
                <c:pt idx="5">
                  <c:v>618.34626353935198</c:v>
                </c:pt>
                <c:pt idx="6">
                  <c:v>644.441473877102</c:v>
                </c:pt>
                <c:pt idx="7">
                  <c:v>671.847244490614</c:v>
                </c:pt>
                <c:pt idx="8">
                  <c:v>700.63698252167205</c:v>
                </c:pt>
                <c:pt idx="9">
                  <c:v>730.88845893742098</c:v>
                </c:pt>
                <c:pt idx="10">
                  <c:v>762.684075753667</c:v>
                </c:pt>
                <c:pt idx="11">
                  <c:v>796.11114986711004</c:v>
                </c:pt>
                <c:pt idx="12">
                  <c:v>831.262214537354</c:v>
                </c:pt>
                <c:pt idx="13">
                  <c:v>868.23533962514296</c:v>
                </c:pt>
                <c:pt idx="14">
                  <c:v>907.13447176298496</c:v>
                </c:pt>
                <c:pt idx="15">
                  <c:v>948.06979570850694</c:v>
                </c:pt>
                <c:pt idx="16">
                  <c:v>991.158118209696</c:v>
                </c:pt>
                <c:pt idx="17">
                  <c:v>1036.52327579506</c:v>
                </c:pt>
                <c:pt idx="18">
                  <c:v>1084.29656799091</c:v>
                </c:pt>
                <c:pt idx="19">
                  <c:v>1134.61721756263</c:v>
                </c:pt>
              </c:numCache>
            </c:numRef>
          </c:val>
          <c:smooth val="0"/>
          <c:extLst>
            <c:ext xmlns:c16="http://schemas.microsoft.com/office/drawing/2014/chart" uri="{C3380CC4-5D6E-409C-BE32-E72D297353CC}">
              <c16:uniqueId val="{00000003-FE61-442D-B452-95F3C5820CD7}"/>
            </c:ext>
          </c:extLst>
        </c:ser>
        <c:ser>
          <c:idx val="5"/>
          <c:order val="4"/>
          <c:tx>
            <c:strRef>
              <c:f>[2]EA!$M$11</c:f>
              <c:strCache>
                <c:ptCount val="1"/>
                <c:pt idx="0">
                  <c:v>SA</c:v>
                </c:pt>
              </c:strCache>
            </c:strRef>
          </c:tx>
          <c:marker>
            <c:symbol val="none"/>
          </c:marker>
          <c:val>
            <c:numRef>
              <c:f>[2]EA!$N$11:$AG$11</c:f>
              <c:numCache>
                <c:formatCode>General</c:formatCode>
                <c:ptCount val="20"/>
                <c:pt idx="0">
                  <c:v>1147.9064971</c:v>
                </c:pt>
                <c:pt idx="1">
                  <c:v>1173.4687375036799</c:v>
                </c:pt>
                <c:pt idx="2">
                  <c:v>1199.89171130677</c:v>
                </c:pt>
                <c:pt idx="3">
                  <c:v>1227.21236255293</c:v>
                </c:pt>
                <c:pt idx="4">
                  <c:v>1255.4694063147499</c:v>
                </c:pt>
                <c:pt idx="5">
                  <c:v>1284.70341765221</c:v>
                </c:pt>
                <c:pt idx="6">
                  <c:v>1314.9569251303001</c:v>
                </c:pt>
                <c:pt idx="7">
                  <c:v>1346.2745091316999</c:v>
                </c:pt>
                <c:pt idx="8">
                  <c:v>1378.7029052123901</c:v>
                </c:pt>
                <c:pt idx="9">
                  <c:v>1412.2911127612499</c:v>
                </c:pt>
                <c:pt idx="10">
                  <c:v>1447.0905092381299</c:v>
                </c:pt>
                <c:pt idx="11">
                  <c:v>1483.1549702790701</c:v>
                </c:pt>
                <c:pt idx="12">
                  <c:v>1520.54099597247</c:v>
                </c:pt>
                <c:pt idx="13">
                  <c:v>1559.3078436257399</c:v>
                </c:pt>
                <c:pt idx="14">
                  <c:v>1599.5176673585499</c:v>
                </c:pt>
                <c:pt idx="15">
                  <c:v>1641.23566487639</c:v>
                </c:pt>
                <c:pt idx="16">
                  <c:v>1684.5302317963201</c:v>
                </c:pt>
                <c:pt idx="17">
                  <c:v>1729.47312391631</c:v>
                </c:pt>
                <c:pt idx="18">
                  <c:v>1776.13962783989</c:v>
                </c:pt>
                <c:pt idx="19">
                  <c:v>1824.60874038919</c:v>
                </c:pt>
              </c:numCache>
            </c:numRef>
          </c:val>
          <c:smooth val="0"/>
          <c:extLst>
            <c:ext xmlns:c16="http://schemas.microsoft.com/office/drawing/2014/chart" uri="{C3380CC4-5D6E-409C-BE32-E72D297353CC}">
              <c16:uniqueId val="{00000004-FE61-442D-B452-95F3C5820CD7}"/>
            </c:ext>
          </c:extLst>
        </c:ser>
        <c:ser>
          <c:idx val="10"/>
          <c:order val="5"/>
          <c:tx>
            <c:strRef>
              <c:f>[2]EA!$M$12</c:f>
              <c:strCache>
                <c:ptCount val="1"/>
                <c:pt idx="0">
                  <c:v>SEA</c:v>
                </c:pt>
              </c:strCache>
            </c:strRef>
          </c:tx>
          <c:marker>
            <c:symbol val="none"/>
          </c:marker>
          <c:val>
            <c:numRef>
              <c:f>[2]EA!$N$12:$AG$12</c:f>
              <c:numCache>
                <c:formatCode>General</c:formatCode>
                <c:ptCount val="20"/>
                <c:pt idx="0">
                  <c:v>1143.6131478</c:v>
                </c:pt>
                <c:pt idx="1">
                  <c:v>1149.66145638643</c:v>
                </c:pt>
                <c:pt idx="2">
                  <c:v>1155.8696368969599</c:v>
                </c:pt>
                <c:pt idx="3">
                  <c:v>1162.2410301637799</c:v>
                </c:pt>
                <c:pt idx="4">
                  <c:v>1168.7790565616399</c:v>
                </c:pt>
                <c:pt idx="5">
                  <c:v>1175.4872179783199</c:v>
                </c:pt>
                <c:pt idx="6">
                  <c:v>1182.36909983552</c:v>
                </c:pt>
                <c:pt idx="7">
                  <c:v>1189.42837316143</c:v>
                </c:pt>
                <c:pt idx="8">
                  <c:v>1196.66879671641</c:v>
                </c:pt>
                <c:pt idx="9">
                  <c:v>1204.0942191730101</c:v>
                </c:pt>
                <c:pt idx="10">
                  <c:v>1211.7085813518399</c:v>
                </c:pt>
                <c:pt idx="11">
                  <c:v>1219.51591851483</c:v>
                </c:pt>
                <c:pt idx="12">
                  <c:v>1227.52036271717</c:v>
                </c:pt>
                <c:pt idx="13">
                  <c:v>1235.7261452196201</c:v>
                </c:pt>
                <c:pt idx="14">
                  <c:v>1244.13759896277</c:v>
                </c:pt>
                <c:pt idx="15">
                  <c:v>1252.7591611047401</c:v>
                </c:pt>
                <c:pt idx="16">
                  <c:v>1261.5953756240999</c:v>
                </c:pt>
                <c:pt idx="17">
                  <c:v>1270.6508959896801</c:v>
                </c:pt>
                <c:pt idx="18">
                  <c:v>1279.9304878989201</c:v>
                </c:pt>
                <c:pt idx="19">
                  <c:v>1289.4390320867899</c:v>
                </c:pt>
              </c:numCache>
            </c:numRef>
          </c:val>
          <c:smooth val="0"/>
          <c:extLst>
            <c:ext xmlns:c16="http://schemas.microsoft.com/office/drawing/2014/chart" uri="{C3380CC4-5D6E-409C-BE32-E72D297353CC}">
              <c16:uniqueId val="{00000005-FE61-442D-B452-95F3C5820CD7}"/>
            </c:ext>
          </c:extLst>
        </c:ser>
        <c:dLbls>
          <c:showLegendKey val="0"/>
          <c:showVal val="0"/>
          <c:showCatName val="0"/>
          <c:showSerName val="0"/>
          <c:showPercent val="0"/>
          <c:showBubbleSize val="0"/>
        </c:dLbls>
        <c:smooth val="0"/>
        <c:axId val="929478607"/>
        <c:axId val="929479087"/>
      </c:lineChart>
      <c:dateAx>
        <c:axId val="929478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Year</a:t>
                </a:r>
              </a:p>
            </c:rich>
          </c:tx>
          <c:layout>
            <c:manualLayout>
              <c:xMode val="edge"/>
              <c:yMode val="edge"/>
              <c:x val="0.45891529509345119"/>
              <c:y val="0.87273505038895371"/>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479087"/>
        <c:crosses val="autoZero"/>
        <c:auto val="0"/>
        <c:lblOffset val="100"/>
        <c:baseTimeUnit val="days"/>
      </c:dateAx>
      <c:valAx>
        <c:axId val="9294790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Millioins tonnes</a:t>
                </a:r>
                <a:r>
                  <a:rPr lang="en-AU" baseline="0"/>
                  <a:t> CO2eq</a:t>
                </a:r>
              </a:p>
            </c:rich>
          </c:tx>
          <c:layout>
            <c:manualLayout>
              <c:xMode val="edge"/>
              <c:yMode val="edge"/>
              <c:x val="0"/>
              <c:y val="0.31084849509417606"/>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478607"/>
        <c:crosses val="autoZero"/>
        <c:crossBetween val="between"/>
      </c:valAx>
    </c:plotArea>
    <c:legend>
      <c:legendPos val="b"/>
      <c:layout>
        <c:manualLayout>
          <c:xMode val="edge"/>
          <c:yMode val="edge"/>
          <c:x val="8.4187477407683772E-2"/>
          <c:y val="0.92069417754644833"/>
          <c:w val="0.75019966356638312"/>
          <c:h val="5.631742769937445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[3]Blad1!$B$1</c:f>
              <c:strCache>
                <c:ptCount val="1"/>
                <c:pt idx="0">
                  <c:v>Women not meeting minimum dietary diversity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[3]Blad1!$B$2:$B$9</c:f>
              <c:strCache>
                <c:ptCount val="8"/>
                <c:pt idx="0">
                  <c:v>0.1592</c:v>
                </c:pt>
                <c:pt idx="1">
                  <c:v>0.1592</c:v>
                </c:pt>
                <c:pt idx="2">
                  <c:v>0.1966</c:v>
                </c:pt>
                <c:pt idx="3">
                  <c:v>0.223</c:v>
                </c:pt>
                <c:pt idx="4">
                  <c:v>0.2819</c:v>
                </c:pt>
                <c:pt idx="5">
                  <c:v>0.521</c:v>
                </c:pt>
                <c:pt idx="6">
                  <c:v>0.5235</c:v>
                </c:pt>
                <c:pt idx="7">
                  <c:v>0.5514</c:v>
                </c:pt>
              </c:strCache>
            </c:strRef>
          </c:xVal>
          <c:yVal>
            <c:numRef>
              <c:f>[3]Blad1!$C$2:$C$9</c:f>
              <c:numCache>
                <c:formatCode>General</c:formatCode>
                <c:ptCount val="8"/>
                <c:pt idx="0">
                  <c:v>2.7234000000000001E-2</c:v>
                </c:pt>
                <c:pt idx="1">
                  <c:v>8.5998000000000005E-2</c:v>
                </c:pt>
                <c:pt idx="2">
                  <c:v>3.8126E-2</c:v>
                </c:pt>
                <c:pt idx="3">
                  <c:v>8.0637E-2</c:v>
                </c:pt>
                <c:pt idx="4">
                  <c:v>0.12470000000000001</c:v>
                </c:pt>
                <c:pt idx="5">
                  <c:v>0.2064</c:v>
                </c:pt>
                <c:pt idx="6">
                  <c:v>0.19670000000000001</c:v>
                </c:pt>
                <c:pt idx="7">
                  <c:v>0.2402</c:v>
                </c:pt>
              </c:numCache>
            </c:numRef>
          </c:yVal>
          <c:smooth val="0"/>
          <c:extLst>
            <c:ext xmlns:c16="http://schemas.microsoft.com/office/drawing/2014/chart" uri="{C3380CC4-5D6E-409C-BE32-E72D297353CC}">
              <c16:uniqueId val="{00000000-2205-4563-BB4B-D11E16D8F1E9}"/>
            </c:ext>
          </c:extLst>
        </c:ser>
        <c:ser>
          <c:idx val="1"/>
          <c:order val="1"/>
          <c:tx>
            <c:strRef>
              <c:f>[3]Blad1!$B$11</c:f>
              <c:strCache>
                <c:ptCount val="1"/>
                <c:pt idx="0">
                  <c:v>Population without access to a healthy diet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strRef>
              <c:f>[3]Blad1!$B$12:$B$19</c:f>
              <c:strCache>
                <c:ptCount val="8"/>
                <c:pt idx="0">
                  <c:v>0.0449</c:v>
                </c:pt>
                <c:pt idx="1">
                  <c:v>0.061</c:v>
                </c:pt>
                <c:pt idx="2">
                  <c:v>0.2142</c:v>
                </c:pt>
                <c:pt idx="3">
                  <c:v>0.2759</c:v>
                </c:pt>
                <c:pt idx="4">
                  <c:v>0.2872</c:v>
                </c:pt>
                <c:pt idx="5">
                  <c:v>0.546</c:v>
                </c:pt>
                <c:pt idx="6">
                  <c:v>0.7153</c:v>
                </c:pt>
                <c:pt idx="7">
                  <c:v>0.7289</c:v>
                </c:pt>
              </c:strCache>
            </c:strRef>
          </c:xVal>
          <c:yVal>
            <c:numRef>
              <c:f>[3]Blad1!$C$12:$C$19</c:f>
              <c:numCache>
                <c:formatCode>General</c:formatCode>
                <c:ptCount val="8"/>
                <c:pt idx="0">
                  <c:v>2.7234000000000001E-2</c:v>
                </c:pt>
                <c:pt idx="1">
                  <c:v>3.8126E-2</c:v>
                </c:pt>
                <c:pt idx="2">
                  <c:v>8.5998000000000005E-2</c:v>
                </c:pt>
                <c:pt idx="3">
                  <c:v>8.0637E-2</c:v>
                </c:pt>
                <c:pt idx="4">
                  <c:v>0.12470000000000001</c:v>
                </c:pt>
                <c:pt idx="5">
                  <c:v>0.2402</c:v>
                </c:pt>
                <c:pt idx="6">
                  <c:v>0.19670000000000001</c:v>
                </c:pt>
                <c:pt idx="7">
                  <c:v>0.2064</c:v>
                </c:pt>
              </c:numCache>
            </c:numRef>
          </c:yVal>
          <c:smooth val="0"/>
          <c:extLst>
            <c:ext xmlns:c16="http://schemas.microsoft.com/office/drawing/2014/chart" uri="{C3380CC4-5D6E-409C-BE32-E72D297353CC}">
              <c16:uniqueId val="{00000001-2205-4563-BB4B-D11E16D8F1E9}"/>
            </c:ext>
          </c:extLst>
        </c:ser>
        <c:dLbls>
          <c:showLegendKey val="0"/>
          <c:showVal val="0"/>
          <c:showCatName val="0"/>
          <c:showSerName val="0"/>
          <c:showPercent val="0"/>
          <c:showBubbleSize val="0"/>
        </c:dLbls>
        <c:axId val="577351632"/>
        <c:axId val="577352112"/>
      </c:scatterChart>
      <c:valAx>
        <c:axId val="57735163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crossAx val="577352112"/>
        <c:crosses val="autoZero"/>
        <c:crossBetween val="midCat"/>
      </c:valAx>
      <c:valAx>
        <c:axId val="5773521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Priority index</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BE"/>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crossAx val="57735163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B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36</xdr:row>
      <xdr:rowOff>0</xdr:rowOff>
    </xdr:from>
    <xdr:to>
      <xdr:col>7</xdr:col>
      <xdr:colOff>304800</xdr:colOff>
      <xdr:row>50</xdr:row>
      <xdr:rowOff>165100</xdr:rowOff>
    </xdr:to>
    <xdr:graphicFrame macro="">
      <xdr:nvGraphicFramePr>
        <xdr:cNvPr id="2" name="Chart 1">
          <a:extLst>
            <a:ext uri="{FF2B5EF4-FFF2-40B4-BE49-F238E27FC236}">
              <a16:creationId xmlns:a16="http://schemas.microsoft.com/office/drawing/2014/main" id="{AB151275-10DF-4323-92DF-091A783CC7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71</xdr:row>
      <xdr:rowOff>12700</xdr:rowOff>
    </xdr:from>
    <xdr:to>
      <xdr:col>7</xdr:col>
      <xdr:colOff>315913</xdr:colOff>
      <xdr:row>85</xdr:row>
      <xdr:rowOff>153987</xdr:rowOff>
    </xdr:to>
    <xdr:graphicFrame macro="">
      <xdr:nvGraphicFramePr>
        <xdr:cNvPr id="3" name="Chart 2">
          <a:extLst>
            <a:ext uri="{FF2B5EF4-FFF2-40B4-BE49-F238E27FC236}">
              <a16:creationId xmlns:a16="http://schemas.microsoft.com/office/drawing/2014/main" id="{9BFF481E-E737-4B68-B654-85911626A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54</xdr:row>
      <xdr:rowOff>19050</xdr:rowOff>
    </xdr:from>
    <xdr:to>
      <xdr:col>7</xdr:col>
      <xdr:colOff>315913</xdr:colOff>
      <xdr:row>68</xdr:row>
      <xdr:rowOff>160337</xdr:rowOff>
    </xdr:to>
    <xdr:graphicFrame macro="">
      <xdr:nvGraphicFramePr>
        <xdr:cNvPr id="4" name="Chart 3">
          <a:extLst>
            <a:ext uri="{FF2B5EF4-FFF2-40B4-BE49-F238E27FC236}">
              <a16:creationId xmlns:a16="http://schemas.microsoft.com/office/drawing/2014/main" id="{94204999-A502-442F-8E06-7AB44F0C9E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87</xdr:row>
      <xdr:rowOff>0</xdr:rowOff>
    </xdr:from>
    <xdr:to>
      <xdr:col>7</xdr:col>
      <xdr:colOff>315913</xdr:colOff>
      <xdr:row>101</xdr:row>
      <xdr:rowOff>141287</xdr:rowOff>
    </xdr:to>
    <xdr:graphicFrame macro="">
      <xdr:nvGraphicFramePr>
        <xdr:cNvPr id="5" name="Chart 4">
          <a:extLst>
            <a:ext uri="{FF2B5EF4-FFF2-40B4-BE49-F238E27FC236}">
              <a16:creationId xmlns:a16="http://schemas.microsoft.com/office/drawing/2014/main" id="{F5E61B7D-7677-4D54-A1EB-AC823D1CB6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104</xdr:row>
      <xdr:rowOff>0</xdr:rowOff>
    </xdr:from>
    <xdr:to>
      <xdr:col>7</xdr:col>
      <xdr:colOff>309418</xdr:colOff>
      <xdr:row>118</xdr:row>
      <xdr:rowOff>124278</xdr:rowOff>
    </xdr:to>
    <xdr:graphicFrame macro="">
      <xdr:nvGraphicFramePr>
        <xdr:cNvPr id="6" name="Chart 5">
          <a:extLst>
            <a:ext uri="{FF2B5EF4-FFF2-40B4-BE49-F238E27FC236}">
              <a16:creationId xmlns:a16="http://schemas.microsoft.com/office/drawing/2014/main" id="{05901711-38FD-43BE-ADE2-44EE83422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121</xdr:row>
      <xdr:rowOff>0</xdr:rowOff>
    </xdr:from>
    <xdr:to>
      <xdr:col>7</xdr:col>
      <xdr:colOff>309418</xdr:colOff>
      <xdr:row>135</xdr:row>
      <xdr:rowOff>124278</xdr:rowOff>
    </xdr:to>
    <xdr:graphicFrame macro="">
      <xdr:nvGraphicFramePr>
        <xdr:cNvPr id="7" name="Chart 6">
          <a:extLst>
            <a:ext uri="{FF2B5EF4-FFF2-40B4-BE49-F238E27FC236}">
              <a16:creationId xmlns:a16="http://schemas.microsoft.com/office/drawing/2014/main" id="{4B9060D4-C58A-456D-A553-0A81BD3204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139</xdr:row>
      <xdr:rowOff>0</xdr:rowOff>
    </xdr:from>
    <xdr:to>
      <xdr:col>7</xdr:col>
      <xdr:colOff>309418</xdr:colOff>
      <xdr:row>153</xdr:row>
      <xdr:rowOff>124278</xdr:rowOff>
    </xdr:to>
    <xdr:graphicFrame macro="">
      <xdr:nvGraphicFramePr>
        <xdr:cNvPr id="8" name="Chart 7">
          <a:extLst>
            <a:ext uri="{FF2B5EF4-FFF2-40B4-BE49-F238E27FC236}">
              <a16:creationId xmlns:a16="http://schemas.microsoft.com/office/drawing/2014/main" id="{5300D05F-E612-4A4E-A683-35D292B26F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156</xdr:row>
      <xdr:rowOff>25400</xdr:rowOff>
    </xdr:from>
    <xdr:to>
      <xdr:col>7</xdr:col>
      <xdr:colOff>292100</xdr:colOff>
      <xdr:row>176</xdr:row>
      <xdr:rowOff>122465</xdr:rowOff>
    </xdr:to>
    <xdr:graphicFrame macro="">
      <xdr:nvGraphicFramePr>
        <xdr:cNvPr id="10" name="Chart 9">
          <a:extLst>
            <a:ext uri="{FF2B5EF4-FFF2-40B4-BE49-F238E27FC236}">
              <a16:creationId xmlns:a16="http://schemas.microsoft.com/office/drawing/2014/main" id="{26B7B561-33AE-47E3-B63E-CC31E49304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234950</xdr:colOff>
      <xdr:row>0</xdr:row>
      <xdr:rowOff>165101</xdr:rowOff>
    </xdr:from>
    <xdr:to>
      <xdr:col>20</xdr:col>
      <xdr:colOff>104775</xdr:colOff>
      <xdr:row>10</xdr:row>
      <xdr:rowOff>158750</xdr:rowOff>
    </xdr:to>
    <xdr:graphicFrame macro="">
      <xdr:nvGraphicFramePr>
        <xdr:cNvPr id="9" name="Grafiek 8">
          <a:extLst>
            <a:ext uri="{FF2B5EF4-FFF2-40B4-BE49-F238E27FC236}">
              <a16:creationId xmlns:a16="http://schemas.microsoft.com/office/drawing/2014/main" id="{1B77E51D-11CE-43B1-8E24-94C4565457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0"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cgiar.sharepoint.com/sites/CGIARTransitionandInception-Generaldocsandinfo/Shared%20Documents/Inception%20Phase%20templates/Prioritisation%20template%20and%20resources/Projected%20Benefits%20Data%20(Nov%202024)%20-%20With%20Analysis.xlsx" TargetMode="External"/><Relationship Id="rId1" Type="http://schemas.openxmlformats.org/officeDocument/2006/relationships/externalLinkPath" Target="/sites/CGIARTransitionandInception-Generaldocsandinfo/Shared%20Documents/Inception%20Phase%20templates/Prioritisation%20template%20and%20resources/Projected%20Benefits%20Data%20(Nov%202024)%20-%20With%20Analysis.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Map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unger"/>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d7hZyCnak6G3Raziv-Dr1IrLsvCwAtEj_pxaVon6apB7xCd85dFSJccWz5VKuVU" itemId="01NVC2NCSK5M3HTHDOTRE2PKDVT4YHO2K2">
      <xxl21:absoluteUrl r:id="rId2"/>
    </xxl21:alternateUrls>
    <sheetNames>
      <sheetName val="Notes"/>
      <sheetName val="Analysis"/>
      <sheetName val="Hunger"/>
      <sheetName val="Poverty_215"/>
      <sheetName val="Poverty_365"/>
      <sheetName val="Poverty_685"/>
      <sheetName val="Jobs"/>
      <sheetName val="Incomes"/>
      <sheetName val="PA"/>
      <sheetName val="PY"/>
      <sheetName val="PQ"/>
      <sheetName val="PV"/>
      <sheetName val="GA"/>
      <sheetName val="GF"/>
      <sheetName val="GN"/>
      <sheetName val="GT"/>
      <sheetName val="GPC"/>
      <sheetName val="POP"/>
      <sheetName val="JA"/>
      <sheetName val="JF"/>
      <sheetName val="JW"/>
      <sheetName val="EA"/>
      <sheetName val="EO"/>
      <sheetName val="EF"/>
    </sheetNames>
    <sheetDataSet>
      <sheetData sheetId="0"/>
      <sheetData sheetId="1"/>
      <sheetData sheetId="2">
        <row r="6">
          <cell r="I6">
            <v>2021</v>
          </cell>
          <cell r="J6">
            <v>2022</v>
          </cell>
          <cell r="K6">
            <v>2023</v>
          </cell>
          <cell r="L6">
            <v>2024</v>
          </cell>
          <cell r="M6">
            <v>2025</v>
          </cell>
          <cell r="N6">
            <v>2026</v>
          </cell>
          <cell r="O6">
            <v>2027</v>
          </cell>
          <cell r="P6">
            <v>2028</v>
          </cell>
          <cell r="Q6">
            <v>2029</v>
          </cell>
          <cell r="R6">
            <v>2030</v>
          </cell>
          <cell r="S6">
            <v>2031</v>
          </cell>
          <cell r="T6">
            <v>2032</v>
          </cell>
          <cell r="U6">
            <v>2033</v>
          </cell>
          <cell r="V6">
            <v>2034</v>
          </cell>
          <cell r="W6">
            <v>2035</v>
          </cell>
          <cell r="X6">
            <v>2036</v>
          </cell>
          <cell r="Y6">
            <v>2037</v>
          </cell>
          <cell r="Z6">
            <v>2038</v>
          </cell>
          <cell r="AA6">
            <v>2039</v>
          </cell>
          <cell r="AB6">
            <v>2040</v>
          </cell>
        </row>
        <row r="8">
          <cell r="H8" t="str">
            <v>LAC</v>
          </cell>
        </row>
        <row r="9">
          <cell r="H9" t="str">
            <v>CWANA</v>
          </cell>
        </row>
        <row r="10">
          <cell r="H10" t="str">
            <v>WCA</v>
          </cell>
        </row>
        <row r="11">
          <cell r="H11" t="str">
            <v>ESA</v>
          </cell>
        </row>
        <row r="12">
          <cell r="H12" t="str">
            <v>SA</v>
          </cell>
        </row>
        <row r="13">
          <cell r="H13" t="str">
            <v>SEA</v>
          </cell>
        </row>
        <row r="32">
          <cell r="H32" t="str">
            <v>LAC</v>
          </cell>
          <cell r="I32">
            <v>44.994626247528409</v>
          </cell>
          <cell r="J32">
            <v>42.274181310493304</v>
          </cell>
          <cell r="K32">
            <v>39.642775911585034</v>
          </cell>
          <cell r="L32">
            <v>37.10303743411346</v>
          </cell>
          <cell r="M32">
            <v>34.657196751465953</v>
          </cell>
          <cell r="N32">
            <v>32.307079996639004</v>
          </cell>
          <cell r="O32">
            <v>30.054103446080493</v>
          </cell>
          <cell r="P32">
            <v>27.899271595631379</v>
          </cell>
          <cell r="Q32">
            <v>25.843178467953077</v>
          </cell>
          <cell r="R32">
            <v>23.886012150879463</v>
          </cell>
          <cell r="S32">
            <v>22.027562525242541</v>
          </cell>
          <cell r="T32">
            <v>20.267232099633596</v>
          </cell>
          <cell r="U32">
            <v>18.604049829002967</v>
          </cell>
          <cell r="V32">
            <v>17.036687754712815</v>
          </cell>
          <cell r="W32">
            <v>15.563480266407618</v>
          </cell>
          <cell r="X32">
            <v>14.182445751574955</v>
          </cell>
          <cell r="Y32">
            <v>12.891310367628208</v>
          </cell>
          <cell r="Z32">
            <v>11.687533644387715</v>
          </cell>
          <cell r="AA32">
            <v>10.568335602534368</v>
          </cell>
          <cell r="AB32">
            <v>9.5307250564153101</v>
          </cell>
        </row>
        <row r="33">
          <cell r="H33" t="str">
            <v>CWANA</v>
          </cell>
          <cell r="I33">
            <v>53.029004234032065</v>
          </cell>
          <cell r="J33">
            <v>52.525290224514286</v>
          </cell>
          <cell r="K33">
            <v>51.96185637562116</v>
          </cell>
          <cell r="L33">
            <v>51.339094690398539</v>
          </cell>
          <cell r="M33">
            <v>50.657604575609803</v>
          </cell>
          <cell r="N33">
            <v>49.918200256079977</v>
          </cell>
          <cell r="O33">
            <v>49.12191735931718</v>
          </cell>
          <cell r="P33">
            <v>48.270018536166937</v>
          </cell>
          <cell r="Q33">
            <v>47.363997978801621</v>
          </cell>
          <cell r="R33">
            <v>46.405584694269365</v>
          </cell>
          <cell r="S33">
            <v>45.396744390391454</v>
          </cell>
          <cell r="T33">
            <v>44.339679831303215</v>
          </cell>
          <cell r="U33">
            <v>43.236829522627083</v>
          </cell>
          <cell r="V33">
            <v>42.090864591472283</v>
          </cell>
          <cell r="W33">
            <v>40.904683734416942</v>
          </cell>
          <cell r="X33">
            <v>39.681406117611161</v>
          </cell>
          <cell r="Y33">
            <v>38.424362127423528</v>
          </cell>
          <cell r="Z33">
            <v>37.137081887757027</v>
          </cell>
          <cell r="AA33">
            <v>35.823281481524063</v>
          </cell>
          <cell r="AB33">
            <v>34.486846838830338</v>
          </cell>
        </row>
        <row r="34">
          <cell r="H34" t="str">
            <v>WCA</v>
          </cell>
          <cell r="I34">
            <v>108.61272300297506</v>
          </cell>
          <cell r="J34">
            <v>108.74281075537525</v>
          </cell>
          <cell r="K34">
            <v>108.75146812675052</v>
          </cell>
          <cell r="L34">
            <v>108.63645888480424</v>
          </cell>
          <cell r="M34">
            <v>108.39591134798818</v>
          </cell>
          <cell r="N34">
            <v>108.02834379867106</v>
          </cell>
          <cell r="O34">
            <v>107.53268866167555</v>
          </cell>
          <cell r="P34">
            <v>106.90831514239645</v>
          </cell>
          <cell r="Q34">
            <v>106.15505001255639</v>
          </cell>
          <cell r="R34">
            <v>105.27319622925576</v>
          </cell>
          <cell r="S34">
            <v>104.26354907481114</v>
          </cell>
          <cell r="T34">
            <v>103.12740951124412</v>
          </cell>
          <cell r="U34">
            <v>101.86659445453394</v>
          </cell>
          <cell r="V34">
            <v>100.48344369010545</v>
          </cell>
          <cell r="W34">
            <v>98.980823172615416</v>
          </cell>
          <cell r="X34">
            <v>97.362124480114034</v>
          </cell>
          <cell r="Y34">
            <v>95.631260224898313</v>
          </cell>
          <cell r="Z34">
            <v>93.792655260915183</v>
          </cell>
          <cell r="AA34">
            <v>91.851233569961806</v>
          </cell>
          <cell r="AB34">
            <v>89.812400756005999</v>
          </cell>
        </row>
        <row r="35">
          <cell r="H35" t="str">
            <v>ESA</v>
          </cell>
          <cell r="I35">
            <v>136.58277344182454</v>
          </cell>
          <cell r="J35">
            <v>133.80325740823852</v>
          </cell>
          <cell r="K35">
            <v>130.81169389927274</v>
          </cell>
          <cell r="L35">
            <v>127.61502458888565</v>
          </cell>
          <cell r="M35">
            <v>124.22171589799966</v>
          </cell>
          <cell r="N35">
            <v>120.64177208407331</v>
          </cell>
          <cell r="O35">
            <v>116.88672959836752</v>
          </cell>
          <cell r="P35">
            <v>112.96963098244476</v>
          </cell>
          <cell r="Q35">
            <v>108.90497681647865</v>
          </cell>
          <cell r="R35">
            <v>104.70865454402686</v>
          </cell>
          <cell r="S35">
            <v>100.39784338159049</v>
          </cell>
          <cell r="T35">
            <v>95.990894974677246</v>
          </cell>
          <cell r="U35">
            <v>91.507189980302982</v>
          </cell>
          <cell r="V35">
            <v>86.966971330753381</v>
          </cell>
          <cell r="W35">
            <v>82.391155553491927</v>
          </cell>
          <cell r="X35">
            <v>77.80112417213013</v>
          </cell>
          <cell r="Y35">
            <v>73.2184978749885</v>
          </cell>
          <cell r="Z35">
            <v>68.664896789270884</v>
          </cell>
          <cell r="AA35">
            <v>64.16169081610434</v>
          </cell>
          <cell r="AB35">
            <v>59.729744538591724</v>
          </cell>
        </row>
        <row r="36">
          <cell r="H36" t="str">
            <v>SA</v>
          </cell>
          <cell r="I36">
            <v>285.97811732395007</v>
          </cell>
          <cell r="J36">
            <v>259.96047433622363</v>
          </cell>
          <cell r="K36">
            <v>235.06924338441894</v>
          </cell>
          <cell r="L36">
            <v>211.39957144142542</v>
          </cell>
          <cell r="M36">
            <v>189.03167055207234</v>
          </cell>
          <cell r="N36">
            <v>168.02968007506837</v>
          </cell>
          <cell r="O36">
            <v>148.44085416875936</v>
          </cell>
          <cell r="P36">
            <v>130.29510607260826</v>
          </cell>
          <cell r="Q36">
            <v>113.60493020982643</v>
          </cell>
          <cell r="R36">
            <v>98.365711055345173</v>
          </cell>
          <cell r="S36">
            <v>84.556414528514409</v>
          </cell>
          <cell r="T36">
            <v>72.140643942711421</v>
          </cell>
          <cell r="U36">
            <v>61.068028923248249</v>
          </cell>
          <cell r="V36">
            <v>51.275902893832011</v>
          </cell>
          <cell r="W36">
            <v>42.691213447000997</v>
          </cell>
          <cell r="X36">
            <v>35.232600836880536</v>
          </cell>
          <cell r="Y36">
            <v>28.812573558076505</v>
          </cell>
          <cell r="Z36">
            <v>23.339706959850233</v>
          </cell>
          <cell r="AA36">
            <v>18.720791363989754</v>
          </cell>
          <cell r="AB36">
            <v>14.862860264376677</v>
          </cell>
        </row>
        <row r="37">
          <cell r="H37" t="str">
            <v>SEA</v>
          </cell>
          <cell r="I37">
            <v>63.434623188118827</v>
          </cell>
          <cell r="J37">
            <v>55.039026121819838</v>
          </cell>
          <cell r="K37">
            <v>47.508669601200317</v>
          </cell>
          <cell r="L37">
            <v>40.792406994222738</v>
          </cell>
          <cell r="M37">
            <v>34.83664000723217</v>
          </cell>
          <cell r="N37">
            <v>29.586210650753618</v>
          </cell>
          <cell r="O37">
            <v>24.985258502709165</v>
          </cell>
          <cell r="P37">
            <v>20.978025664776631</v>
          </cell>
          <cell r="Q37">
            <v>17.5095942441598</v>
          </cell>
          <cell r="R37">
            <v>14.526544038026993</v>
          </cell>
          <cell r="S37">
            <v>11.977521220647132</v>
          </cell>
          <cell r="T37">
            <v>9.8137120942565428</v>
          </cell>
          <cell r="U37">
            <v>7.9892192232337811</v>
          </cell>
          <cell r="V37">
            <v>6.4613403929105191</v>
          </cell>
          <cell r="W37">
            <v>5.1907536984482805</v>
          </cell>
          <cell r="X37">
            <v>4.1416145740998411</v>
          </cell>
          <cell r="Y37">
            <v>3.2815726412781241</v>
          </cell>
          <cell r="Z37">
            <v>2.5817178343489147</v>
          </cell>
          <cell r="AA37">
            <v>2.0164663329687422</v>
          </cell>
          <cell r="AB37">
            <v>1.5633973932392926</v>
          </cell>
        </row>
      </sheetData>
      <sheetData sheetId="3">
        <row r="8">
          <cell r="M8" t="str">
            <v>LAC</v>
          </cell>
          <cell r="N8">
            <v>4.9855700000000001</v>
          </cell>
          <cell r="O8">
            <v>5.0242558249487326</v>
          </cell>
          <cell r="P8">
            <v>5.062117154095195</v>
          </cell>
          <cell r="Q8">
            <v>5.0991221524061769</v>
          </cell>
          <cell r="R8">
            <v>5.1352386432570594</v>
          </cell>
          <cell r="S8">
            <v>5.1704341135176257</v>
          </cell>
          <cell r="T8">
            <v>5.2046757190976036</v>
          </cell>
          <cell r="U8">
            <v>5.2379302909876833</v>
          </cell>
          <cell r="V8">
            <v>5.2701643418338628</v>
          </cell>
          <cell r="W8">
            <v>5.3013440730862023</v>
          </cell>
          <cell r="X8">
            <v>5.3314353827658323</v>
          </cell>
          <cell r="Y8">
            <v>5.3604038738972362</v>
          </cell>
          <cell r="Z8">
            <v>5.3882148636566836</v>
          </cell>
          <cell r="AA8">
            <v>5.4148333932908708</v>
          </cell>
          <cell r="AB8">
            <v>5.440224238864193</v>
          </cell>
          <cell r="AC8">
            <v>5.4643519228972357</v>
          </cell>
          <cell r="AD8">
            <v>5.4871807269634791</v>
          </cell>
          <cell r="AE8">
            <v>5.5086747053163601</v>
          </cell>
          <cell r="AF8">
            <v>5.5287976996237669</v>
          </cell>
          <cell r="AG8">
            <v>5.5475133548929874</v>
          </cell>
        </row>
        <row r="9">
          <cell r="M9" t="str">
            <v>CWANA</v>
          </cell>
          <cell r="N9">
            <v>4.5991800000000005</v>
          </cell>
          <cell r="O9">
            <v>4.4042124111186176</v>
          </cell>
          <cell r="P9">
            <v>4.2131090946072494</v>
          </cell>
          <cell r="Q9">
            <v>4.0259800445895442</v>
          </cell>
          <cell r="R9">
            <v>3.8429300331731717</v>
          </cell>
          <cell r="S9">
            <v>3.6640582478081392</v>
          </cell>
          <cell r="T9">
            <v>3.4894579332820426</v>
          </cell>
          <cell r="U9">
            <v>3.3192160404052045</v>
          </cell>
          <cell r="V9">
            <v>3.1534128835435875</v>
          </cell>
          <cell r="W9">
            <v>2.9921218092536246</v>
          </cell>
          <cell r="X9">
            <v>2.8354088783588502</v>
          </cell>
          <cell r="Y9">
            <v>2.6833325638814145</v>
          </cell>
          <cell r="Z9">
            <v>2.5359434673004513</v>
          </cell>
          <cell r="AA9">
            <v>2.3932840556515869</v>
          </cell>
          <cell r="AB9">
            <v>2.2553884220052036</v>
          </cell>
          <cell r="AC9">
            <v>2.1222820718637156</v>
          </cell>
          <cell r="AD9">
            <v>1.9939817379979106</v>
          </cell>
          <cell r="AE9">
            <v>1.8704952261966068</v>
          </cell>
          <cell r="AF9">
            <v>1.7518212943315459</v>
          </cell>
          <cell r="AG9">
            <v>1.637949567038026</v>
          </cell>
        </row>
        <row r="10">
          <cell r="M10" t="str">
            <v>WCA</v>
          </cell>
          <cell r="N10">
            <v>36.308069999999994</v>
          </cell>
          <cell r="O10">
            <v>36.185861896128479</v>
          </cell>
          <cell r="P10">
            <v>36.06170110049667</v>
          </cell>
          <cell r="Q10">
            <v>35.93557699720413</v>
          </cell>
          <cell r="R10">
            <v>35.807478695050726</v>
          </cell>
          <cell r="S10">
            <v>35.677395033949246</v>
          </cell>
          <cell r="T10">
            <v>35.545314591576144</v>
          </cell>
          <cell r="U10">
            <v>35.411225690279473</v>
          </cell>
          <cell r="V10">
            <v>35.2751164042635</v>
          </cell>
          <cell r="W10">
            <v>35.136974567070602</v>
          </cell>
          <cell r="X10">
            <v>34.99678777938167</v>
          </cell>
          <cell r="Y10">
            <v>34.854543417157117</v>
          </cell>
          <cell r="Z10">
            <v>34.710228640141892</v>
          </cell>
          <cell r="AA10">
            <v>34.563830400758199</v>
          </cell>
          <cell r="AB10">
            <v>34.415335453411203</v>
          </cell>
          <cell r="AC10">
            <v>34.264730364233813</v>
          </cell>
          <cell r="AD10">
            <v>34.112001521297493</v>
          </cell>
          <cell r="AE10">
            <v>33.957135145317729</v>
          </cell>
          <cell r="AF10">
            <v>33.800117300883173</v>
          </cell>
          <cell r="AG10">
            <v>33.64093390823939</v>
          </cell>
        </row>
        <row r="11">
          <cell r="M11" t="str">
            <v>ESA</v>
          </cell>
          <cell r="N11">
            <v>38.895679999999999</v>
          </cell>
          <cell r="O11">
            <v>38.854339595759434</v>
          </cell>
          <cell r="P11">
            <v>38.811608056121294</v>
          </cell>
          <cell r="Q11">
            <v>38.76744471582041</v>
          </cell>
          <cell r="R11">
            <v>38.721807292463673</v>
          </cell>
          <cell r="S11">
            <v>38.674651820200459</v>
          </cell>
          <cell r="T11">
            <v>38.625932580548529</v>
          </cell>
          <cell r="U11">
            <v>38.575602030264164</v>
          </cell>
          <cell r="V11">
            <v>38.523610726142337</v>
          </cell>
          <cell r="W11">
            <v>38.469907246630569</v>
          </cell>
          <cell r="X11">
            <v>38.414438110137155</v>
          </cell>
          <cell r="Y11">
            <v>38.357147689913063</v>
          </cell>
          <cell r="Z11">
            <v>38.297978125384574</v>
          </cell>
          <cell r="AA11">
            <v>38.23686922981279</v>
          </cell>
          <cell r="AB11">
            <v>38.173758394154838</v>
          </cell>
          <cell r="AC11">
            <v>38.108580487001923</v>
          </cell>
          <cell r="AD11">
            <v>38.041267750469046</v>
          </cell>
          <cell r="AE11">
            <v>37.971749691912898</v>
          </cell>
          <cell r="AF11">
            <v>37.899952971356136</v>
          </cell>
          <cell r="AG11">
            <v>37.825801284499441</v>
          </cell>
        </row>
        <row r="12">
          <cell r="M12" t="str">
            <v>SA</v>
          </cell>
          <cell r="N12">
            <v>11.48274</v>
          </cell>
          <cell r="O12">
            <v>10.469357809197607</v>
          </cell>
          <cell r="P12">
            <v>9.4825202525357888</v>
          </cell>
          <cell r="Q12">
            <v>8.5274756835821197</v>
          </cell>
          <cell r="R12">
            <v>7.609438644494297</v>
          </cell>
          <cell r="S12">
            <v>6.7334754098511684</v>
          </cell>
          <cell r="T12">
            <v>5.9043760153954095</v>
          </cell>
          <cell r="U12">
            <v>5.1265159997613008</v>
          </cell>
          <cell r="V12">
            <v>4.403712587839661</v>
          </cell>
          <cell r="W12">
            <v>3.7390816146864139</v>
          </cell>
          <cell r="X12">
            <v>3.1349029870807015</v>
          </cell>
          <cell r="Y12">
            <v>2.5925037146786232</v>
          </cell>
          <cell r="Z12">
            <v>2.1121682806009399</v>
          </cell>
          <cell r="AA12">
            <v>1.6930861056307471</v>
          </cell>
          <cell r="AB12">
            <v>1.3333448452239742</v>
          </cell>
          <cell r="AC12">
            <v>1.0299760582613207</v>
          </cell>
          <cell r="AD12">
            <v>0.77905633517437689</v>
          </cell>
          <cell r="AE12">
            <v>0.57586238850067506</v>
          </cell>
          <cell r="AF12">
            <v>0.41507324294913156</v>
          </cell>
          <cell r="AG12">
            <v>0.29100711854202421</v>
          </cell>
        </row>
        <row r="13">
          <cell r="M13" t="str">
            <v>SEA</v>
          </cell>
        </row>
      </sheetData>
      <sheetData sheetId="4">
        <row r="8">
          <cell r="M8" t="str">
            <v>LAC</v>
          </cell>
          <cell r="N8">
            <v>12.326178476819264</v>
          </cell>
          <cell r="O8">
            <v>12.381889163349326</v>
          </cell>
          <cell r="P8">
            <v>12.436251628916459</v>
          </cell>
          <cell r="Q8">
            <v>12.489232445082679</v>
          </cell>
          <cell r="R8">
            <v>12.540797718585354</v>
          </cell>
          <cell r="S8">
            <v>12.590913081668123</v>
          </cell>
          <cell r="T8">
            <v>12.639543682250387</v>
          </cell>
          <cell r="U8">
            <v>12.686654173942228</v>
          </cell>
          <cell r="V8">
            <v>12.732208705912404</v>
          </cell>
          <cell r="W8">
            <v>12.77617091261866</v>
          </cell>
          <cell r="X8">
            <v>12.818503903410948</v>
          </cell>
          <cell r="Y8">
            <v>12.859170252019601</v>
          </cell>
          <cell r="Z8">
            <v>12.898131985942833</v>
          </cell>
          <cell r="AA8">
            <v>12.93535057574935</v>
          </cell>
          <cell r="AB8">
            <v>12.970786924314398</v>
          </cell>
          <cell r="AC8">
            <v>13.004401356010282</v>
          </cell>
          <cell r="AD8">
            <v>13.036153605874441</v>
          </cell>
          <cell r="AE8">
            <v>13.066002808782224</v>
          </cell>
          <cell r="AF8">
            <v>13.093907488653745</v>
          </cell>
          <cell r="AG8">
            <v>13.119825547729045</v>
          </cell>
        </row>
        <row r="9">
          <cell r="M9" t="str">
            <v>CWANA</v>
          </cell>
          <cell r="N9">
            <v>14.288422822098919</v>
          </cell>
          <cell r="O9">
            <v>13.982702549201973</v>
          </cell>
          <cell r="P9">
            <v>13.67683968914368</v>
          </cell>
          <cell r="Q9">
            <v>13.370966999763937</v>
          </cell>
          <cell r="R9">
            <v>13.065220507316768</v>
          </cell>
          <cell r="S9">
            <v>12.75973944689008</v>
          </cell>
          <cell r="T9">
            <v>12.45466619149396</v>
          </cell>
          <cell r="U9">
            <v>12.150146169228629</v>
          </cell>
          <cell r="V9">
            <v>11.846327767942952</v>
          </cell>
          <cell r="W9">
            <v>11.543362226797486</v>
          </cell>
          <cell r="X9">
            <v>11.241403514153248</v>
          </cell>
          <cell r="Y9">
            <v>10.940608191217761</v>
          </cell>
          <cell r="Z9">
            <v>10.641135260895059</v>
          </cell>
          <cell r="AA9">
            <v>10.343146001306888</v>
          </cell>
          <cell r="AB9">
            <v>10.046803783476943</v>
          </cell>
          <cell r="AC9">
            <v>9.7522738727010143</v>
          </cell>
          <cell r="AD9">
            <v>9.4597232131634286</v>
          </cell>
          <cell r="AE9">
            <v>9.169320195402916</v>
          </cell>
          <cell r="AF9">
            <v>8.8812344062825215</v>
          </cell>
          <cell r="AG9">
            <v>8.5956363611760942</v>
          </cell>
        </row>
        <row r="10">
          <cell r="M10" t="str">
            <v>WCA</v>
          </cell>
          <cell r="N10">
            <v>64.127509059426401</v>
          </cell>
          <cell r="O10">
            <v>64.124548141671539</v>
          </cell>
          <cell r="P10">
            <v>64.121536417731221</v>
          </cell>
          <cell r="Q10">
            <v>64.11847342100998</v>
          </cell>
          <cell r="R10">
            <v>64.115358669989774</v>
          </cell>
          <cell r="S10">
            <v>64.112191668041959</v>
          </cell>
          <cell r="T10">
            <v>64.108971903230866</v>
          </cell>
          <cell r="U10">
            <v>64.10569884810873</v>
          </cell>
          <cell r="V10">
            <v>64.102371959502051</v>
          </cell>
          <cell r="W10">
            <v>64.098990678288956</v>
          </cell>
          <cell r="X10">
            <v>64.095554429167606</v>
          </cell>
          <cell r="Y10">
            <v>64.092062620415476</v>
          </cell>
          <cell r="Z10">
            <v>64.08851464363913</v>
          </cell>
          <cell r="AA10">
            <v>64.084909873514761</v>
          </cell>
          <cell r="AB10">
            <v>64.081247667518738</v>
          </cell>
          <cell r="AC10">
            <v>64.077527365648464</v>
          </cell>
          <cell r="AD10">
            <v>64.073748290133068</v>
          </cell>
          <cell r="AE10">
            <v>64.069909745133799</v>
          </cell>
          <cell r="AF10">
            <v>64.066011016434032</v>
          </cell>
          <cell r="AG10">
            <v>64.0620513711184</v>
          </cell>
        </row>
        <row r="11">
          <cell r="M11" t="str">
            <v>ESA</v>
          </cell>
          <cell r="N11">
            <v>65.5165687371194</v>
          </cell>
          <cell r="O11">
            <v>65.515304931460904</v>
          </cell>
          <cell r="P11">
            <v>65.513998192389707</v>
          </cell>
          <cell r="Q11">
            <v>65.51264723352152</v>
          </cell>
          <cell r="R11">
            <v>65.511250715585177</v>
          </cell>
          <cell r="S11">
            <v>65.509807244115564</v>
          </cell>
          <cell r="T11">
            <v>65.508315367035863</v>
          </cell>
          <cell r="U11">
            <v>65.506773572123265</v>
          </cell>
          <cell r="V11">
            <v>65.505180284352662</v>
          </cell>
          <cell r="W11">
            <v>65.503533863111798</v>
          </cell>
          <cell r="X11">
            <v>65.501832599281641</v>
          </cell>
          <cell r="Y11">
            <v>65.500074712175063</v>
          </cell>
          <cell r="Z11">
            <v>65.49825834632675</v>
          </cell>
          <cell r="AA11">
            <v>65.496381568126708</v>
          </cell>
          <cell r="AB11">
            <v>65.494442362289362</v>
          </cell>
          <cell r="AC11">
            <v>65.492438628150126</v>
          </cell>
          <cell r="AD11">
            <v>65.490368175780418</v>
          </cell>
          <cell r="AE11">
            <v>65.48822872191198</v>
          </cell>
          <cell r="AF11">
            <v>65.486017885660644</v>
          </cell>
          <cell r="AG11">
            <v>65.483733184039494</v>
          </cell>
        </row>
        <row r="12">
          <cell r="M12" t="str">
            <v>SA</v>
          </cell>
          <cell r="N12">
            <v>43.134169730216684</v>
          </cell>
          <cell r="O12">
            <v>42.785936062727707</v>
          </cell>
          <cell r="P12">
            <v>42.423103240684</v>
          </cell>
          <cell r="Q12">
            <v>42.045095756720556</v>
          </cell>
          <cell r="R12">
            <v>41.65132322262177</v>
          </cell>
          <cell r="S12">
            <v>41.241181256264561</v>
          </cell>
          <cell r="T12">
            <v>40.814052617892735</v>
          </cell>
          <cell r="U12">
            <v>40.369308632944382</v>
          </cell>
          <cell r="V12">
            <v>39.906310943056774</v>
          </cell>
          <cell r="W12">
            <v>39.424413631627587</v>
          </cell>
          <cell r="X12">
            <v>38.922965775403092</v>
          </cell>
          <cell r="Y12">
            <v>38.401314478959492</v>
          </cell>
          <cell r="Z12">
            <v>37.858808454588946</v>
          </cell>
          <cell r="AA12">
            <v>37.29480221591367</v>
          </cell>
          <cell r="AB12">
            <v>36.708660959410587</v>
          </cell>
          <cell r="AC12">
            <v>36.099766213769868</v>
          </cell>
          <cell r="AD12">
            <v>35.46752234241179</v>
          </cell>
          <cell r="AE12">
            <v>34.811363989254396</v>
          </cell>
          <cell r="AF12">
            <v>34.130764561582758</v>
          </cell>
          <cell r="AG12">
            <v>33.425245846137834</v>
          </cell>
        </row>
        <row r="13">
          <cell r="M13" t="str">
            <v>SEA</v>
          </cell>
          <cell r="N13">
            <v>6.6233528939511919</v>
          </cell>
          <cell r="O13">
            <v>5.5934125729499016</v>
          </cell>
          <cell r="P13">
            <v>4.6450586257173407</v>
          </cell>
          <cell r="Q13">
            <v>3.786173914837176</v>
          </cell>
          <cell r="R13">
            <v>3.0226307406783413</v>
          </cell>
          <cell r="S13">
            <v>2.357833528713984</v>
          </cell>
          <cell r="T13">
            <v>1.7923686946310629</v>
          </cell>
          <cell r="U13">
            <v>1.3238210051222614</v>
          </cell>
          <cell r="V13">
            <v>0.94680860843435022</v>
          </cell>
          <cell r="W13">
            <v>0.65326964308088331</v>
          </cell>
          <cell r="X13">
            <v>0.43300161114111568</v>
          </cell>
          <cell r="Y13">
            <v>0.27441370348333582</v>
          </cell>
          <cell r="Z13">
            <v>0.16540941087168839</v>
          </cell>
          <cell r="AA13">
            <v>9.4283044263614654E-2</v>
          </cell>
          <cell r="AB13">
            <v>5.0501137911965505E-2</v>
          </cell>
          <cell r="AC13">
            <v>2.5256506789093403E-2</v>
          </cell>
          <cell r="AD13">
            <v>1.172900824802448E-2</v>
          </cell>
          <cell r="AE13">
            <v>5.0518673078637812E-3</v>
          </cell>
          <cell r="AF13">
            <v>2.045953654585674E-3</v>
          </cell>
          <cell r="AG13">
            <v>8.2542744513886197E-4</v>
          </cell>
        </row>
      </sheetData>
      <sheetData sheetId="5">
        <row r="6">
          <cell r="N6">
            <v>2021</v>
          </cell>
          <cell r="O6">
            <v>2022</v>
          </cell>
          <cell r="P6">
            <v>2023</v>
          </cell>
          <cell r="Q6">
            <v>2024</v>
          </cell>
          <cell r="R6">
            <v>2025</v>
          </cell>
          <cell r="S6">
            <v>2026</v>
          </cell>
          <cell r="T6">
            <v>2027</v>
          </cell>
          <cell r="U6">
            <v>2028</v>
          </cell>
          <cell r="V6">
            <v>2029</v>
          </cell>
          <cell r="W6">
            <v>2030</v>
          </cell>
          <cell r="X6">
            <v>2031</v>
          </cell>
          <cell r="Y6">
            <v>2032</v>
          </cell>
          <cell r="Z6">
            <v>2033</v>
          </cell>
          <cell r="AA6">
            <v>2034</v>
          </cell>
          <cell r="AB6">
            <v>2035</v>
          </cell>
          <cell r="AC6">
            <v>2036</v>
          </cell>
          <cell r="AD6">
            <v>2037</v>
          </cell>
          <cell r="AE6">
            <v>2038</v>
          </cell>
          <cell r="AF6">
            <v>2039</v>
          </cell>
          <cell r="AG6">
            <v>2040</v>
          </cell>
        </row>
        <row r="8">
          <cell r="M8" t="str">
            <v>LAC</v>
          </cell>
          <cell r="N8">
            <v>31.997969993346203</v>
          </cell>
          <cell r="O8">
            <v>32.039062810175608</v>
          </cell>
          <cell r="P8">
            <v>32.079057725043626</v>
          </cell>
          <cell r="Q8">
            <v>32.117938611160028</v>
          </cell>
          <cell r="R8">
            <v>32.15568892393707</v>
          </cell>
          <cell r="S8">
            <v>32.192291687299296</v>
          </cell>
          <cell r="T8">
            <v>32.227729479466248</v>
          </cell>
          <cell r="U8">
            <v>32.261984418183793</v>
          </cell>
          <cell r="V8">
            <v>32.295038145378363</v>
          </cell>
          <cell r="W8">
            <v>32.326871811207042</v>
          </cell>
          <cell r="X8">
            <v>32.35746605747552</v>
          </cell>
          <cell r="Y8">
            <v>32.386801000393902</v>
          </cell>
          <cell r="Z8">
            <v>32.414856212639791</v>
          </cell>
          <cell r="AA8">
            <v>32.441610704695691</v>
          </cell>
          <cell r="AB8">
            <v>32.467042905426887</v>
          </cell>
          <cell r="AC8">
            <v>32.491130641864018</v>
          </cell>
          <cell r="AD8">
            <v>32.513851118152751</v>
          </cell>
          <cell r="AE8">
            <v>32.53518089363169</v>
          </cell>
          <cell r="AF8">
            <v>32.555095859997088</v>
          </cell>
          <cell r="AG8">
            <v>32.573571217511805</v>
          </cell>
        </row>
        <row r="9">
          <cell r="M9" t="str">
            <v>CWANA</v>
          </cell>
          <cell r="N9">
            <v>39.779016636555149</v>
          </cell>
          <cell r="O9">
            <v>39.643680609114753</v>
          </cell>
          <cell r="P9">
            <v>39.506380908463292</v>
          </cell>
          <cell r="Q9">
            <v>39.367094354850529</v>
          </cell>
          <cell r="R9">
            <v>39.225797452353419</v>
          </cell>
          <cell r="S9">
            <v>39.082466386812591</v>
          </cell>
          <cell r="T9">
            <v>38.937077023844417</v>
          </cell>
          <cell r="U9">
            <v>38.789604906939594</v>
          </cell>
          <cell r="V9">
            <v>38.640025255660525</v>
          </cell>
          <cell r="W9">
            <v>38.488312963950222</v>
          </cell>
          <cell r="X9">
            <v>38.334442598567406</v>
          </cell>
          <cell r="Y9">
            <v>38.178388397663184</v>
          </cell>
          <cell r="Z9">
            <v>38.020124269516145</v>
          </cell>
          <cell r="AA9">
            <v>37.859623791444534</v>
          </cell>
          <cell r="AB9">
            <v>37.69686020891541</v>
          </cell>
          <cell r="AC9">
            <v>37.531806434872571</v>
          </cell>
          <cell r="AD9">
            <v>37.364435049306998</v>
          </cell>
          <cell r="AE9">
            <v>37.194718299095641</v>
          </cell>
          <cell r="AF9">
            <v>37.022628098136288</v>
          </cell>
          <cell r="AG9">
            <v>36.848136027809275</v>
          </cell>
        </row>
        <row r="10">
          <cell r="M10" t="str">
            <v>WCA</v>
          </cell>
          <cell r="N10">
            <v>88.509866853767235</v>
          </cell>
          <cell r="O10">
            <v>88.506905907516682</v>
          </cell>
          <cell r="P10">
            <v>88.503894154216354</v>
          </cell>
          <cell r="Q10">
            <v>88.500831127247025</v>
          </cell>
          <cell r="R10">
            <v>88.49771634506611</v>
          </cell>
          <cell r="S10">
            <v>88.494549311019711</v>
          </cell>
          <cell r="T10">
            <v>88.491329513146155</v>
          </cell>
          <cell r="U10">
            <v>88.488056423970917</v>
          </cell>
          <cell r="V10">
            <v>88.484729500292858</v>
          </cell>
          <cell r="W10">
            <v>88.481348182961682</v>
          </cell>
          <cell r="X10">
            <v>88.477911896646276</v>
          </cell>
          <cell r="Y10">
            <v>88.47442004959386</v>
          </cell>
          <cell r="Z10">
            <v>88.470872033379976</v>
          </cell>
          <cell r="AA10">
            <v>88.467267222648758</v>
          </cell>
          <cell r="AB10">
            <v>88.463604974843548</v>
          </cell>
          <cell r="AC10">
            <v>88.459884629927714</v>
          </cell>
          <cell r="AD10">
            <v>88.456105510095327</v>
          </cell>
          <cell r="AE10">
            <v>88.452266919471526</v>
          </cell>
          <cell r="AF10">
            <v>88.44836814380244</v>
          </cell>
          <cell r="AG10">
            <v>88.444408450134276</v>
          </cell>
        </row>
        <row r="11">
          <cell r="M11" t="str">
            <v>ESA</v>
          </cell>
          <cell r="N11">
            <v>87.439470089502706</v>
          </cell>
          <cell r="O11">
            <v>87.438206272418199</v>
          </cell>
          <cell r="P11">
            <v>87.43689952147345</v>
          </cell>
          <cell r="Q11">
            <v>87.435548550266446</v>
          </cell>
          <cell r="R11">
            <v>87.434152019507337</v>
          </cell>
          <cell r="S11">
            <v>87.432708534711367</v>
          </cell>
          <cell r="T11">
            <v>87.431216643780985</v>
          </cell>
          <cell r="U11">
            <v>87.429674834471584</v>
          </cell>
          <cell r="V11">
            <v>87.428081531735046</v>
          </cell>
          <cell r="W11">
            <v>87.426435094934845</v>
          </cell>
          <cell r="X11">
            <v>87.424733814926384</v>
          </cell>
          <cell r="Y11">
            <v>87.422975910995547</v>
          </cell>
          <cell r="Z11">
            <v>87.421159527648513</v>
          </cell>
          <cell r="AA11">
            <v>87.41928273124519</v>
          </cell>
          <cell r="AB11">
            <v>87.417343506468242</v>
          </cell>
          <cell r="AC11">
            <v>87.415339752619502</v>
          </cell>
          <cell r="AD11">
            <v>87.413269279734905</v>
          </cell>
          <cell r="AE11">
            <v>87.411129804508619</v>
          </cell>
          <cell r="AF11">
            <v>87.408918946016826</v>
          </cell>
          <cell r="AG11">
            <v>87.406634221230576</v>
          </cell>
        </row>
        <row r="12">
          <cell r="M12" t="str">
            <v>SA</v>
          </cell>
          <cell r="N12">
            <v>80.974434595048464</v>
          </cell>
          <cell r="O12">
            <v>80.959242803092351</v>
          </cell>
          <cell r="P12">
            <v>80.943388042141493</v>
          </cell>
          <cell r="Q12">
            <v>80.926840343727847</v>
          </cell>
          <cell r="R12">
            <v>80.909568355452805</v>
          </cell>
          <cell r="S12">
            <v>80.891539276056207</v>
          </cell>
          <cell r="T12">
            <v>80.87271878739547</v>
          </cell>
          <cell r="U12">
            <v>80.853070983186115</v>
          </cell>
          <cell r="V12">
            <v>80.832558294348132</v>
          </cell>
          <cell r="W12">
            <v>80.811141410795415</v>
          </cell>
          <cell r="X12">
            <v>80.788779199497441</v>
          </cell>
          <cell r="Y12">
            <v>80.765428618634701</v>
          </cell>
          <cell r="Z12">
            <v>80.741044627660742</v>
          </cell>
          <cell r="AA12">
            <v>80.715580093075289</v>
          </cell>
          <cell r="AB12">
            <v>80.688985689703458</v>
          </cell>
          <cell r="AC12">
            <v>80.661209797267162</v>
          </cell>
          <cell r="AD12">
            <v>80.632198392024776</v>
          </cell>
          <cell r="AE12">
            <v>80.601894933245035</v>
          </cell>
          <cell r="AF12">
            <v>80.570240244270892</v>
          </cell>
          <cell r="AG12">
            <v>80.537172387918261</v>
          </cell>
        </row>
        <row r="13">
          <cell r="M13" t="str">
            <v>SEA</v>
          </cell>
          <cell r="N13">
            <v>29.552820007379527</v>
          </cell>
          <cell r="O13">
            <v>28.453080931793412</v>
          </cell>
          <cell r="P13">
            <v>27.310321404829729</v>
          </cell>
          <cell r="Q13">
            <v>26.12551348313033</v>
          </cell>
          <cell r="R13">
            <v>24.900204498083639</v>
          </cell>
          <cell r="S13">
            <v>23.63660480947399</v>
          </cell>
          <cell r="T13">
            <v>22.337678810268585</v>
          </cell>
          <cell r="U13">
            <v>21.007236195027286</v>
          </cell>
          <cell r="V13">
            <v>19.65001929952161</v>
          </cell>
          <cell r="W13">
            <v>18.271780897959644</v>
          </cell>
          <cell r="X13">
            <v>16.879345241730842</v>
          </cell>
          <cell r="Y13">
            <v>15.480643420645551</v>
          </cell>
          <cell r="Z13">
            <v>14.084712469190334</v>
          </cell>
          <cell r="AA13">
            <v>12.701646254863919</v>
          </cell>
          <cell r="AB13">
            <v>11.342485402175255</v>
          </cell>
          <cell r="AC13">
            <v>10.019033761655447</v>
          </cell>
          <cell r="AD13">
            <v>8.7435907626419773</v>
          </cell>
          <cell r="AE13">
            <v>7.5285929792859632</v>
          </cell>
          <cell r="AF13">
            <v>6.3861649398990448</v>
          </cell>
          <cell r="AG13">
            <v>5.3275889751452086</v>
          </cell>
        </row>
      </sheetData>
      <sheetData sheetId="6">
        <row r="8">
          <cell r="H8" t="str">
            <v>LAC</v>
          </cell>
          <cell r="I8">
            <v>79.453806000000029</v>
          </cell>
          <cell r="J8">
            <v>81.086566054723761</v>
          </cell>
          <cell r="K8">
            <v>82.761199563724261</v>
          </cell>
          <cell r="L8">
            <v>84.478933000031432</v>
          </cell>
          <cell r="M8">
            <v>86.241032775044218</v>
          </cell>
          <cell r="N8">
            <v>88.048806699008438</v>
          </cell>
          <cell r="O8">
            <v>89.903605503022717</v>
          </cell>
          <cell r="P8">
            <v>91.806824425594613</v>
          </cell>
          <cell r="Q8">
            <v>93.75990486693928</v>
          </cell>
          <cell r="R8">
            <v>95.764336114393075</v>
          </cell>
          <cell r="S8">
            <v>97.821657142505401</v>
          </cell>
          <cell r="T8">
            <v>99.933458491576303</v>
          </cell>
          <cell r="U8">
            <v>102.10138422862239</v>
          </cell>
          <cell r="V8">
            <v>104.32713399498354</v>
          </cell>
          <cell r="W8">
            <v>106.61246514502676</v>
          </cell>
          <cell r="X8">
            <v>108.95919498066223</v>
          </cell>
          <cell r="Y8">
            <v>111.36920308666291</v>
          </cell>
          <cell r="Z8">
            <v>113.8444337720708</v>
          </cell>
          <cell r="AA8">
            <v>116.38689862328633</v>
          </cell>
          <cell r="AB8">
            <v>118.9986791747661</v>
          </cell>
        </row>
        <row r="9">
          <cell r="H9" t="str">
            <v>CWANA</v>
          </cell>
          <cell r="I9">
            <v>50.377779000000018</v>
          </cell>
          <cell r="J9">
            <v>51.475883640949675</v>
          </cell>
          <cell r="K9">
            <v>52.60694668056464</v>
          </cell>
          <cell r="L9">
            <v>53.772163611607844</v>
          </cell>
          <cell r="M9">
            <v>54.972780888224577</v>
          </cell>
          <cell r="N9">
            <v>56.210098413985783</v>
          </cell>
          <cell r="O9">
            <v>57.485472164940759</v>
          </cell>
          <cell r="P9">
            <v>58.800316955564412</v>
          </cell>
          <cell r="Q9">
            <v>60.156109355966279</v>
          </cell>
          <cell r="R9">
            <v>61.554390769242069</v>
          </cell>
          <cell r="S9">
            <v>62.996770678393503</v>
          </cell>
          <cell r="T9">
            <v>64.484930072822266</v>
          </cell>
          <cell r="U9">
            <v>66.020625065020141</v>
          </cell>
          <cell r="V9">
            <v>67.605690708732766</v>
          </cell>
          <cell r="W9">
            <v>69.242045030571489</v>
          </cell>
          <cell r="X9">
            <v>70.931693287788633</v>
          </cell>
          <cell r="Y9">
            <v>72.676732465719184</v>
          </cell>
          <cell r="Z9">
            <v>74.479356029230715</v>
          </cell>
          <cell r="AA9">
            <v>76.341858943413598</v>
          </cell>
          <cell r="AB9">
            <v>78.266642979691554</v>
          </cell>
        </row>
        <row r="10">
          <cell r="H10" t="str">
            <v>WCA</v>
          </cell>
          <cell r="I10">
            <v>118.18600999999997</v>
          </cell>
          <cell r="J10">
            <v>122.23843040211432</v>
          </cell>
          <cell r="K10">
            <v>126.45316524656667</v>
          </cell>
          <cell r="L10">
            <v>130.83720375098156</v>
          </cell>
          <cell r="M10">
            <v>135.39784981501148</v>
          </cell>
          <cell r="N10">
            <v>140.14273666406737</v>
          </cell>
          <cell r="O10">
            <v>145.07984219400183</v>
          </cell>
          <cell r="P10">
            <v>150.21750505118411</v>
          </cell>
          <cell r="Q10">
            <v>155.56444148413863</v>
          </cell>
          <cell r="R10">
            <v>161.12976300474412</v>
          </cell>
          <cell r="S10">
            <v>166.92299489890539</v>
          </cell>
          <cell r="T10">
            <v>172.95409562862969</v>
          </cell>
          <cell r="U10">
            <v>179.23347716955743</v>
          </cell>
          <cell r="V10">
            <v>185.77202633022995</v>
          </cell>
          <cell r="W10">
            <v>192.58112710172094</v>
          </cell>
          <cell r="X10">
            <v>199.67268408872843</v>
          </cell>
          <cell r="Y10">
            <v>207.05914707581761</v>
          </cell>
          <cell r="Z10">
            <v>214.75353678523783</v>
          </cell>
          <cell r="AA10">
            <v>222.7694718856078</v>
          </cell>
          <cell r="AB10">
            <v>231.1211973137884</v>
          </cell>
        </row>
        <row r="11">
          <cell r="H11" t="str">
            <v>ESA</v>
          </cell>
          <cell r="I11">
            <v>152.33566000000002</v>
          </cell>
          <cell r="J11">
            <v>158.07421116433346</v>
          </cell>
          <cell r="K11">
            <v>164.07237269379897</v>
          </cell>
          <cell r="L11">
            <v>170.34341970834708</v>
          </cell>
          <cell r="M11">
            <v>176.90137254096749</v>
          </cell>
          <cell r="N11">
            <v>183.76104196085666</v>
          </cell>
          <cell r="O11">
            <v>190.93807732942491</v>
          </cell>
          <cell r="P11">
            <v>198.44901789019178</v>
          </cell>
          <cell r="Q11">
            <v>206.31134740803611</v>
          </cell>
          <cell r="R11">
            <v>214.54355238875252</v>
          </cell>
          <cell r="S11">
            <v>223.16518412650379</v>
          </cell>
          <cell r="T11">
            <v>232.19692484464082</v>
          </cell>
          <cell r="U11">
            <v>241.6606582145759</v>
          </cell>
          <cell r="V11">
            <v>251.57954455804838</v>
          </cell>
          <cell r="W11">
            <v>261.97810106032796</v>
          </cell>
          <cell r="X11">
            <v>272.88228734576751</v>
          </cell>
          <cell r="Y11">
            <v>284.31959679279009</v>
          </cell>
          <cell r="Z11">
            <v>296.31915399299453</v>
          </cell>
          <cell r="AA11">
            <v>308.91181878875346</v>
          </cell>
          <cell r="AB11">
            <v>322.13029735561247</v>
          </cell>
        </row>
        <row r="12">
          <cell r="H12" t="str">
            <v>SA</v>
          </cell>
          <cell r="I12">
            <v>335.11902000000009</v>
          </cell>
          <cell r="J12">
            <v>345.66881990260407</v>
          </cell>
          <cell r="K12">
            <v>356.63814092719883</v>
          </cell>
          <cell r="L12">
            <v>368.04753785339176</v>
          </cell>
          <cell r="M12">
            <v>379.91876723366477</v>
          </cell>
          <cell r="N12">
            <v>392.27486709759944</v>
          </cell>
          <cell r="O12">
            <v>405.1402423684076</v>
          </cell>
          <cell r="P12">
            <v>418.54075641958144</v>
          </cell>
          <cell r="Q12">
            <v>432.50382923231621</v>
          </cell>
          <cell r="R12">
            <v>447.05854264974494</v>
          </cell>
          <cell r="S12">
            <v>462.23575326217548</v>
          </cell>
          <cell r="T12">
            <v>478.06821349863992</v>
          </cell>
          <cell r="U12">
            <v>494.590701544387</v>
          </cell>
          <cell r="V12">
            <v>511.84016075174111</v>
          </cell>
          <cell r="W12">
            <v>529.85584926325362</v>
          </cell>
          <cell r="X12">
            <v>548.67950062161788</v>
          </cell>
          <cell r="Y12">
            <v>568.35549620068832</v>
          </cell>
          <cell r="Z12">
            <v>588.93105035650285</v>
          </cell>
          <cell r="AA12">
            <v>610.45640926681085</v>
          </cell>
          <cell r="AB12">
            <v>632.98506450266382</v>
          </cell>
        </row>
        <row r="13">
          <cell r="H13" t="str">
            <v>SEA</v>
          </cell>
          <cell r="I13">
            <v>430.51747</v>
          </cell>
          <cell r="J13">
            <v>439.33041241842869</v>
          </cell>
          <cell r="K13">
            <v>448.38064327155428</v>
          </cell>
          <cell r="L13">
            <v>457.67536459431091</v>
          </cell>
          <cell r="M13">
            <v>467.22201511279206</v>
          </cell>
          <cell r="N13">
            <v>477.02827850129813</v>
          </cell>
          <cell r="O13">
            <v>487.10209194083677</v>
          </cell>
          <cell r="P13">
            <v>497.45165499047306</v>
          </cell>
          <cell r="Q13">
            <v>508.08543878336332</v>
          </cell>
          <cell r="R13">
            <v>519.01219555976866</v>
          </cell>
          <cell r="S13">
            <v>530.24096854982224</v>
          </cell>
          <cell r="T13">
            <v>541.78110221932002</v>
          </cell>
          <cell r="U13">
            <v>553.64225289232104</v>
          </cell>
          <cell r="V13">
            <v>565.83439976488307</v>
          </cell>
          <cell r="W13">
            <v>578.36785632481349</v>
          </cell>
          <cell r="X13">
            <v>591.25328219290111</v>
          </cell>
          <cell r="Y13">
            <v>604.50169540169111</v>
          </cell>
          <cell r="Z13">
            <v>618.12448512850256</v>
          </cell>
          <cell r="AA13">
            <v>632.13342490002969</v>
          </cell>
          <cell r="AB13">
            <v>646.5406862865575</v>
          </cell>
        </row>
        <row r="32">
          <cell r="H32" t="str">
            <v>LAC</v>
          </cell>
          <cell r="I32">
            <v>39.87713500000001</v>
          </cell>
          <cell r="J32">
            <v>40.696602265354485</v>
          </cell>
          <cell r="K32">
            <v>41.537085432566613</v>
          </cell>
          <cell r="L32">
            <v>42.399200057177985</v>
          </cell>
          <cell r="M32">
            <v>43.283581739430616</v>
          </cell>
          <cell r="N32">
            <v>44.190886857267287</v>
          </cell>
          <cell r="O32">
            <v>45.121793330212284</v>
          </cell>
          <cell r="P32">
            <v>46.077001415649413</v>
          </cell>
          <cell r="Q32">
            <v>47.057234539099298</v>
          </cell>
          <cell r="R32">
            <v>48.063240160188528</v>
          </cell>
          <cell r="S32">
            <v>49.095790676099298</v>
          </cell>
          <cell r="T32">
            <v>50.155684364390105</v>
          </cell>
          <cell r="U32">
            <v>51.243746367186574</v>
          </cell>
          <cell r="V32">
            <v>52.360829718856365</v>
          </cell>
          <cell r="W32">
            <v>53.507816419405103</v>
          </cell>
          <cell r="X32">
            <v>54.685618555959309</v>
          </cell>
          <cell r="Y32">
            <v>55.895179474841946</v>
          </cell>
          <cell r="Z32">
            <v>57.137475006891762</v>
          </cell>
          <cell r="AA32">
            <v>58.413514748835354</v>
          </cell>
          <cell r="AB32">
            <v>59.724343403685864</v>
          </cell>
        </row>
        <row r="33">
          <cell r="H33" t="str">
            <v>CWANA</v>
          </cell>
          <cell r="I33">
            <v>31.03291200000001</v>
          </cell>
          <cell r="J33">
            <v>31.709348821269604</v>
          </cell>
          <cell r="K33">
            <v>32.406088147050994</v>
          </cell>
          <cell r="L33">
            <v>33.123866405635468</v>
          </cell>
          <cell r="M33">
            <v>33.863451417728342</v>
          </cell>
          <cell r="N33">
            <v>34.625643929093428</v>
          </cell>
          <cell r="O33">
            <v>35.411279226363988</v>
          </cell>
          <cell r="P33">
            <v>36.22122884087721</v>
          </cell>
          <cell r="Q33">
            <v>37.05640234568655</v>
          </cell>
          <cell r="R33">
            <v>37.917749251222475</v>
          </cell>
          <cell r="S33">
            <v>38.806261005408075</v>
          </cell>
          <cell r="T33">
            <v>39.72297310439285</v>
          </cell>
          <cell r="U33">
            <v>40.668967320448246</v>
          </cell>
          <cell r="V33">
            <v>41.645374053971722</v>
          </cell>
          <cell r="W33">
            <v>42.653374816975607</v>
          </cell>
          <cell r="X33">
            <v>43.694204855893609</v>
          </cell>
          <cell r="Y33">
            <v>44.769155922022804</v>
          </cell>
          <cell r="Z33">
            <v>45.879579198435607</v>
          </cell>
          <cell r="AA33">
            <v>47.026888392744873</v>
          </cell>
          <cell r="AB33">
            <v>48.212563005689191</v>
          </cell>
        </row>
        <row r="34">
          <cell r="H34" t="str">
            <v>WCA</v>
          </cell>
          <cell r="I34">
            <v>87.403205999999997</v>
          </cell>
          <cell r="J34">
            <v>90.400130383897917</v>
          </cell>
          <cell r="K34">
            <v>93.517092686331551</v>
          </cell>
          <cell r="L34">
            <v>96.759261708818272</v>
          </cell>
          <cell r="M34">
            <v>100.13203897262046</v>
          </cell>
          <cell r="N34">
            <v>103.64106954836053</v>
          </cell>
          <cell r="O34">
            <v>107.29225340401825</v>
          </cell>
          <cell r="P34">
            <v>111.09175729677888</v>
          </cell>
          <cell r="Q34">
            <v>115.04602723548342</v>
          </cell>
          <cell r="R34">
            <v>119.16180154178005</v>
          </cell>
          <cell r="S34">
            <v>123.44612453949483</v>
          </cell>
          <cell r="T34">
            <v>127.90636090323059</v>
          </cell>
          <cell r="U34">
            <v>132.55021069877162</v>
          </cell>
          <cell r="V34">
            <v>137.38572514952074</v>
          </cell>
          <cell r="W34">
            <v>142.42132316493215</v>
          </cell>
          <cell r="X34">
            <v>147.6658086687253</v>
          </cell>
          <cell r="Y34">
            <v>153.12838876658907</v>
          </cell>
          <cell r="Z34">
            <v>158.81869279510084</v>
          </cell>
          <cell r="AA34">
            <v>164.7467922957124</v>
          </cell>
          <cell r="AB34">
            <v>170.92322195988925</v>
          </cell>
        </row>
        <row r="35">
          <cell r="H35" t="str">
            <v>ESA</v>
          </cell>
          <cell r="I35">
            <v>130.63965000000002</v>
          </cell>
          <cell r="J35">
            <v>135.56090294639233</v>
          </cell>
          <cell r="K35">
            <v>140.70479192716564</v>
          </cell>
          <cell r="L35">
            <v>146.0827013878534</v>
          </cell>
          <cell r="M35">
            <v>151.70665485199987</v>
          </cell>
          <cell r="N35">
            <v>157.58935370353618</v>
          </cell>
          <cell r="O35">
            <v>163.74421848429319</v>
          </cell>
          <cell r="P35">
            <v>170.18543287906712</v>
          </cell>
          <cell r="Q35">
            <v>176.9279905730165</v>
          </cell>
          <cell r="R35">
            <v>183.98774517944975</v>
          </cell>
          <cell r="S35">
            <v>191.38146345033073</v>
          </cell>
          <cell r="T35">
            <v>199.12688199716456</v>
          </cell>
          <cell r="U35">
            <v>207.24276776640357</v>
          </cell>
          <cell r="V35">
            <v>215.74898253122643</v>
          </cell>
          <cell r="W35">
            <v>224.66655168058401</v>
          </cell>
          <cell r="X35">
            <v>234.01773760687746</v>
          </cell>
          <cell r="Y35">
            <v>243.82611801564533</v>
          </cell>
          <cell r="Z35">
            <v>254.11666950430984</v>
          </cell>
          <cell r="AA35">
            <v>264.91585678249055</v>
          </cell>
          <cell r="AB35">
            <v>276.25172793378215</v>
          </cell>
        </row>
        <row r="36">
          <cell r="H36" t="str">
            <v>SA</v>
          </cell>
          <cell r="I36">
            <v>269.06188000000009</v>
          </cell>
          <cell r="J36">
            <v>277.53215123503298</v>
          </cell>
          <cell r="K36">
            <v>286.33924949284307</v>
          </cell>
          <cell r="L36">
            <v>295.49967788818657</v>
          </cell>
          <cell r="M36">
            <v>305.03090442068083</v>
          </cell>
          <cell r="N36">
            <v>314.95142596809416</v>
          </cell>
          <cell r="O36">
            <v>325.2808368659571</v>
          </cell>
          <cell r="P36">
            <v>336.03990241698204</v>
          </cell>
          <cell r="Q36">
            <v>347.25063770014003</v>
          </cell>
          <cell r="R36">
            <v>358.93639207765807</v>
          </cell>
          <cell r="S36">
            <v>371.12193982883178</v>
          </cell>
          <cell r="T36">
            <v>383.83357737255687</v>
          </cell>
          <cell r="U36">
            <v>397.09922757607637</v>
          </cell>
          <cell r="V36">
            <v>410.94855168580307</v>
          </cell>
          <cell r="W36">
            <v>425.4130694574352</v>
          </cell>
          <cell r="X36">
            <v>440.52628810717351</v>
          </cell>
          <cell r="Y36">
            <v>456.32384075392099</v>
          </cell>
          <cell r="Z36">
            <v>472.84363507417561</v>
          </cell>
          <cell r="AA36">
            <v>490.12601294721367</v>
          </cell>
          <cell r="AB36">
            <v>508.21392192841813</v>
          </cell>
        </row>
        <row r="37">
          <cell r="H37" t="str">
            <v>SEA</v>
          </cell>
          <cell r="I37">
            <v>284.72257000000002</v>
          </cell>
          <cell r="J37">
            <v>290.55100621801699</v>
          </cell>
          <cell r="K37">
            <v>296.53637305480339</v>
          </cell>
          <cell r="L37">
            <v>302.68343357350676</v>
          </cell>
          <cell r="M37">
            <v>308.99710737288541</v>
          </cell>
          <cell r="N37">
            <v>315.48247604810399</v>
          </cell>
          <cell r="O37">
            <v>322.14478885089454</v>
          </cell>
          <cell r="P37">
            <v>328.98946855662052</v>
          </cell>
          <cell r="Q37">
            <v>336.02211754607043</v>
          </cell>
          <cell r="R37">
            <v>343.24852411011312</v>
          </cell>
          <cell r="S37">
            <v>350.67466898566175</v>
          </cell>
          <cell r="T37">
            <v>358.30673213172389</v>
          </cell>
          <cell r="U37">
            <v>366.15109975465475</v>
          </cell>
          <cell r="V37">
            <v>374.21437159208631</v>
          </cell>
          <cell r="W37">
            <v>382.50336846537647</v>
          </cell>
          <cell r="X37">
            <v>391.02514011080206</v>
          </cell>
          <cell r="Y37">
            <v>399.78697330012341</v>
          </cell>
          <cell r="Z37">
            <v>408.79640026155965</v>
          </cell>
          <cell r="AA37">
            <v>418.06120741264795</v>
          </cell>
          <cell r="AB37">
            <v>427.58944441690699</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7">
          <cell r="M7" t="str">
            <v>LAC</v>
          </cell>
          <cell r="N7">
            <v>1062.1580331999901</v>
          </cell>
          <cell r="O7">
            <v>1066.28860098679</v>
          </cell>
          <cell r="P7">
            <v>1070.46887931063</v>
          </cell>
          <cell r="Q7">
            <v>1074.6999178165199</v>
          </cell>
          <cell r="R7">
            <v>1078.9827968055399</v>
          </cell>
          <cell r="S7">
            <v>1083.3186281891701</v>
          </cell>
          <cell r="T7">
            <v>1087.7085564742599</v>
          </cell>
          <cell r="U7">
            <v>1092.1537597798399</v>
          </cell>
          <cell r="V7">
            <v>1096.6554508865599</v>
          </cell>
          <cell r="W7">
            <v>1101.2148783201701</v>
          </cell>
          <cell r="X7">
            <v>1105.83332746976</v>
          </cell>
          <cell r="Y7">
            <v>1110.51212174227</v>
          </cell>
          <cell r="Z7">
            <v>1115.2526237541599</v>
          </cell>
          <cell r="AA7">
            <v>1120.05623656168</v>
          </cell>
          <cell r="AB7">
            <v>1124.9244049309</v>
          </cell>
          <cell r="AC7">
            <v>1129.8586166487501</v>
          </cell>
          <cell r="AD7">
            <v>1134.86040387663</v>
          </cell>
          <cell r="AE7">
            <v>1139.9313445477201</v>
          </cell>
          <cell r="AF7">
            <v>1145.07306380962</v>
          </cell>
          <cell r="AG7">
            <v>1150.2872355137299</v>
          </cell>
        </row>
        <row r="8">
          <cell r="M8" t="str">
            <v>CWANA</v>
          </cell>
          <cell r="N8">
            <v>267.73907960000003</v>
          </cell>
          <cell r="O8">
            <v>273.34463420968098</v>
          </cell>
          <cell r="P8">
            <v>279.09723013930602</v>
          </cell>
          <cell r="Q8">
            <v>285.00085062601102</v>
          </cell>
          <cell r="R8">
            <v>291.05959129262402</v>
          </cell>
          <cell r="S8">
            <v>297.27766337903603</v>
          </cell>
          <cell r="T8">
            <v>303.65939706781103</v>
          </cell>
          <cell r="U8">
            <v>310.20924490681602</v>
          </cell>
          <cell r="V8">
            <v>316.93178533171903</v>
          </cell>
          <cell r="W8">
            <v>323.83172629131099</v>
          </cell>
          <cell r="X8">
            <v>330.91390897866398</v>
          </cell>
          <cell r="Y8">
            <v>338.18331167126303</v>
          </cell>
          <cell r="Z8">
            <v>345.64505368330299</v>
          </cell>
          <cell r="AA8">
            <v>353.30439943348</v>
          </cell>
          <cell r="AB8">
            <v>361.16676263165903</v>
          </cell>
          <cell r="AC8">
            <v>369.23771058794301</v>
          </cell>
          <cell r="AD8">
            <v>377.52296864774598</v>
          </cell>
          <cell r="AE8">
            <v>386.028424756589</v>
          </cell>
          <cell r="AF8">
            <v>394.76013415844199</v>
          </cell>
          <cell r="AG8">
            <v>403.72432423157198</v>
          </cell>
        </row>
        <row r="9">
          <cell r="M9" t="str">
            <v>WCA</v>
          </cell>
          <cell r="N9">
            <v>354.39023769999898</v>
          </cell>
          <cell r="O9">
            <v>363.35389500703599</v>
          </cell>
          <cell r="P9">
            <v>372.57065881653199</v>
          </cell>
          <cell r="Q9">
            <v>382.04803712420397</v>
          </cell>
          <cell r="R9">
            <v>391.79377206257402</v>
          </cell>
          <cell r="S9">
            <v>401.81584761893498</v>
          </cell>
          <cell r="T9">
            <v>412.12249762273399</v>
          </cell>
          <cell r="U9">
            <v>422.72221401228501</v>
          </cell>
          <cell r="V9">
            <v>433.62375539113401</v>
          </cell>
          <cell r="W9">
            <v>444.83615588478801</v>
          </cell>
          <cell r="X9">
            <v>456.36873430891598</v>
          </cell>
          <cell r="Y9">
            <v>468.23110366059802</v>
          </cell>
          <cell r="Z9">
            <v>480.43318094461603</v>
          </cell>
          <cell r="AA9">
            <v>492.98519734726</v>
          </cell>
          <cell r="AB9">
            <v>505.89770877060801</v>
          </cell>
          <cell r="AC9">
            <v>519.18160674074397</v>
          </cell>
          <cell r="AD9">
            <v>532.84812970390499</v>
          </cell>
          <cell r="AE9">
            <v>546.90887472508905</v>
          </cell>
          <cell r="AF9">
            <v>561.37580960423804</v>
          </cell>
          <cell r="AG9">
            <v>576.26128542568199</v>
          </cell>
        </row>
        <row r="10">
          <cell r="M10" t="str">
            <v>ESA</v>
          </cell>
          <cell r="N10">
            <v>505.23433779999903</v>
          </cell>
          <cell r="O10">
            <v>525.74193172002697</v>
          </cell>
          <cell r="P10">
            <v>547.25019877286104</v>
          </cell>
          <cell r="Q10">
            <v>569.81421939826498</v>
          </cell>
          <cell r="R10">
            <v>593.49231856741903</v>
          </cell>
          <cell r="S10">
            <v>618.34626353935198</v>
          </cell>
          <cell r="T10">
            <v>644.441473877102</v>
          </cell>
          <cell r="U10">
            <v>671.847244490614</v>
          </cell>
          <cell r="V10">
            <v>700.63698252167205</v>
          </cell>
          <cell r="W10">
            <v>730.88845893742098</v>
          </cell>
          <cell r="X10">
            <v>762.684075753667</v>
          </cell>
          <cell r="Y10">
            <v>796.11114986711004</v>
          </cell>
          <cell r="Z10">
            <v>831.262214537354</v>
          </cell>
          <cell r="AA10">
            <v>868.23533962514296</v>
          </cell>
          <cell r="AB10">
            <v>907.13447176298496</v>
          </cell>
          <cell r="AC10">
            <v>948.06979570850694</v>
          </cell>
          <cell r="AD10">
            <v>991.158118209696</v>
          </cell>
          <cell r="AE10">
            <v>1036.52327579506</v>
          </cell>
          <cell r="AF10">
            <v>1084.29656799091</v>
          </cell>
          <cell r="AG10">
            <v>1134.61721756263</v>
          </cell>
        </row>
        <row r="11">
          <cell r="M11" t="str">
            <v>SA</v>
          </cell>
          <cell r="N11">
            <v>1147.9064971</v>
          </cell>
          <cell r="O11">
            <v>1173.4687375036799</v>
          </cell>
          <cell r="P11">
            <v>1199.89171130677</v>
          </cell>
          <cell r="Q11">
            <v>1227.21236255293</v>
          </cell>
          <cell r="R11">
            <v>1255.4694063147499</v>
          </cell>
          <cell r="S11">
            <v>1284.70341765221</v>
          </cell>
          <cell r="T11">
            <v>1314.9569251303001</v>
          </cell>
          <cell r="U11">
            <v>1346.2745091316999</v>
          </cell>
          <cell r="V11">
            <v>1378.7029052123901</v>
          </cell>
          <cell r="W11">
            <v>1412.2911127612499</v>
          </cell>
          <cell r="X11">
            <v>1447.0905092381299</v>
          </cell>
          <cell r="Y11">
            <v>1483.1549702790701</v>
          </cell>
          <cell r="Z11">
            <v>1520.54099597247</v>
          </cell>
          <cell r="AA11">
            <v>1559.3078436257399</v>
          </cell>
          <cell r="AB11">
            <v>1599.5176673585499</v>
          </cell>
          <cell r="AC11">
            <v>1641.23566487639</v>
          </cell>
          <cell r="AD11">
            <v>1684.5302317963201</v>
          </cell>
          <cell r="AE11">
            <v>1729.47312391631</v>
          </cell>
          <cell r="AF11">
            <v>1776.13962783989</v>
          </cell>
          <cell r="AG11">
            <v>1824.60874038919</v>
          </cell>
        </row>
        <row r="12">
          <cell r="M12" t="str">
            <v>SEA</v>
          </cell>
          <cell r="N12">
            <v>1143.6131478</v>
          </cell>
          <cell r="O12">
            <v>1149.66145638643</v>
          </cell>
          <cell r="P12">
            <v>1155.8696368969599</v>
          </cell>
          <cell r="Q12">
            <v>1162.2410301637799</v>
          </cell>
          <cell r="R12">
            <v>1168.7790565616399</v>
          </cell>
          <cell r="S12">
            <v>1175.4872179783199</v>
          </cell>
          <cell r="T12">
            <v>1182.36909983552</v>
          </cell>
          <cell r="U12">
            <v>1189.42837316143</v>
          </cell>
          <cell r="V12">
            <v>1196.66879671641</v>
          </cell>
          <cell r="W12">
            <v>1204.0942191730101</v>
          </cell>
          <cell r="X12">
            <v>1211.7085813518399</v>
          </cell>
          <cell r="Y12">
            <v>1219.51591851483</v>
          </cell>
          <cell r="Z12">
            <v>1227.52036271717</v>
          </cell>
          <cell r="AA12">
            <v>1235.7261452196201</v>
          </cell>
          <cell r="AB12">
            <v>1244.13759896277</v>
          </cell>
          <cell r="AC12">
            <v>1252.7591611047401</v>
          </cell>
          <cell r="AD12">
            <v>1261.5953756240999</v>
          </cell>
          <cell r="AE12">
            <v>1270.6508959896801</v>
          </cell>
          <cell r="AF12">
            <v>1279.9304878989201</v>
          </cell>
          <cell r="AG12">
            <v>1289.4390320867899</v>
          </cell>
        </row>
      </sheetData>
      <sheetData sheetId="22"/>
      <sheetData sheetId="2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ad1"/>
      <sheetName val="Blad2"/>
      <sheetName val="Blad3"/>
    </sheetNames>
    <sheetDataSet>
      <sheetData sheetId="0">
        <row r="1">
          <cell r="B1" t="str">
            <v>Women not meeting minimum dietary diversity (%)</v>
          </cell>
        </row>
        <row r="2">
          <cell r="B2">
            <v>0.15920000000000001</v>
          </cell>
          <cell r="C2">
            <v>2.7234000000000001E-2</v>
          </cell>
        </row>
        <row r="3">
          <cell r="B3">
            <v>0.15920000000000001</v>
          </cell>
          <cell r="C3">
            <v>8.5998000000000005E-2</v>
          </cell>
        </row>
        <row r="4">
          <cell r="B4">
            <v>0.1966</v>
          </cell>
          <cell r="C4">
            <v>3.8126E-2</v>
          </cell>
        </row>
        <row r="5">
          <cell r="B5">
            <v>0.223</v>
          </cell>
          <cell r="C5">
            <v>8.0637E-2</v>
          </cell>
        </row>
        <row r="6">
          <cell r="B6">
            <v>0.28190000000000004</v>
          </cell>
          <cell r="C6">
            <v>0.12470000000000001</v>
          </cell>
        </row>
        <row r="7">
          <cell r="B7">
            <v>0.52100000000000002</v>
          </cell>
          <cell r="C7">
            <v>0.2064</v>
          </cell>
        </row>
        <row r="8">
          <cell r="B8">
            <v>0.52349999999999997</v>
          </cell>
          <cell r="C8">
            <v>0.19670000000000001</v>
          </cell>
        </row>
        <row r="9">
          <cell r="B9">
            <v>0.5514</v>
          </cell>
          <cell r="C9">
            <v>0.2402</v>
          </cell>
        </row>
        <row r="11">
          <cell r="B11" t="str">
            <v>Population without access to a healthy diet (%)</v>
          </cell>
        </row>
        <row r="12">
          <cell r="B12">
            <v>4.4900000000000002E-2</v>
          </cell>
          <cell r="C12">
            <v>2.7234000000000001E-2</v>
          </cell>
        </row>
        <row r="13">
          <cell r="B13">
            <v>6.0999999999999999E-2</v>
          </cell>
          <cell r="C13">
            <v>3.8126E-2</v>
          </cell>
        </row>
        <row r="14">
          <cell r="B14">
            <v>0.21420000000000003</v>
          </cell>
          <cell r="C14">
            <v>8.5998000000000005E-2</v>
          </cell>
        </row>
        <row r="15">
          <cell r="B15">
            <v>0.27589999999999998</v>
          </cell>
          <cell r="C15">
            <v>8.0637E-2</v>
          </cell>
        </row>
        <row r="16">
          <cell r="B16">
            <v>0.28720000000000001</v>
          </cell>
          <cell r="C16">
            <v>0.12470000000000001</v>
          </cell>
        </row>
        <row r="17">
          <cell r="B17">
            <v>0.54600000000000004</v>
          </cell>
          <cell r="C17">
            <v>0.2402</v>
          </cell>
        </row>
        <row r="18">
          <cell r="B18">
            <v>0.71530000000000005</v>
          </cell>
          <cell r="C18">
            <v>0.19670000000000001</v>
          </cell>
        </row>
        <row r="19">
          <cell r="B19">
            <v>0.72889999999999999</v>
          </cell>
          <cell r="C19">
            <v>0.2064</v>
          </cell>
        </row>
      </sheetData>
      <sheetData sheetId="1"/>
      <sheetData sheetId="2"/>
    </sheetDataSet>
  </externalBook>
</externalLink>
</file>

<file path=xl/persons/person.xml><?xml version="1.0" encoding="utf-8"?>
<personList xmlns="http://schemas.microsoft.com/office/spreadsheetml/2018/threadedcomments" xmlns:x="http://schemas.openxmlformats.org/spreadsheetml/2006/main">
  <person displayName="CHAMBERLIN, Jordan (CIMMYT-Kenya)" id="{C67CF68B-20E5-40EF-990A-B72AC2610383}" userId="S::J.CHAMBERLIN@CIMMYT.ORG::f4f9a125-f573-4037-b1ad-bfe611df78b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38" dT="2025-03-20T13:30:13.91" personId="{C67CF68B-20E5-40EF-990A-B72AC2610383}" id="{E01DBFE4-C931-426F-9B35-547B91B273EC}">
    <text>Weights computed as the share of total</text>
  </threadedComment>
</ThreadedComments>
</file>

<file path=xl/threadedComments/threadedComment2.xml><?xml version="1.0" encoding="utf-8"?>
<ThreadedComments xmlns="http://schemas.microsoft.com/office/spreadsheetml/2018/threadedcomments" xmlns:x="http://schemas.openxmlformats.org/spreadsheetml/2006/main">
  <threadedComment ref="C18" dT="2025-03-20T13:07:01.34" personId="{C67CF68B-20E5-40EF-990A-B72AC2610383}" id="{E7EB608B-D90F-4875-B6B0-92AE1F251684}">
    <text>Here I’ve rescaled to 0-1 range, based on my understand of the original index range, and inverted indices where low scores were better, so that now high scores are always better</text>
  </threadedComment>
</ThreadedComments>
</file>

<file path=xl/worksheets/_rels/sheet1.xml.rels><?xml version="1.0" encoding="UTF-8" standalone="yes"?>
<Relationships xmlns="http://schemas.openxmlformats.org/package/2006/relationships"><Relationship Id="rId2" Type="http://schemas.openxmlformats.org/officeDocument/2006/relationships/hyperlink" Target="../../../../../../:x:/s/CGIARTransitionandInception-Generaldocsandinfo/ETnpiehVTehIjdyZIkBurDwBODBycMqYo7hEEWMxAXmtEQ?e=iYkmcp&amp;wdLOR=c771FC20B-04D5-4545-A9BD-1D4331156AE6" TargetMode="External"/><Relationship Id="rId1" Type="http://schemas.openxmlformats.org/officeDocument/2006/relationships/hyperlink" Target="../../../../../../:x:/r/sites/CGIARTransitionandInception-Generaldocsandinfo/_layouts/15/Doc.aspx?sourcedoc=%7B7FE25874-8508-46C2-84F7-3796818353F4%7D&amp;file=CGIAR%20regions%20and%20countries.xlsx&amp;wdLOR=c040D37B9-B35C-44E5-BA6E-7F77B9270443&amp;action=default&amp;mobileredirect=true"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x:/s/CGIARTransitionandInception-Generaldocsandinfo/ES0wPZ9b6VFBpOBI6M1voBwBTuh_RNQ1Iu8iQhUceODEjA?e=SmqxFU" TargetMode="External"/><Relationship Id="rId1" Type="http://schemas.openxmlformats.org/officeDocument/2006/relationships/hyperlink" Target="../../../../../../:x:/r/sites/CGIARTransitionandInception-Generaldocsandinfo/Shared%20Documents/Inception%20Phase%20templates/Prioritisation%20template%20and%20resources/Projected%20Benefits%20Data%20(Nov%202024)%20-%20With%20Analysis.xlsx?d=w7936eb4a6e9c499ca7a8759f3077695a&amp;csf=1&amp;web=1&amp;e=OJdygz" TargetMode="External"/></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x:/s/CGIARTransitionandInception-Generaldocsandinfo/EUrrNnmcbpxJp6h1nzB3aVoB2rjCi2V55kl0yLoR5PVrqA" TargetMode="External"/><Relationship Id="rId4" Type="http://schemas.microsoft.com/office/2017/10/relationships/threadedComment" Target="../threadedComments/threadedComment1.x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47201-318D-46DD-96B4-A3ECF46B5B59}">
  <dimension ref="A1:F16"/>
  <sheetViews>
    <sheetView tabSelected="1" workbookViewId="0">
      <selection activeCell="A7" sqref="A7"/>
    </sheetView>
  </sheetViews>
  <sheetFormatPr defaultRowHeight="15"/>
  <cols>
    <col min="1" max="1" width="30.5703125" customWidth="1"/>
    <col min="2" max="6" width="27.42578125" customWidth="1"/>
  </cols>
  <sheetData>
    <row r="1" spans="1:6">
      <c r="A1" s="34" t="s">
        <v>0</v>
      </c>
      <c r="B1" s="33"/>
      <c r="C1" s="33"/>
      <c r="D1" s="33"/>
      <c r="E1" s="33"/>
      <c r="F1" s="33"/>
    </row>
    <row r="2" spans="1:6">
      <c r="A2" s="35" t="s">
        <v>1</v>
      </c>
      <c r="B2" t="s">
        <v>2</v>
      </c>
    </row>
    <row r="3" spans="1:6" ht="15.75" thickBot="1">
      <c r="A3" s="35" t="s">
        <v>3</v>
      </c>
      <c r="B3" t="s">
        <v>4</v>
      </c>
    </row>
    <row r="4" spans="1:6" ht="15.75" thickBot="1">
      <c r="A4" s="6" t="s">
        <v>5</v>
      </c>
      <c r="B4" s="7" t="s">
        <v>6</v>
      </c>
      <c r="C4" s="7" t="s">
        <v>7</v>
      </c>
      <c r="D4" s="7" t="s">
        <v>8</v>
      </c>
      <c r="E4" s="7" t="s">
        <v>9</v>
      </c>
      <c r="F4" s="8" t="s">
        <v>10</v>
      </c>
    </row>
    <row r="5" spans="1:6">
      <c r="A5" s="80" t="s">
        <v>11</v>
      </c>
      <c r="B5" s="80"/>
      <c r="C5" s="80" t="s">
        <v>12</v>
      </c>
      <c r="D5" s="80" t="s">
        <v>13</v>
      </c>
      <c r="E5" s="80" t="s">
        <v>14</v>
      </c>
      <c r="F5" s="80" t="s">
        <v>15</v>
      </c>
    </row>
    <row r="6" spans="1:6">
      <c r="A6" s="80" t="s">
        <v>16</v>
      </c>
      <c r="B6" s="80"/>
      <c r="C6" s="80" t="s">
        <v>17</v>
      </c>
      <c r="D6" s="80" t="s">
        <v>18</v>
      </c>
      <c r="E6" s="80" t="s">
        <v>19</v>
      </c>
      <c r="F6" s="80" t="s">
        <v>20</v>
      </c>
    </row>
    <row r="7" spans="1:6">
      <c r="A7" s="80"/>
      <c r="B7" s="80"/>
      <c r="C7" s="80" t="s">
        <v>21</v>
      </c>
      <c r="D7" s="80" t="s">
        <v>22</v>
      </c>
      <c r="E7" s="80" t="s">
        <v>23</v>
      </c>
      <c r="F7" s="80"/>
    </row>
    <row r="8" spans="1:6">
      <c r="B8" s="80"/>
      <c r="D8" s="80" t="s">
        <v>24</v>
      </c>
      <c r="E8" s="80"/>
      <c r="F8" s="80"/>
    </row>
    <row r="9" spans="1:6">
      <c r="A9" s="80"/>
      <c r="B9" s="80"/>
      <c r="C9" s="80"/>
      <c r="D9" s="80" t="s">
        <v>25</v>
      </c>
      <c r="E9" s="80"/>
      <c r="F9" s="80"/>
    </row>
    <row r="10" spans="1:6">
      <c r="A10" s="80"/>
      <c r="B10" s="80"/>
      <c r="C10" s="80"/>
      <c r="D10" s="80"/>
      <c r="E10" s="80"/>
      <c r="F10" s="80"/>
    </row>
    <row r="11" spans="1:6">
      <c r="B11" s="80"/>
      <c r="C11" s="80"/>
      <c r="D11" s="80"/>
      <c r="F11" s="80"/>
    </row>
    <row r="12" spans="1:6">
      <c r="A12" s="80"/>
      <c r="B12" s="80"/>
      <c r="C12" s="80"/>
      <c r="D12" s="80"/>
      <c r="E12" s="80"/>
      <c r="F12" s="80"/>
    </row>
    <row r="13" spans="1:6">
      <c r="A13" s="80"/>
      <c r="B13" s="80"/>
      <c r="C13" s="80"/>
      <c r="D13" s="80"/>
      <c r="E13" s="80"/>
    </row>
    <row r="14" spans="1:6">
      <c r="A14" s="80"/>
      <c r="B14" s="80"/>
      <c r="C14" s="80"/>
      <c r="D14" s="80"/>
      <c r="E14" s="80"/>
      <c r="F14" s="80"/>
    </row>
    <row r="15" spans="1:6">
      <c r="A15" s="80"/>
      <c r="B15" s="80"/>
      <c r="C15" s="80"/>
      <c r="D15" s="80"/>
      <c r="E15" s="80"/>
      <c r="F15" s="80"/>
    </row>
    <row r="16" spans="1:6">
      <c r="A16" s="80"/>
      <c r="B16" s="80"/>
      <c r="C16" s="80"/>
      <c r="E16" s="80"/>
      <c r="F16" s="80"/>
    </row>
  </sheetData>
  <hyperlinks>
    <hyperlink ref="A2" r:id="rId1" xr:uid="{6E0E5D7A-F6BE-4233-9F96-607E3556250F}"/>
    <hyperlink ref="A3" r:id="rId2" xr:uid="{410B08CA-0672-4646-9CF6-5662F4F9E08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9A1ED-9423-4927-9BCA-89EFFFA584F4}">
  <dimension ref="A2:D29"/>
  <sheetViews>
    <sheetView zoomScale="90" zoomScaleNormal="90" workbookViewId="0">
      <pane xSplit="3" ySplit="7" topLeftCell="D17" activePane="bottomRight" state="frozen"/>
      <selection pane="bottomRight" activeCell="D23" sqref="D23"/>
      <selection pane="bottomLeft" activeCell="A8" sqref="A8"/>
      <selection pane="topRight" activeCell="D1" sqref="D1"/>
    </sheetView>
  </sheetViews>
  <sheetFormatPr defaultRowHeight="15"/>
  <cols>
    <col min="1" max="1" width="10" bestFit="1" customWidth="1"/>
    <col min="4" max="4" width="235.42578125" bestFit="1" customWidth="1"/>
  </cols>
  <sheetData>
    <row r="2" spans="1:4">
      <c r="A2" s="9" t="s">
        <v>26</v>
      </c>
      <c r="B2" s="2">
        <v>5</v>
      </c>
      <c r="C2" s="14"/>
    </row>
    <row r="3" spans="1:4">
      <c r="A3" s="10" t="s">
        <v>27</v>
      </c>
      <c r="B3" s="3">
        <v>4</v>
      </c>
      <c r="C3" s="14"/>
    </row>
    <row r="4" spans="1:4">
      <c r="A4" s="11" t="s">
        <v>28</v>
      </c>
      <c r="B4" s="3">
        <v>3</v>
      </c>
      <c r="C4" s="14"/>
    </row>
    <row r="5" spans="1:4">
      <c r="A5" s="12" t="s">
        <v>29</v>
      </c>
      <c r="B5" s="3">
        <v>2</v>
      </c>
      <c r="C5" s="14"/>
    </row>
    <row r="6" spans="1:4" ht="15.75" thickBot="1">
      <c r="A6" s="13" t="s">
        <v>30</v>
      </c>
      <c r="B6" s="4">
        <v>1</v>
      </c>
      <c r="C6" s="14"/>
    </row>
    <row r="7" spans="1:4">
      <c r="C7" s="16" t="s">
        <v>31</v>
      </c>
      <c r="D7" s="17" t="s">
        <v>32</v>
      </c>
    </row>
    <row r="8" spans="1:4">
      <c r="A8" t="s">
        <v>33</v>
      </c>
      <c r="B8" s="1">
        <f>COUNTA(D8:D29)</f>
        <v>22</v>
      </c>
      <c r="C8" s="18">
        <v>1</v>
      </c>
      <c r="D8" s="26" t="s">
        <v>34</v>
      </c>
    </row>
    <row r="9" spans="1:4">
      <c r="A9" t="s">
        <v>35</v>
      </c>
      <c r="B9">
        <f>_xlfn.FLOOR.MATH(B8/5)</f>
        <v>4</v>
      </c>
      <c r="C9" s="15">
        <v>2</v>
      </c>
      <c r="D9" s="26" t="s">
        <v>36</v>
      </c>
    </row>
    <row r="10" spans="1:4">
      <c r="A10" t="s">
        <v>37</v>
      </c>
      <c r="B10">
        <f>MOD(B8,5)</f>
        <v>2</v>
      </c>
      <c r="C10" s="15">
        <v>3</v>
      </c>
      <c r="D10" s="26" t="s">
        <v>38</v>
      </c>
    </row>
    <row r="11" spans="1:4">
      <c r="A11" t="s">
        <v>39</v>
      </c>
      <c r="B11" s="1">
        <f ca="1">(B9*SUM($B$2:$B$6))+SUM(B2:INDEX(B:B, $B$10+1))</f>
        <v>69</v>
      </c>
      <c r="C11" s="15">
        <v>4</v>
      </c>
      <c r="D11" s="26" t="s">
        <v>40</v>
      </c>
    </row>
    <row r="12" spans="1:4">
      <c r="C12" s="15">
        <v>5</v>
      </c>
      <c r="D12" s="26" t="s">
        <v>41</v>
      </c>
    </row>
    <row r="13" spans="1:4">
      <c r="C13" s="15">
        <v>6</v>
      </c>
      <c r="D13" s="26" t="s">
        <v>42</v>
      </c>
    </row>
    <row r="14" spans="1:4">
      <c r="C14" s="15">
        <v>7</v>
      </c>
      <c r="D14" s="26" t="s">
        <v>43</v>
      </c>
    </row>
    <row r="15" spans="1:4">
      <c r="C15" s="15">
        <v>8</v>
      </c>
      <c r="D15" s="26" t="s">
        <v>44</v>
      </c>
    </row>
    <row r="16" spans="1:4">
      <c r="C16" s="15">
        <v>9</v>
      </c>
      <c r="D16" s="26" t="s">
        <v>45</v>
      </c>
    </row>
    <row r="17" spans="3:4">
      <c r="C17" s="15">
        <v>10</v>
      </c>
      <c r="D17" s="26" t="s">
        <v>46</v>
      </c>
    </row>
    <row r="18" spans="3:4">
      <c r="C18" s="15">
        <v>11</v>
      </c>
      <c r="D18" s="74" t="s">
        <v>47</v>
      </c>
    </row>
    <row r="19" spans="3:4">
      <c r="C19" s="15">
        <v>12</v>
      </c>
      <c r="D19" s="26" t="s">
        <v>48</v>
      </c>
    </row>
    <row r="20" spans="3:4">
      <c r="C20" s="15">
        <v>13</v>
      </c>
      <c r="D20" s="74" t="s">
        <v>49</v>
      </c>
    </row>
    <row r="21" spans="3:4">
      <c r="C21" s="15">
        <v>14</v>
      </c>
      <c r="D21" s="26" t="s">
        <v>50</v>
      </c>
    </row>
    <row r="22" spans="3:4">
      <c r="C22" s="15">
        <v>15</v>
      </c>
      <c r="D22" s="26" t="s">
        <v>51</v>
      </c>
    </row>
    <row r="23" spans="3:4">
      <c r="C23" s="15">
        <v>16</v>
      </c>
      <c r="D23" s="26" t="s">
        <v>52</v>
      </c>
    </row>
    <row r="24" spans="3:4">
      <c r="C24" s="15">
        <v>17</v>
      </c>
      <c r="D24" s="26" t="s">
        <v>53</v>
      </c>
    </row>
    <row r="25" spans="3:4">
      <c r="C25" s="15">
        <v>18</v>
      </c>
      <c r="D25" s="25" t="s">
        <v>54</v>
      </c>
    </row>
    <row r="26" spans="3:4">
      <c r="C26" s="15">
        <v>19</v>
      </c>
      <c r="D26" s="26" t="s">
        <v>55</v>
      </c>
    </row>
    <row r="27" spans="3:4">
      <c r="C27" s="15">
        <v>20</v>
      </c>
      <c r="D27" s="26" t="s">
        <v>56</v>
      </c>
    </row>
    <row r="28" spans="3:4">
      <c r="C28" s="15">
        <v>21</v>
      </c>
      <c r="D28" s="26" t="s">
        <v>57</v>
      </c>
    </row>
    <row r="29" spans="3:4">
      <c r="C29" s="5">
        <v>22</v>
      </c>
      <c r="D29" s="5" t="s">
        <v>58</v>
      </c>
    </row>
  </sheetData>
  <phoneticPr fontId="1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E3F55-06AD-475A-8350-2C428B8B863B}">
  <dimension ref="A1:DS156"/>
  <sheetViews>
    <sheetView workbookViewId="0">
      <selection activeCell="B26" sqref="B26:C26"/>
    </sheetView>
  </sheetViews>
  <sheetFormatPr defaultColWidth="13.42578125" defaultRowHeight="15"/>
  <cols>
    <col min="1" max="1" width="12.5703125" customWidth="1"/>
    <col min="2" max="2" width="33.42578125" bestFit="1" customWidth="1"/>
    <col min="3" max="3" width="65.42578125" customWidth="1"/>
    <col min="4" max="9" width="7.5703125" customWidth="1"/>
    <col min="10" max="23" width="6.42578125" customWidth="1"/>
    <col min="24" max="29" width="7.5703125" customWidth="1"/>
    <col min="30" max="43" width="6.42578125" customWidth="1"/>
    <col min="44" max="49" width="7.5703125" customWidth="1"/>
    <col min="50" max="63" width="6.42578125" customWidth="1"/>
    <col min="64" max="67" width="6.5703125" customWidth="1"/>
    <col min="68" max="83" width="6" customWidth="1"/>
    <col min="84" max="89" width="7.5703125" customWidth="1"/>
    <col min="90" max="103" width="6.42578125" customWidth="1"/>
    <col min="104" max="107" width="6.5703125" customWidth="1"/>
    <col min="108" max="123" width="6" customWidth="1"/>
  </cols>
  <sheetData>
    <row r="1" spans="1:10">
      <c r="A1" s="35" t="s">
        <v>59</v>
      </c>
      <c r="C1" t="s">
        <v>60</v>
      </c>
    </row>
    <row r="2" spans="1:10" ht="15.75" thickBot="1">
      <c r="A2" s="35" t="s">
        <v>61</v>
      </c>
      <c r="C2" t="s">
        <v>62</v>
      </c>
    </row>
    <row r="3" spans="1:10" s="51" customFormat="1" ht="32.450000000000003" customHeight="1">
      <c r="A3" s="103" t="s">
        <v>63</v>
      </c>
      <c r="B3" s="103" t="s">
        <v>64</v>
      </c>
      <c r="C3" s="103" t="s">
        <v>65</v>
      </c>
      <c r="D3" s="107" t="s">
        <v>66</v>
      </c>
      <c r="E3" s="109" t="s">
        <v>67</v>
      </c>
      <c r="F3" s="111" t="s">
        <v>68</v>
      </c>
      <c r="G3" s="109" t="s">
        <v>69</v>
      </c>
      <c r="H3" s="111" t="s">
        <v>70</v>
      </c>
      <c r="I3" s="109" t="s">
        <v>71</v>
      </c>
      <c r="J3"/>
    </row>
    <row r="4" spans="1:10" s="51" customFormat="1" ht="16.5" thickBot="1">
      <c r="A4" s="103"/>
      <c r="B4" s="103"/>
      <c r="C4" s="103"/>
      <c r="D4" s="108"/>
      <c r="E4" s="110"/>
      <c r="F4" s="112"/>
      <c r="G4" s="110"/>
      <c r="H4" s="112"/>
      <c r="I4" s="110"/>
      <c r="J4"/>
    </row>
    <row r="5" spans="1:10" s="54" customFormat="1" ht="22.5">
      <c r="A5" s="52" t="s">
        <v>72</v>
      </c>
      <c r="B5" s="52" t="s">
        <v>73</v>
      </c>
      <c r="C5" s="53" t="s">
        <v>74</v>
      </c>
      <c r="D5">
        <v>11.679145130367321</v>
      </c>
      <c r="E5">
        <v>17.238146899020261</v>
      </c>
      <c r="F5">
        <v>31.59762786349928</v>
      </c>
      <c r="G5">
        <v>30.49479294065123</v>
      </c>
      <c r="H5">
        <v>34.286344441108433</v>
      </c>
      <c r="I5">
        <v>11.083749440694159</v>
      </c>
    </row>
    <row r="6" spans="1:10" s="54" customFormat="1" ht="22.5">
      <c r="A6" s="52" t="s">
        <v>72</v>
      </c>
      <c r="B6" s="52" t="s">
        <v>73</v>
      </c>
      <c r="C6" s="53" t="s">
        <v>75</v>
      </c>
      <c r="D6">
        <v>2.2309084699414949</v>
      </c>
      <c r="E6">
        <v>5.8629685805296567</v>
      </c>
      <c r="F6">
        <v>6.7930740700348258</v>
      </c>
      <c r="G6">
        <v>5.4676809171221654</v>
      </c>
      <c r="H6">
        <v>16.318465234707059</v>
      </c>
      <c r="I6">
        <v>3.683678180503478</v>
      </c>
    </row>
    <row r="7" spans="1:10" s="54" customFormat="1">
      <c r="A7" s="52" t="s">
        <v>72</v>
      </c>
      <c r="B7" s="52" t="s">
        <v>73</v>
      </c>
      <c r="C7" s="56" t="s">
        <v>76</v>
      </c>
      <c r="D7">
        <v>22.261331539021661</v>
      </c>
      <c r="E7">
        <v>37.375529019889854</v>
      </c>
      <c r="F7">
        <v>84.37295684119951</v>
      </c>
      <c r="G7">
        <v>82.105348612943047</v>
      </c>
      <c r="H7">
        <v>73.246664445150103</v>
      </c>
      <c r="I7">
        <v>24.396070876744211</v>
      </c>
    </row>
    <row r="8" spans="1:10" s="54" customFormat="1">
      <c r="A8" s="52" t="s">
        <v>72</v>
      </c>
      <c r="B8" s="52" t="s">
        <v>73</v>
      </c>
      <c r="C8" s="53" t="s">
        <v>77</v>
      </c>
      <c r="D8">
        <f>100-D9</f>
        <v>22.613110727916677</v>
      </c>
      <c r="E8">
        <f t="shared" ref="E8:I8" si="0">100-E9</f>
        <v>26.568838185620137</v>
      </c>
      <c r="F8">
        <f t="shared" si="0"/>
        <v>52.174581761289431</v>
      </c>
      <c r="G8">
        <f t="shared" si="0"/>
        <v>52.544997066329543</v>
      </c>
      <c r="H8">
        <f t="shared" si="0"/>
        <v>55.210105451066617</v>
      </c>
      <c r="I8">
        <f t="shared" si="0"/>
        <v>15.387625847520056</v>
      </c>
    </row>
    <row r="9" spans="1:10" s="54" customFormat="1">
      <c r="A9" s="52" t="s">
        <v>72</v>
      </c>
      <c r="B9" s="52" t="s">
        <v>73</v>
      </c>
      <c r="C9" s="53" t="s">
        <v>78</v>
      </c>
      <c r="D9">
        <v>77.386889272083323</v>
      </c>
      <c r="E9">
        <v>73.431161814379863</v>
      </c>
      <c r="F9">
        <v>47.825418238710569</v>
      </c>
      <c r="G9">
        <v>47.455002933670457</v>
      </c>
      <c r="H9">
        <v>44.789894548933383</v>
      </c>
      <c r="I9">
        <v>84.612374152479944</v>
      </c>
      <c r="J9" s="67"/>
    </row>
    <row r="10" spans="1:10" s="54" customFormat="1">
      <c r="A10" s="52" t="s">
        <v>72</v>
      </c>
      <c r="B10" s="52" t="s">
        <v>73</v>
      </c>
      <c r="C10" s="69" t="s">
        <v>79</v>
      </c>
      <c r="D10" s="70">
        <v>8.0637E-2</v>
      </c>
      <c r="E10" s="70">
        <v>0.12470000000000001</v>
      </c>
      <c r="F10" s="70">
        <v>0.2064</v>
      </c>
      <c r="G10" s="70">
        <v>0.19670000000000001</v>
      </c>
      <c r="H10" s="70">
        <v>0.2402</v>
      </c>
      <c r="I10" s="70">
        <v>8.5998000000000005E-2</v>
      </c>
      <c r="J10" s="67"/>
    </row>
    <row r="11" spans="1:10" s="54" customFormat="1">
      <c r="A11" s="58" t="s">
        <v>80</v>
      </c>
      <c r="B11" s="54" t="s">
        <v>73</v>
      </c>
      <c r="C11" s="57" t="s">
        <v>81</v>
      </c>
      <c r="D11">
        <v>20.35394769581173</v>
      </c>
      <c r="E11">
        <v>28.808683370397141</v>
      </c>
      <c r="F11">
        <v>22.2240302012085</v>
      </c>
      <c r="G11">
        <v>22.03294550097068</v>
      </c>
      <c r="H11">
        <v>25.579269109843551</v>
      </c>
      <c r="I11">
        <v>13.90033288537601</v>
      </c>
    </row>
    <row r="12" spans="1:10" s="54" customFormat="1">
      <c r="A12" s="58" t="s">
        <v>80</v>
      </c>
      <c r="B12" s="54" t="s">
        <v>73</v>
      </c>
      <c r="C12" s="57" t="s">
        <v>82</v>
      </c>
      <c r="D12">
        <v>0.98711806647872646</v>
      </c>
      <c r="E12">
        <v>0.86109471502110724</v>
      </c>
      <c r="F12">
        <v>0.88128823389289301</v>
      </c>
      <c r="G12">
        <v>0.92987576185004284</v>
      </c>
      <c r="H12">
        <v>0.85713094085731778</v>
      </c>
      <c r="I12">
        <v>0.96249075977031706</v>
      </c>
      <c r="J12" s="64" t="s">
        <v>83</v>
      </c>
    </row>
    <row r="13" spans="1:10" s="57" customFormat="1">
      <c r="A13" s="58" t="s">
        <v>80</v>
      </c>
      <c r="B13" s="54" t="s">
        <v>73</v>
      </c>
      <c r="C13" s="57" t="s">
        <v>84</v>
      </c>
      <c r="D13">
        <v>0.37859999999999999</v>
      </c>
      <c r="E13">
        <v>0.42020000000000002</v>
      </c>
      <c r="F13">
        <v>0.61539999999999995</v>
      </c>
      <c r="G13">
        <v>0.51</v>
      </c>
      <c r="H13">
        <v>0.45419999999999999</v>
      </c>
      <c r="I13">
        <v>0.24260000000000001</v>
      </c>
      <c r="J13" s="64" t="s">
        <v>85</v>
      </c>
    </row>
    <row r="14" spans="1:10" s="54" customFormat="1">
      <c r="A14" s="55" t="s">
        <v>86</v>
      </c>
      <c r="B14" s="52" t="s">
        <v>73</v>
      </c>
      <c r="C14" s="56" t="s">
        <v>87</v>
      </c>
      <c r="D14">
        <v>46.830762792228413</v>
      </c>
      <c r="E14">
        <v>34.609243859249872</v>
      </c>
      <c r="F14">
        <v>64.335137619563966</v>
      </c>
      <c r="G14">
        <v>71.949092400422344</v>
      </c>
      <c r="H14">
        <v>56.611142489463951</v>
      </c>
      <c r="I14">
        <v>44.992877357112249</v>
      </c>
    </row>
    <row r="15" spans="1:10" s="54" customFormat="1" ht="33.75">
      <c r="A15" s="58" t="s">
        <v>88</v>
      </c>
      <c r="B15" s="54" t="s">
        <v>73</v>
      </c>
      <c r="C15" s="57" t="s">
        <v>89</v>
      </c>
      <c r="D15">
        <v>0.38522853545193342</v>
      </c>
      <c r="E15">
        <v>0.41856096236058471</v>
      </c>
      <c r="F15">
        <v>0.52689312432372137</v>
      </c>
      <c r="G15">
        <v>0.51707456124776285</v>
      </c>
      <c r="H15">
        <v>0.50168330779738879</v>
      </c>
      <c r="I15">
        <v>0.40802056865530029</v>
      </c>
      <c r="J15" s="62"/>
    </row>
    <row r="16" spans="1:10" s="54" customFormat="1">
      <c r="A16" s="58" t="s">
        <v>88</v>
      </c>
      <c r="B16" s="54" t="s">
        <v>73</v>
      </c>
      <c r="C16" s="57" t="s">
        <v>90</v>
      </c>
      <c r="D16" s="68">
        <v>386</v>
      </c>
      <c r="E16" s="68">
        <v>444</v>
      </c>
      <c r="F16" s="68">
        <v>312</v>
      </c>
      <c r="G16" s="68">
        <v>531</v>
      </c>
      <c r="H16" s="61">
        <v>2090</v>
      </c>
      <c r="I16" s="61">
        <v>3326</v>
      </c>
      <c r="J16" s="62"/>
    </row>
    <row r="17" spans="1:123" s="54" customFormat="1" ht="22.5">
      <c r="A17" s="58" t="s">
        <v>88</v>
      </c>
      <c r="B17" s="54" t="s">
        <v>73</v>
      </c>
      <c r="C17" s="57" t="s">
        <v>91</v>
      </c>
      <c r="D17">
        <v>46.593083048059853</v>
      </c>
      <c r="E17">
        <v>71.631579697710791</v>
      </c>
      <c r="F17">
        <v>73.530172079418691</v>
      </c>
      <c r="G17">
        <v>45.434031956788807</v>
      </c>
      <c r="H17">
        <v>18.19433771905631</v>
      </c>
      <c r="I17">
        <v>40.1602798664902</v>
      </c>
      <c r="J17" s="62"/>
      <c r="K17"/>
      <c r="L17" s="62"/>
      <c r="S17" s="62"/>
      <c r="T17" s="62"/>
      <c r="U17" s="62"/>
      <c r="V17" s="62"/>
      <c r="W17" s="62"/>
      <c r="X17" s="62"/>
      <c r="Y17" s="62"/>
      <c r="Z17" s="62"/>
      <c r="AA17" s="62"/>
      <c r="AB17" s="62"/>
      <c r="AC17" s="62"/>
      <c r="AD17" s="62"/>
      <c r="AE17" s="62"/>
      <c r="AF17" s="62"/>
      <c r="AG17" s="62"/>
      <c r="AH17" s="62"/>
      <c r="AI17" s="62"/>
      <c r="AJ17" s="62"/>
      <c r="AK17" s="62"/>
      <c r="AL17" s="62"/>
      <c r="AM17" s="62"/>
      <c r="AN17" s="62"/>
      <c r="AO17" s="62"/>
      <c r="AP17" s="62"/>
      <c r="AQ17" s="62"/>
      <c r="AR17" s="62"/>
      <c r="AS17" s="62"/>
      <c r="AT17" s="62"/>
      <c r="AU17" s="62"/>
      <c r="AV17" s="62"/>
      <c r="AW17" s="62"/>
      <c r="AX17" s="62"/>
      <c r="AY17" s="62"/>
      <c r="AZ17" s="62"/>
      <c r="BA17" s="62"/>
      <c r="BB17" s="62"/>
      <c r="BC17" s="62"/>
      <c r="BD17" s="62"/>
      <c r="BE17" s="62"/>
      <c r="BF17" s="62"/>
      <c r="BG17" s="62"/>
      <c r="BH17" s="62"/>
      <c r="BI17" s="62"/>
      <c r="BJ17" s="62"/>
      <c r="BK17" s="62"/>
      <c r="BL17" s="62"/>
      <c r="BM17" s="62"/>
      <c r="BN17" s="62"/>
      <c r="BO17" s="62"/>
      <c r="BP17" s="62"/>
      <c r="BQ17" s="62"/>
      <c r="BR17" s="62"/>
      <c r="BS17" s="62"/>
      <c r="BT17" s="62"/>
      <c r="BU17" s="62"/>
      <c r="BV17" s="62"/>
      <c r="BW17" s="62"/>
      <c r="BX17" s="62"/>
      <c r="BY17" s="62"/>
      <c r="BZ17" s="62"/>
      <c r="CA17" s="62"/>
      <c r="CB17" s="62"/>
      <c r="CC17" s="62"/>
      <c r="CD17" s="62"/>
      <c r="CE17" s="62"/>
      <c r="CF17" s="62"/>
      <c r="CG17" s="62"/>
      <c r="CH17" s="62"/>
      <c r="CI17" s="62"/>
      <c r="CJ17" s="62"/>
      <c r="CK17" s="62"/>
      <c r="CL17" s="62"/>
      <c r="CM17" s="62"/>
      <c r="CN17" s="62"/>
      <c r="CO17" s="62"/>
      <c r="CP17" s="62"/>
      <c r="CQ17" s="62"/>
      <c r="CR17" s="62"/>
      <c r="CS17" s="62"/>
      <c r="CT17" s="62"/>
      <c r="CU17" s="62"/>
      <c r="CV17" s="62"/>
      <c r="CW17" s="62"/>
      <c r="CX17" s="62"/>
      <c r="CY17" s="62"/>
      <c r="CZ17" s="62"/>
      <c r="DA17" s="62"/>
      <c r="DB17" s="62"/>
      <c r="DC17" s="62"/>
      <c r="DD17" s="62"/>
      <c r="DE17" s="62"/>
      <c r="DF17" s="62"/>
      <c r="DG17" s="62"/>
      <c r="DH17" s="62"/>
      <c r="DI17" s="62"/>
      <c r="DJ17" s="62"/>
      <c r="DK17" s="62"/>
      <c r="DL17" s="62"/>
      <c r="DM17" s="62"/>
      <c r="DN17" s="62"/>
      <c r="DO17" s="62"/>
      <c r="DP17" s="62"/>
      <c r="DQ17" s="62"/>
      <c r="DR17" s="62"/>
      <c r="DS17" s="62"/>
    </row>
    <row r="18" spans="1:123" s="54" customFormat="1">
      <c r="A18" s="55" t="s">
        <v>92</v>
      </c>
      <c r="B18" s="52" t="s">
        <v>73</v>
      </c>
      <c r="C18" s="53" t="s">
        <v>93</v>
      </c>
      <c r="D18">
        <v>5008.9819498518746</v>
      </c>
      <c r="E18">
        <v>3795.1861644968758</v>
      </c>
      <c r="F18">
        <v>4064.7898054552711</v>
      </c>
      <c r="G18">
        <v>4368.5844320635761</v>
      </c>
      <c r="H18">
        <v>5065.8423045866748</v>
      </c>
      <c r="I18">
        <v>6113.5583206815936</v>
      </c>
      <c r="J18" s="60"/>
      <c r="K18"/>
      <c r="L18" s="60"/>
      <c r="M18" s="60"/>
      <c r="N18" s="60"/>
      <c r="O18" s="60"/>
      <c r="P18" s="60"/>
      <c r="Q18" s="60"/>
      <c r="R18" s="60"/>
      <c r="S18" s="60"/>
      <c r="T18" s="60"/>
      <c r="U18" s="60"/>
      <c r="V18" s="60"/>
      <c r="W18" s="60"/>
      <c r="X18" s="60"/>
      <c r="Y18" s="60"/>
      <c r="Z18" s="60"/>
      <c r="AA18" s="60"/>
      <c r="AB18" s="60"/>
      <c r="AC18" s="60"/>
      <c r="AD18" s="60"/>
      <c r="AE18" s="60"/>
      <c r="AF18" s="60"/>
      <c r="AG18" s="60"/>
      <c r="AH18" s="60"/>
      <c r="AI18" s="60"/>
      <c r="AJ18" s="60"/>
      <c r="AK18" s="60"/>
      <c r="AL18" s="60"/>
      <c r="AM18" s="60"/>
      <c r="AN18" s="60"/>
      <c r="AO18" s="60"/>
      <c r="AP18" s="60"/>
      <c r="AQ18" s="60"/>
      <c r="AR18" s="60"/>
      <c r="AS18" s="60"/>
      <c r="AT18" s="60"/>
      <c r="AU18" s="60"/>
      <c r="AV18" s="60"/>
      <c r="AW18" s="60"/>
      <c r="AX18" s="60"/>
      <c r="AY18" s="60"/>
      <c r="AZ18" s="60"/>
      <c r="BA18" s="60"/>
      <c r="BB18" s="60"/>
      <c r="BC18" s="60"/>
      <c r="BD18" s="60"/>
      <c r="BE18" s="60"/>
      <c r="BF18" s="60"/>
      <c r="BG18" s="60"/>
      <c r="BH18" s="60"/>
      <c r="BI18" s="60"/>
      <c r="BJ18" s="60"/>
      <c r="BK18" s="60"/>
      <c r="BL18" s="60"/>
      <c r="BM18" s="60"/>
      <c r="BN18" s="60"/>
      <c r="BO18" s="60"/>
      <c r="BP18" s="60"/>
      <c r="BQ18" s="60"/>
      <c r="BR18" s="60"/>
      <c r="BS18" s="60"/>
      <c r="BT18" s="60"/>
      <c r="BU18" s="60"/>
      <c r="BV18" s="60"/>
      <c r="BW18" s="60"/>
      <c r="BX18" s="60"/>
      <c r="BY18" s="60"/>
      <c r="BZ18" s="60"/>
      <c r="CA18" s="60"/>
      <c r="CB18" s="60"/>
      <c r="CC18" s="60"/>
      <c r="CD18" s="60"/>
      <c r="CE18" s="60"/>
      <c r="CF18" s="60"/>
      <c r="CG18" s="60"/>
      <c r="CH18" s="60"/>
      <c r="CI18" s="60"/>
      <c r="CJ18" s="60"/>
      <c r="CK18" s="60"/>
      <c r="CL18" s="60"/>
      <c r="CM18" s="60"/>
      <c r="CN18" s="60"/>
      <c r="CO18" s="60"/>
      <c r="CP18" s="60"/>
      <c r="CQ18" s="60"/>
      <c r="CR18" s="60"/>
      <c r="CS18" s="60"/>
      <c r="CT18" s="60"/>
      <c r="CU18" s="60"/>
      <c r="CV18" s="60"/>
      <c r="CW18" s="60"/>
      <c r="CX18" s="60"/>
      <c r="CY18" s="60"/>
      <c r="CZ18" s="60"/>
      <c r="DA18" s="60"/>
      <c r="DB18" s="60"/>
      <c r="DC18" s="60"/>
      <c r="DD18" s="60"/>
      <c r="DE18" s="60"/>
      <c r="DF18" s="60"/>
      <c r="DG18" s="60"/>
      <c r="DH18" s="60"/>
      <c r="DI18" s="60"/>
      <c r="DJ18" s="60"/>
      <c r="DK18" s="60"/>
      <c r="DL18" s="60"/>
      <c r="DM18" s="60"/>
      <c r="DN18" s="60"/>
      <c r="DO18" s="60"/>
      <c r="DP18" s="60"/>
      <c r="DQ18" s="60"/>
      <c r="DR18" s="60"/>
      <c r="DS18" s="60"/>
    </row>
    <row r="19" spans="1:123" s="54" customFormat="1">
      <c r="A19" s="55" t="s">
        <v>92</v>
      </c>
      <c r="B19" s="52" t="s">
        <v>73</v>
      </c>
      <c r="C19" s="53" t="s">
        <v>94</v>
      </c>
      <c r="D19">
        <v>4480.255812728934</v>
      </c>
      <c r="E19">
        <v>2629.3874292651558</v>
      </c>
      <c r="F19">
        <v>5858.9939385452653</v>
      </c>
      <c r="G19">
        <v>7924.0506676475916</v>
      </c>
      <c r="H19">
        <v>10121.160310304251</v>
      </c>
      <c r="I19">
        <v>7076.2489311067156</v>
      </c>
      <c r="J19" s="60"/>
      <c r="K19"/>
      <c r="L19" s="60"/>
      <c r="M19" s="60"/>
      <c r="N19" s="60"/>
      <c r="O19" s="60"/>
      <c r="P19" s="60"/>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0"/>
      <c r="AP19" s="60"/>
      <c r="AQ19" s="60"/>
      <c r="AR19" s="60"/>
      <c r="AS19" s="60"/>
      <c r="AT19" s="60"/>
      <c r="AU19" s="60"/>
      <c r="AV19" s="60"/>
      <c r="AW19" s="60"/>
      <c r="AX19" s="60"/>
      <c r="AY19" s="60"/>
      <c r="AZ19" s="60"/>
      <c r="BA19" s="60"/>
      <c r="BB19" s="60"/>
      <c r="BC19" s="60"/>
      <c r="BD19" s="60"/>
      <c r="BE19" s="60"/>
      <c r="BF19" s="60"/>
      <c r="BG19" s="60"/>
      <c r="BH19" s="60"/>
      <c r="BI19" s="60"/>
      <c r="BJ19" s="60"/>
      <c r="BK19" s="60"/>
      <c r="BL19" s="60"/>
      <c r="BM19" s="60"/>
      <c r="BN19" s="60"/>
      <c r="BO19" s="60"/>
      <c r="BP19" s="60"/>
      <c r="BQ19" s="60"/>
      <c r="BR19" s="60"/>
      <c r="BS19" s="60"/>
      <c r="BT19" s="60"/>
      <c r="BU19" s="60"/>
      <c r="BV19" s="60"/>
      <c r="BW19" s="60"/>
      <c r="BX19" s="60"/>
      <c r="BY19" s="60"/>
      <c r="BZ19" s="60"/>
      <c r="CA19" s="60"/>
      <c r="CB19" s="60"/>
      <c r="CC19" s="60"/>
      <c r="CD19" s="60"/>
      <c r="CE19" s="60"/>
      <c r="CF19" s="60"/>
      <c r="CG19" s="60"/>
      <c r="CH19" s="60"/>
      <c r="CI19" s="60"/>
      <c r="CJ19" s="60"/>
      <c r="CK19" s="60"/>
      <c r="CL19" s="60"/>
      <c r="CM19" s="60"/>
      <c r="CN19" s="60"/>
      <c r="CO19" s="60"/>
      <c r="CP19" s="60"/>
      <c r="CQ19" s="60"/>
      <c r="CR19" s="60"/>
      <c r="CS19" s="60"/>
      <c r="CT19" s="60"/>
      <c r="CU19" s="60"/>
      <c r="CV19" s="60"/>
      <c r="CW19" s="60"/>
      <c r="CX19" s="60"/>
      <c r="CY19" s="60"/>
      <c r="CZ19" s="60"/>
      <c r="DA19" s="60"/>
      <c r="DB19" s="60"/>
      <c r="DC19" s="60"/>
      <c r="DD19" s="60"/>
      <c r="DE19" s="60"/>
      <c r="DF19" s="60"/>
      <c r="DG19" s="60"/>
      <c r="DH19" s="60"/>
      <c r="DI19" s="60"/>
      <c r="DJ19" s="60"/>
      <c r="DK19" s="60"/>
      <c r="DL19" s="60"/>
      <c r="DM19" s="60"/>
      <c r="DN19" s="60"/>
      <c r="DO19" s="60"/>
      <c r="DP19" s="60"/>
      <c r="DQ19" s="60"/>
      <c r="DR19" s="60"/>
      <c r="DS19" s="60"/>
    </row>
    <row r="20" spans="1:123" s="54" customFormat="1">
      <c r="A20" s="55" t="s">
        <v>92</v>
      </c>
      <c r="B20" s="52" t="s">
        <v>73</v>
      </c>
      <c r="C20" s="53" t="s">
        <v>95</v>
      </c>
      <c r="D20">
        <v>4.0133292474652951</v>
      </c>
      <c r="E20">
        <v>3.0328341851888059</v>
      </c>
      <c r="F20">
        <v>8.7366049545016651</v>
      </c>
      <c r="G20">
        <v>6.4758874434600093</v>
      </c>
      <c r="H20">
        <v>0.80036497390239159</v>
      </c>
      <c r="I20">
        <v>1.9236631701251781</v>
      </c>
      <c r="J20" s="60"/>
      <c r="K20"/>
      <c r="L20" s="60"/>
      <c r="M20" s="60"/>
      <c r="N20" s="60"/>
      <c r="O20" s="60"/>
      <c r="P20" s="60"/>
      <c r="Q20" s="60"/>
      <c r="R20" s="60"/>
      <c r="S20" s="60"/>
      <c r="T20" s="60"/>
      <c r="U20" s="60"/>
      <c r="V20" s="60"/>
      <c r="W20" s="60"/>
      <c r="X20" s="60"/>
      <c r="Y20" s="60"/>
      <c r="Z20" s="60"/>
      <c r="AA20" s="60"/>
      <c r="AB20" s="60"/>
      <c r="AC20" s="60"/>
      <c r="AD20" s="60"/>
      <c r="AE20" s="60"/>
      <c r="AF20" s="60"/>
      <c r="AG20" s="60"/>
      <c r="AH20" s="60"/>
      <c r="AI20" s="60"/>
      <c r="AJ20" s="60"/>
      <c r="AK20" s="60"/>
      <c r="AL20" s="60"/>
      <c r="AM20" s="60"/>
      <c r="AN20" s="60"/>
      <c r="AO20" s="60"/>
      <c r="AP20" s="60"/>
      <c r="AQ20" s="60"/>
      <c r="AR20" s="60"/>
      <c r="AS20" s="60"/>
      <c r="AT20" s="60"/>
      <c r="AU20" s="60"/>
      <c r="AV20" s="60"/>
      <c r="AW20" s="60"/>
      <c r="AX20" s="60"/>
      <c r="AY20" s="60"/>
      <c r="AZ20" s="60"/>
      <c r="BA20" s="60"/>
      <c r="BB20" s="60"/>
      <c r="BC20" s="60"/>
      <c r="BD20" s="60"/>
      <c r="BE20" s="60"/>
      <c r="BF20" s="60"/>
      <c r="BG20" s="60"/>
      <c r="BH20" s="60"/>
      <c r="BI20" s="60"/>
      <c r="BJ20" s="60"/>
      <c r="BK20" s="60"/>
      <c r="BL20" s="60"/>
      <c r="BM20" s="60"/>
      <c r="BN20" s="60"/>
      <c r="BO20" s="60"/>
      <c r="BP20" s="60"/>
      <c r="BQ20" s="60"/>
      <c r="BR20" s="60"/>
      <c r="BS20" s="60"/>
      <c r="BT20" s="60"/>
      <c r="BU20" s="60"/>
      <c r="BV20" s="60"/>
      <c r="BW20" s="60"/>
      <c r="BX20" s="60"/>
      <c r="BY20" s="60"/>
      <c r="BZ20" s="60"/>
      <c r="CA20" s="60"/>
      <c r="CB20" s="60"/>
      <c r="CC20" s="60"/>
      <c r="CD20" s="60"/>
      <c r="CE20" s="60"/>
      <c r="CF20" s="60"/>
      <c r="CG20" s="60"/>
      <c r="CH20" s="60"/>
      <c r="CI20" s="60"/>
      <c r="CJ20" s="60"/>
      <c r="CK20" s="60"/>
      <c r="CL20" s="60"/>
      <c r="CM20" s="60"/>
      <c r="CN20" s="60"/>
      <c r="CO20" s="60"/>
      <c r="CP20" s="60"/>
      <c r="CQ20" s="60"/>
      <c r="CR20" s="60"/>
      <c r="CS20" s="60"/>
      <c r="CT20" s="60"/>
      <c r="CU20" s="60"/>
      <c r="CV20" s="60"/>
      <c r="CW20" s="60"/>
      <c r="CX20" s="60"/>
      <c r="CY20" s="60"/>
      <c r="CZ20" s="60"/>
      <c r="DA20" s="60"/>
      <c r="DB20" s="60"/>
      <c r="DC20" s="60"/>
      <c r="DD20" s="60"/>
      <c r="DE20" s="60"/>
      <c r="DF20" s="60"/>
      <c r="DG20" s="60"/>
      <c r="DH20" s="60"/>
      <c r="DI20" s="60"/>
      <c r="DJ20" s="60"/>
      <c r="DK20" s="60"/>
      <c r="DL20" s="60"/>
      <c r="DM20" s="60"/>
      <c r="DN20" s="60"/>
      <c r="DO20" s="60"/>
      <c r="DP20" s="60"/>
      <c r="DQ20" s="60"/>
      <c r="DR20" s="60"/>
      <c r="DS20" s="60"/>
    </row>
    <row r="21" spans="1:123" s="54" customFormat="1" ht="22.5">
      <c r="A21" s="55" t="s">
        <v>92</v>
      </c>
      <c r="B21" s="52" t="s">
        <v>73</v>
      </c>
      <c r="C21" s="53" t="s">
        <v>96</v>
      </c>
      <c r="D21">
        <v>362.31193220154381</v>
      </c>
      <c r="E21">
        <v>80.081948014880325</v>
      </c>
      <c r="F21">
        <v>116.1879781080616</v>
      </c>
      <c r="G21">
        <v>156.28684364830369</v>
      </c>
      <c r="H21">
        <v>264.30093382455908</v>
      </c>
      <c r="I21">
        <v>324.04394898739412</v>
      </c>
      <c r="J21" s="60"/>
      <c r="K21"/>
      <c r="L21" s="60"/>
      <c r="M21" s="60"/>
      <c r="N21" s="60"/>
      <c r="O21" s="60"/>
      <c r="P21" s="60"/>
      <c r="Q21" s="60"/>
      <c r="R21" s="60"/>
      <c r="S21" s="60"/>
      <c r="T21" s="60"/>
      <c r="U21" s="60"/>
      <c r="V21" s="60"/>
      <c r="W21" s="60"/>
      <c r="X21" s="60"/>
      <c r="Y21" s="60"/>
      <c r="Z21" s="60"/>
      <c r="AA21" s="60"/>
      <c r="AB21" s="60"/>
      <c r="AC21" s="60"/>
      <c r="AD21" s="60"/>
      <c r="AE21" s="60"/>
      <c r="AF21" s="60"/>
      <c r="AG21" s="60"/>
      <c r="AH21" s="60"/>
      <c r="AI21" s="60"/>
      <c r="AJ21" s="60"/>
      <c r="AK21" s="60"/>
      <c r="AL21" s="60"/>
      <c r="AM21" s="60"/>
      <c r="AN21" s="60"/>
      <c r="AO21" s="60"/>
      <c r="AP21" s="60"/>
      <c r="AQ21" s="60"/>
      <c r="AR21" s="60"/>
      <c r="AS21" s="60"/>
      <c r="AT21" s="60"/>
      <c r="AU21" s="60"/>
      <c r="AV21" s="60"/>
      <c r="AW21" s="60"/>
      <c r="AX21" s="60"/>
      <c r="AY21" s="60"/>
      <c r="AZ21" s="60"/>
      <c r="BA21" s="60"/>
      <c r="BB21" s="60"/>
      <c r="BC21" s="60"/>
      <c r="BD21" s="60"/>
      <c r="BE21" s="60"/>
      <c r="BF21" s="60"/>
      <c r="BG21" s="60"/>
      <c r="BH21" s="60"/>
      <c r="BI21" s="60"/>
      <c r="BJ21" s="60"/>
      <c r="BK21" s="60"/>
      <c r="BL21" s="60"/>
      <c r="BM21" s="60"/>
      <c r="BN21" s="60"/>
      <c r="BO21" s="60"/>
      <c r="BP21" s="60"/>
      <c r="BQ21" s="60"/>
      <c r="BR21" s="60"/>
      <c r="BS21" s="60"/>
      <c r="BT21" s="60"/>
      <c r="BU21" s="60"/>
      <c r="BV21" s="60"/>
      <c r="BW21" s="60"/>
      <c r="BX21" s="60"/>
      <c r="BY21" s="60"/>
      <c r="BZ21" s="60"/>
      <c r="CA21" s="60"/>
      <c r="CB21" s="60"/>
      <c r="CC21" s="60"/>
      <c r="CD21" s="60"/>
      <c r="CE21" s="60"/>
      <c r="CF21" s="60"/>
      <c r="CG21" s="60"/>
      <c r="CH21" s="60"/>
      <c r="CI21" s="60"/>
      <c r="CJ21" s="60"/>
      <c r="CK21" s="60"/>
      <c r="CL21" s="60"/>
      <c r="CM21" s="60"/>
      <c r="CN21" s="60"/>
      <c r="CO21" s="60"/>
      <c r="CP21" s="60"/>
      <c r="CQ21" s="60"/>
      <c r="CR21" s="60"/>
      <c r="CS21" s="60"/>
      <c r="CT21" s="60"/>
      <c r="CU21" s="60"/>
      <c r="CV21" s="60"/>
      <c r="CW21" s="60"/>
      <c r="CX21" s="60"/>
      <c r="CY21" s="60"/>
      <c r="CZ21" s="60"/>
      <c r="DA21" s="60"/>
      <c r="DB21" s="60"/>
      <c r="DC21" s="60"/>
      <c r="DD21" s="60"/>
      <c r="DE21" s="60"/>
      <c r="DF21" s="60"/>
      <c r="DG21" s="60"/>
      <c r="DH21" s="60"/>
      <c r="DI21" s="60"/>
      <c r="DJ21" s="60"/>
      <c r="DK21" s="60"/>
      <c r="DL21" s="60"/>
      <c r="DM21" s="60"/>
      <c r="DN21" s="60"/>
      <c r="DO21" s="60"/>
      <c r="DP21" s="60"/>
      <c r="DQ21" s="60"/>
      <c r="DR21" s="60"/>
      <c r="DS21" s="60"/>
    </row>
    <row r="22" spans="1:123" s="54" customFormat="1" ht="22.5">
      <c r="A22" s="55" t="s">
        <v>92</v>
      </c>
      <c r="B22" s="52" t="s">
        <v>73</v>
      </c>
      <c r="C22" s="53" t="s">
        <v>97</v>
      </c>
      <c r="D22">
        <v>3.7142925987200339</v>
      </c>
      <c r="E22">
        <v>3.091550455391824</v>
      </c>
      <c r="F22">
        <v>3.2533234134966031</v>
      </c>
      <c r="G22">
        <v>2.8150792532362181</v>
      </c>
      <c r="H22">
        <v>2.5514288298575312</v>
      </c>
      <c r="I22">
        <v>3.9867322117686679</v>
      </c>
      <c r="J22" s="60"/>
      <c r="K22"/>
      <c r="L22" s="60"/>
      <c r="M22" s="60"/>
      <c r="N22" s="60"/>
      <c r="O22" s="60"/>
      <c r="P22" s="60"/>
      <c r="Q22" s="60"/>
      <c r="R22" s="60"/>
      <c r="S22" s="60"/>
      <c r="T22" s="60"/>
      <c r="U22" s="60"/>
      <c r="V22" s="60"/>
      <c r="W22" s="60"/>
      <c r="X22" s="60"/>
      <c r="Y22" s="60"/>
      <c r="Z22" s="60"/>
      <c r="AA22" s="60"/>
      <c r="AB22" s="60"/>
      <c r="AC22" s="60"/>
      <c r="AD22" s="60"/>
      <c r="AE22" s="60"/>
      <c r="AF22" s="60"/>
      <c r="AG22" s="60"/>
      <c r="AH22" s="60"/>
      <c r="AI22" s="60"/>
      <c r="AJ22" s="60"/>
      <c r="AK22" s="60"/>
      <c r="AL22" s="60"/>
      <c r="AM22" s="60"/>
      <c r="AN22" s="60"/>
      <c r="AO22" s="60"/>
      <c r="AP22" s="60"/>
      <c r="AQ22" s="60"/>
      <c r="AR22" s="60"/>
      <c r="AS22" s="60"/>
      <c r="AT22" s="60"/>
      <c r="AU22" s="60"/>
      <c r="AV22" s="60"/>
      <c r="AW22" s="60"/>
      <c r="AX22" s="60"/>
      <c r="AY22" s="60"/>
      <c r="AZ22" s="60"/>
      <c r="BA22" s="60"/>
      <c r="BB22" s="60"/>
      <c r="BC22" s="60"/>
      <c r="BD22" s="60"/>
      <c r="BE22" s="60"/>
      <c r="BF22" s="60"/>
      <c r="BG22" s="60"/>
      <c r="BH22" s="60"/>
      <c r="BI22" s="60"/>
      <c r="BJ22" s="60"/>
      <c r="BK22" s="60"/>
      <c r="BL22" s="60"/>
      <c r="BM22" s="60"/>
      <c r="BN22" s="60"/>
      <c r="BO22" s="60"/>
      <c r="BP22" s="60"/>
      <c r="BQ22" s="60"/>
      <c r="BR22" s="60"/>
      <c r="BS22" s="60"/>
      <c r="BT22" s="60"/>
      <c r="BU22" s="60"/>
      <c r="BV22" s="60"/>
      <c r="BW22" s="60"/>
      <c r="BX22" s="60"/>
      <c r="BY22" s="60"/>
      <c r="BZ22" s="60"/>
      <c r="CA22" s="60"/>
      <c r="CB22" s="60"/>
      <c r="CC22" s="60"/>
      <c r="CD22" s="60"/>
      <c r="CE22" s="60"/>
      <c r="CF22" s="60"/>
      <c r="CG22" s="60"/>
      <c r="CH22" s="60"/>
      <c r="CI22" s="60"/>
      <c r="CJ22" s="60"/>
      <c r="CK22" s="60"/>
      <c r="CL22" s="60"/>
      <c r="CM22" s="60"/>
      <c r="CN22" s="60"/>
      <c r="CO22" s="60"/>
      <c r="CP22" s="60"/>
      <c r="CQ22" s="60"/>
      <c r="CR22" s="60"/>
      <c r="CS22" s="60"/>
      <c r="CT22" s="60"/>
      <c r="CU22" s="60"/>
      <c r="CV22" s="60"/>
      <c r="CW22" s="60"/>
      <c r="CX22" s="60"/>
      <c r="CY22" s="60"/>
      <c r="CZ22" s="60"/>
      <c r="DA22" s="60"/>
      <c r="DB22" s="60"/>
      <c r="DC22" s="60"/>
      <c r="DD22" s="60"/>
      <c r="DE22" s="60"/>
      <c r="DF22" s="60"/>
      <c r="DG22" s="60"/>
      <c r="DH22" s="60"/>
      <c r="DI22" s="60"/>
      <c r="DJ22" s="60"/>
      <c r="DK22" s="60"/>
      <c r="DL22" s="60"/>
      <c r="DM22" s="60"/>
      <c r="DN22" s="60"/>
      <c r="DO22" s="60"/>
      <c r="DP22" s="60"/>
      <c r="DQ22" s="60"/>
      <c r="DR22" s="60"/>
      <c r="DS22" s="60"/>
    </row>
    <row r="23" spans="1:123" ht="15.75" thickBot="1"/>
    <row r="24" spans="1:123" ht="15.75" thickBot="1">
      <c r="A24" s="103" t="s">
        <v>63</v>
      </c>
      <c r="B24" s="103" t="s">
        <v>98</v>
      </c>
      <c r="C24" s="103" t="s">
        <v>65</v>
      </c>
      <c r="D24" s="113" t="s">
        <v>66</v>
      </c>
      <c r="E24" s="114"/>
      <c r="F24" s="114"/>
      <c r="G24" s="114"/>
      <c r="H24" s="114"/>
      <c r="I24" s="114"/>
      <c r="J24" s="114"/>
      <c r="K24" s="114"/>
      <c r="L24" s="114"/>
      <c r="M24" s="114"/>
      <c r="N24" s="114"/>
      <c r="O24" s="114"/>
      <c r="P24" s="114"/>
      <c r="Q24" s="114"/>
      <c r="R24" s="114"/>
      <c r="S24" s="114"/>
      <c r="T24" s="114"/>
      <c r="U24" s="114"/>
      <c r="V24" s="114"/>
      <c r="W24" s="115"/>
      <c r="X24" s="104" t="s">
        <v>67</v>
      </c>
      <c r="Y24" s="105"/>
      <c r="Z24" s="105"/>
      <c r="AA24" s="105"/>
      <c r="AB24" s="105"/>
      <c r="AC24" s="105"/>
      <c r="AD24" s="105"/>
      <c r="AE24" s="105"/>
      <c r="AF24" s="105"/>
      <c r="AG24" s="105"/>
      <c r="AH24" s="105"/>
      <c r="AI24" s="105"/>
      <c r="AJ24" s="105"/>
      <c r="AK24" s="105"/>
      <c r="AL24" s="105"/>
      <c r="AM24" s="105"/>
      <c r="AN24" s="105"/>
      <c r="AO24" s="105"/>
      <c r="AP24" s="105"/>
      <c r="AQ24" s="106"/>
      <c r="AR24" s="113" t="s">
        <v>68</v>
      </c>
      <c r="AS24" s="114"/>
      <c r="AT24" s="114"/>
      <c r="AU24" s="114"/>
      <c r="AV24" s="114"/>
      <c r="AW24" s="114"/>
      <c r="AX24" s="114"/>
      <c r="AY24" s="114"/>
      <c r="AZ24" s="114"/>
      <c r="BA24" s="114"/>
      <c r="BB24" s="114"/>
      <c r="BC24" s="114"/>
      <c r="BD24" s="114"/>
      <c r="BE24" s="114"/>
      <c r="BF24" s="114"/>
      <c r="BG24" s="114"/>
      <c r="BH24" s="114"/>
      <c r="BI24" s="114"/>
      <c r="BJ24" s="114"/>
      <c r="BK24" s="115"/>
      <c r="BL24" s="104" t="s">
        <v>69</v>
      </c>
      <c r="BM24" s="105"/>
      <c r="BN24" s="105"/>
      <c r="BO24" s="105"/>
      <c r="BP24" s="105"/>
      <c r="BQ24" s="105"/>
      <c r="BR24" s="105"/>
      <c r="BS24" s="105"/>
      <c r="BT24" s="105"/>
      <c r="BU24" s="105"/>
      <c r="BV24" s="105"/>
      <c r="BW24" s="105"/>
      <c r="BX24" s="105"/>
      <c r="BY24" s="105"/>
      <c r="BZ24" s="105"/>
      <c r="CA24" s="105"/>
      <c r="CB24" s="105"/>
      <c r="CC24" s="105"/>
      <c r="CD24" s="105"/>
      <c r="CE24" s="106"/>
      <c r="CF24" s="113" t="s">
        <v>70</v>
      </c>
      <c r="CG24" s="114"/>
      <c r="CH24" s="114"/>
      <c r="CI24" s="114"/>
      <c r="CJ24" s="114"/>
      <c r="CK24" s="114"/>
      <c r="CL24" s="114"/>
      <c r="CM24" s="114"/>
      <c r="CN24" s="114"/>
      <c r="CO24" s="114"/>
      <c r="CP24" s="114"/>
      <c r="CQ24" s="114"/>
      <c r="CR24" s="114"/>
      <c r="CS24" s="114"/>
      <c r="CT24" s="114"/>
      <c r="CU24" s="114"/>
      <c r="CV24" s="114"/>
      <c r="CW24" s="114"/>
      <c r="CX24" s="114"/>
      <c r="CY24" s="115"/>
      <c r="CZ24" s="104" t="s">
        <v>71</v>
      </c>
      <c r="DA24" s="105"/>
      <c r="DB24" s="105"/>
      <c r="DC24" s="105"/>
      <c r="DD24" s="105"/>
      <c r="DE24" s="105"/>
      <c r="DF24" s="105"/>
      <c r="DG24" s="105"/>
      <c r="DH24" s="105"/>
      <c r="DI24" s="105"/>
      <c r="DJ24" s="105"/>
      <c r="DK24" s="105"/>
      <c r="DL24" s="105"/>
      <c r="DM24" s="105"/>
      <c r="DN24" s="105"/>
      <c r="DO24" s="105"/>
      <c r="DP24" s="105"/>
      <c r="DQ24" s="105"/>
      <c r="DR24" s="105"/>
      <c r="DS24" s="106"/>
    </row>
    <row r="25" spans="1:123">
      <c r="A25" s="103"/>
      <c r="B25" s="103"/>
      <c r="C25" s="103"/>
      <c r="D25">
        <v>2021</v>
      </c>
      <c r="E25">
        <v>2022</v>
      </c>
      <c r="F25">
        <v>2023</v>
      </c>
      <c r="G25">
        <v>2024</v>
      </c>
      <c r="H25">
        <v>2025</v>
      </c>
      <c r="I25">
        <v>2026</v>
      </c>
      <c r="J25">
        <v>2027</v>
      </c>
      <c r="K25">
        <v>2028</v>
      </c>
      <c r="L25">
        <v>2029</v>
      </c>
      <c r="M25">
        <v>2030</v>
      </c>
      <c r="N25">
        <v>2031</v>
      </c>
      <c r="O25">
        <v>2032</v>
      </c>
      <c r="P25">
        <v>2033</v>
      </c>
      <c r="Q25">
        <v>2034</v>
      </c>
      <c r="R25">
        <v>2035</v>
      </c>
      <c r="S25">
        <v>2036</v>
      </c>
      <c r="T25">
        <v>2037</v>
      </c>
      <c r="U25">
        <v>2038</v>
      </c>
      <c r="V25">
        <v>2039</v>
      </c>
      <c r="W25">
        <v>2040</v>
      </c>
      <c r="X25">
        <v>2021</v>
      </c>
      <c r="Y25">
        <v>2022</v>
      </c>
      <c r="Z25">
        <v>2023</v>
      </c>
      <c r="AA25">
        <v>2024</v>
      </c>
      <c r="AB25">
        <v>2025</v>
      </c>
      <c r="AC25">
        <v>2026</v>
      </c>
      <c r="AD25">
        <v>2027</v>
      </c>
      <c r="AE25">
        <v>2028</v>
      </c>
      <c r="AF25">
        <v>2029</v>
      </c>
      <c r="AG25">
        <v>2030</v>
      </c>
      <c r="AH25">
        <v>2031</v>
      </c>
      <c r="AI25">
        <v>2032</v>
      </c>
      <c r="AJ25">
        <v>2033</v>
      </c>
      <c r="AK25">
        <v>2034</v>
      </c>
      <c r="AL25">
        <v>2035</v>
      </c>
      <c r="AM25">
        <v>2036</v>
      </c>
      <c r="AN25">
        <v>2037</v>
      </c>
      <c r="AO25">
        <v>2038</v>
      </c>
      <c r="AP25">
        <v>2039</v>
      </c>
      <c r="AQ25">
        <v>2040</v>
      </c>
      <c r="AR25">
        <v>2021</v>
      </c>
      <c r="AS25">
        <v>2022</v>
      </c>
      <c r="AT25">
        <v>2023</v>
      </c>
      <c r="AU25">
        <v>2024</v>
      </c>
      <c r="AV25">
        <v>2025</v>
      </c>
      <c r="AW25">
        <v>2026</v>
      </c>
      <c r="AX25">
        <v>2027</v>
      </c>
      <c r="AY25">
        <v>2028</v>
      </c>
      <c r="AZ25">
        <v>2029</v>
      </c>
      <c r="BA25">
        <v>2030</v>
      </c>
      <c r="BB25">
        <v>2031</v>
      </c>
      <c r="BC25">
        <v>2032</v>
      </c>
      <c r="BD25">
        <v>2033</v>
      </c>
      <c r="BE25">
        <v>2034</v>
      </c>
      <c r="BF25">
        <v>2035</v>
      </c>
      <c r="BG25">
        <v>2036</v>
      </c>
      <c r="BH25">
        <v>2037</v>
      </c>
      <c r="BI25">
        <v>2038</v>
      </c>
      <c r="BJ25">
        <v>2039</v>
      </c>
      <c r="BK25">
        <v>2040</v>
      </c>
      <c r="BL25">
        <v>2021</v>
      </c>
      <c r="BM25">
        <v>2022</v>
      </c>
      <c r="BN25">
        <v>2023</v>
      </c>
      <c r="BO25">
        <v>2024</v>
      </c>
      <c r="BP25">
        <v>2025</v>
      </c>
      <c r="BQ25">
        <v>2026</v>
      </c>
      <c r="BR25">
        <v>2027</v>
      </c>
      <c r="BS25">
        <v>2028</v>
      </c>
      <c r="BT25">
        <v>2029</v>
      </c>
      <c r="BU25">
        <v>2030</v>
      </c>
      <c r="BV25">
        <v>2031</v>
      </c>
      <c r="BW25">
        <v>2032</v>
      </c>
      <c r="BX25">
        <v>2033</v>
      </c>
      <c r="BY25">
        <v>2034</v>
      </c>
      <c r="BZ25">
        <v>2035</v>
      </c>
      <c r="CA25">
        <v>2036</v>
      </c>
      <c r="CB25">
        <v>2037</v>
      </c>
      <c r="CC25">
        <v>2038</v>
      </c>
      <c r="CD25">
        <v>2039</v>
      </c>
      <c r="CE25">
        <v>2040</v>
      </c>
      <c r="CF25">
        <v>2021</v>
      </c>
      <c r="CG25">
        <v>2022</v>
      </c>
      <c r="CH25">
        <v>2023</v>
      </c>
      <c r="CI25">
        <v>2024</v>
      </c>
      <c r="CJ25">
        <v>2025</v>
      </c>
      <c r="CK25">
        <v>2026</v>
      </c>
      <c r="CL25">
        <v>2027</v>
      </c>
      <c r="CM25">
        <v>2028</v>
      </c>
      <c r="CN25">
        <v>2029</v>
      </c>
      <c r="CO25">
        <v>2030</v>
      </c>
      <c r="CP25">
        <v>2031</v>
      </c>
      <c r="CQ25">
        <v>2032</v>
      </c>
      <c r="CR25">
        <v>2033</v>
      </c>
      <c r="CS25">
        <v>2034</v>
      </c>
      <c r="CT25">
        <v>2035</v>
      </c>
      <c r="CU25">
        <v>2036</v>
      </c>
      <c r="CV25">
        <v>2037</v>
      </c>
      <c r="CW25">
        <v>2038</v>
      </c>
      <c r="CX25">
        <v>2039</v>
      </c>
      <c r="CY25">
        <v>2040</v>
      </c>
      <c r="CZ25">
        <v>2021</v>
      </c>
      <c r="DA25">
        <v>2022</v>
      </c>
      <c r="DB25">
        <v>2023</v>
      </c>
      <c r="DC25">
        <v>2024</v>
      </c>
      <c r="DD25">
        <v>2025</v>
      </c>
      <c r="DE25">
        <v>2026</v>
      </c>
      <c r="DF25">
        <v>2027</v>
      </c>
      <c r="DG25">
        <v>2028</v>
      </c>
      <c r="DH25">
        <v>2029</v>
      </c>
      <c r="DI25">
        <v>2030</v>
      </c>
      <c r="DJ25">
        <v>2031</v>
      </c>
      <c r="DK25">
        <v>2032</v>
      </c>
      <c r="DL25">
        <v>2033</v>
      </c>
      <c r="DM25">
        <v>2034</v>
      </c>
      <c r="DN25">
        <v>2035</v>
      </c>
      <c r="DO25">
        <v>2036</v>
      </c>
      <c r="DP25">
        <v>2037</v>
      </c>
      <c r="DQ25">
        <v>2038</v>
      </c>
      <c r="DR25">
        <v>2039</v>
      </c>
      <c r="DS25">
        <v>2040</v>
      </c>
    </row>
    <row r="26" spans="1:123" ht="22.5">
      <c r="A26" s="52" t="s">
        <v>72</v>
      </c>
      <c r="B26" s="52" t="s">
        <v>99</v>
      </c>
      <c r="C26" s="53" t="s">
        <v>100</v>
      </c>
      <c r="D26" s="42">
        <v>7.189257788334638</v>
      </c>
      <c r="E26" s="42">
        <v>6.6888900090578529</v>
      </c>
      <c r="F26" s="42">
        <v>6.2115265699456517</v>
      </c>
      <c r="G26" s="42">
        <v>5.7570393132760787</v>
      </c>
      <c r="H26" s="42">
        <v>5.3252328623979217</v>
      </c>
      <c r="I26" s="42">
        <v>4.9158465695392302</v>
      </c>
      <c r="J26" s="42">
        <v>4.5285569141175683</v>
      </c>
      <c r="K26" s="42">
        <v>4.1629803307848743</v>
      </c>
      <c r="L26" s="42">
        <v>3.8186764411297989</v>
      </c>
      <c r="M26" s="42">
        <v>3.4951516579235795</v>
      </c>
      <c r="N26" s="42">
        <v>3.1918631261166714</v>
      </c>
      <c r="O26" s="42">
        <v>2.9082229605679584</v>
      </c>
      <c r="P26" s="42">
        <v>2.6436027367981096</v>
      </c>
      <c r="Q26" s="42">
        <v>2.3973381879769171</v>
      </c>
      <c r="R26" s="42">
        <v>2.1687340589486959</v>
      </c>
      <c r="S26" s="42">
        <v>1.9570690664207298</v>
      </c>
      <c r="T26" s="42">
        <v>1.7616009135263369</v>
      </c>
      <c r="U26" s="42">
        <v>1.5815713068497841</v>
      </c>
      <c r="V26" s="42">
        <v>1.4162109246734949</v>
      </c>
      <c r="W26" s="42">
        <v>1.2647442866674197</v>
      </c>
      <c r="X26" s="42">
        <v>9.1504665426194762</v>
      </c>
      <c r="Y26" s="42">
        <v>8.9091661920724032</v>
      </c>
      <c r="Z26" s="42">
        <v>8.6634743137498393</v>
      </c>
      <c r="AA26" s="42">
        <v>8.4138443636594769</v>
      </c>
      <c r="AB26" s="42">
        <v>8.1607439588173118</v>
      </c>
      <c r="AC26" s="42">
        <v>7.9046538351315139</v>
      </c>
      <c r="AD26" s="42">
        <v>7.6460666835901776</v>
      </c>
      <c r="AE26" s="42">
        <v>7.3854858614569636</v>
      </c>
      <c r="AF26" s="42">
        <v>7.1234239761188629</v>
      </c>
      <c r="AG26" s="42">
        <v>6.8604013403224053</v>
      </c>
      <c r="AH26" s="42">
        <v>6.5969442987835443</v>
      </c>
      <c r="AI26" s="42">
        <v>6.3335834275678575</v>
      </c>
      <c r="AJ26" s="42">
        <v>6.0708516092056524</v>
      </c>
      <c r="AK26" s="42">
        <v>5.8092819882333009</v>
      </c>
      <c r="AL26" s="42">
        <v>5.5494058137252917</v>
      </c>
      <c r="AM26" s="42">
        <v>5.2917501773899751</v>
      </c>
      <c r="AN26" s="42">
        <v>5.0368356579348825</v>
      </c>
      <c r="AO26" s="42">
        <v>4.7851738846317344</v>
      </c>
      <c r="AP26" s="42">
        <v>4.5372650353113508</v>
      </c>
      <c r="AQ26" s="42">
        <v>4.2935952863534101</v>
      </c>
      <c r="AR26" s="42">
        <v>18.912089683887856</v>
      </c>
      <c r="AS26" s="42">
        <v>18.415277888436794</v>
      </c>
      <c r="AT26" s="42">
        <v>17.911491722528627</v>
      </c>
      <c r="AU26" s="42">
        <v>17.401678259623136</v>
      </c>
      <c r="AV26" s="42">
        <v>16.886799251922032</v>
      </c>
      <c r="AW26" s="42">
        <v>16.36782839254515</v>
      </c>
      <c r="AX26" s="42">
        <v>15.845748387132751</v>
      </c>
      <c r="AY26" s="42">
        <v>15.321547845073056</v>
      </c>
      <c r="AZ26" s="42">
        <v>14.796218003356879</v>
      </c>
      <c r="BA26" s="42">
        <v>14.27074929887241</v>
      </c>
      <c r="BB26" s="42">
        <v>13.746127807744482</v>
      </c>
      <c r="BC26" s="42">
        <v>13.223331573040289</v>
      </c>
      <c r="BD26" s="42">
        <v>12.703326844768068</v>
      </c>
      <c r="BE26" s="42">
        <v>12.187064258535749</v>
      </c>
      <c r="BF26" s="42">
        <v>11.675474981459661</v>
      </c>
      <c r="BG26" s="42">
        <v>11.169466855884162</v>
      </c>
      <c r="BH26" s="42">
        <v>10.669920573122553</v>
      </c>
      <c r="BI26" s="42">
        <v>10.177685910737454</v>
      </c>
      <c r="BJ26" s="42">
        <v>9.6935780677783807</v>
      </c>
      <c r="BK26" s="42">
        <v>9.2183741328716717</v>
      </c>
      <c r="BL26" s="42">
        <v>22.510157496840979</v>
      </c>
      <c r="BM26" s="42">
        <v>21.490211492056954</v>
      </c>
      <c r="BN26" s="42">
        <v>20.474437042882101</v>
      </c>
      <c r="BO26" s="42">
        <v>19.465188117849685</v>
      </c>
      <c r="BP26" s="42">
        <v>18.464847171557157</v>
      </c>
      <c r="BQ26" s="42">
        <v>17.475809348313582</v>
      </c>
      <c r="BR26" s="42">
        <v>16.500465433353796</v>
      </c>
      <c r="BS26" s="42">
        <v>15.541183702193953</v>
      </c>
      <c r="BT26" s="42">
        <v>14.600290855487543</v>
      </c>
      <c r="BU26" s="42">
        <v>13.680052263338485</v>
      </c>
      <c r="BV26" s="42">
        <v>12.782651778335</v>
      </c>
      <c r="BW26" s="42">
        <v>11.910171409380119</v>
      </c>
      <c r="BX26" s="42">
        <v>11.064571177408093</v>
      </c>
      <c r="BY26" s="42">
        <v>10.247669497936165</v>
      </c>
      <c r="BZ26" s="42">
        <v>9.4611244527665903</v>
      </c>
      <c r="CA26" s="42">
        <v>8.7064163227104494</v>
      </c>
      <c r="CB26" s="42">
        <v>7.984831753787816</v>
      </c>
      <c r="CC26" s="42">
        <v>7.2974499199613074</v>
      </c>
      <c r="CD26" s="42">
        <v>6.6451310253487019</v>
      </c>
      <c r="CE26" s="42">
        <v>6.0285074576144186</v>
      </c>
      <c r="CF26" s="42">
        <v>15.036351706564599</v>
      </c>
      <c r="CG26" s="42">
        <v>13.50078028350624</v>
      </c>
      <c r="CH26" s="42">
        <v>12.058387451156024</v>
      </c>
      <c r="CI26" s="42">
        <v>10.711231438637608</v>
      </c>
      <c r="CJ26" s="42">
        <v>9.4604490055199957</v>
      </c>
      <c r="CK26" s="42">
        <v>8.3062510498973001</v>
      </c>
      <c r="CL26" s="42">
        <v>7.2479363934633128</v>
      </c>
      <c r="CM26" s="42">
        <v>6.2839237762965849</v>
      </c>
      <c r="CN26" s="42">
        <v>5.4118015147620984</v>
      </c>
      <c r="CO26" s="42">
        <v>4.6283936844518321</v>
      </c>
      <c r="CP26" s="42">
        <v>3.9298411127183539</v>
      </c>
      <c r="CQ26" s="42">
        <v>3.3116949301689957</v>
      </c>
      <c r="CR26" s="42">
        <v>2.7690199658027206</v>
      </c>
      <c r="CS26" s="42">
        <v>2.2965049030586702</v>
      </c>
      <c r="CT26" s="42">
        <v>1.8885758672476678</v>
      </c>
      <c r="CU26" s="42">
        <v>1.5395100066642857</v>
      </c>
      <c r="CV26" s="42">
        <v>1.2435456711002535</v>
      </c>
      <c r="CW26" s="42">
        <v>0.99498598508124447</v>
      </c>
      <c r="CX26" s="42">
        <v>0.78829295226696738</v>
      </c>
      <c r="CY26" s="42">
        <v>0.61816969602436267</v>
      </c>
      <c r="CZ26" s="42">
        <v>2.9870488021794319</v>
      </c>
      <c r="DA26" s="42">
        <v>2.5739841419947318</v>
      </c>
      <c r="DB26" s="42">
        <v>2.2066180562943205</v>
      </c>
      <c r="DC26" s="42">
        <v>1.8817104779205431</v>
      </c>
      <c r="DD26" s="42">
        <v>1.5959853639845589</v>
      </c>
      <c r="DE26" s="42">
        <v>1.3461738848994111</v>
      </c>
      <c r="DF26" s="42">
        <v>1.1290543172610685</v>
      </c>
      <c r="DG26" s="42">
        <v>0.94148796652725741</v>
      </c>
      <c r="DH26" s="42">
        <v>0.78045059448429044</v>
      </c>
      <c r="DI26" s="42">
        <v>0.6430589856502672</v>
      </c>
      <c r="DJ26" s="42">
        <v>0.52659244931612259</v>
      </c>
      <c r="DK26" s="42">
        <v>0.42850921323508429</v>
      </c>
      <c r="DL26" s="42">
        <v>0.34645781483056198</v>
      </c>
      <c r="DM26" s="42">
        <v>0.27828373073763568</v>
      </c>
      <c r="DN26" s="42">
        <v>0.2220316010631268</v>
      </c>
      <c r="DO26" s="42">
        <v>0.17594349766851256</v>
      </c>
      <c r="DP26" s="42">
        <v>0.13845375407476354</v>
      </c>
      <c r="DQ26" s="42">
        <v>0.10818091760600577</v>
      </c>
      <c r="DR26" s="42">
        <v>8.3917402743392017E-2</v>
      </c>
      <c r="DS26" s="42">
        <v>6.4617420100914896E-2</v>
      </c>
    </row>
    <row r="27" spans="1:123">
      <c r="A27" s="58" t="s">
        <v>80</v>
      </c>
      <c r="B27" s="66" t="s">
        <v>101</v>
      </c>
      <c r="C27" s="57"/>
      <c r="D27" s="54"/>
      <c r="E27" s="54"/>
      <c r="F27" s="54"/>
      <c r="G27" s="54"/>
      <c r="H27" s="42"/>
      <c r="I27" s="42"/>
      <c r="J27" s="42"/>
      <c r="K27" s="42"/>
      <c r="L27" s="42"/>
      <c r="M27" s="42"/>
      <c r="N27" s="42"/>
      <c r="O27" s="42"/>
      <c r="P27" s="42"/>
      <c r="Q27" s="42"/>
      <c r="R27" s="42"/>
      <c r="S27" s="42"/>
      <c r="T27" s="42"/>
      <c r="U27" s="42"/>
      <c r="V27" s="42"/>
      <c r="W27" s="42"/>
      <c r="X27" s="54"/>
      <c r="Y27" s="54"/>
      <c r="Z27" s="54"/>
      <c r="AA27" s="54"/>
      <c r="AB27" s="42"/>
      <c r="AC27" s="42"/>
      <c r="AD27" s="42"/>
      <c r="AE27" s="42"/>
      <c r="AF27" s="42"/>
      <c r="AG27" s="42"/>
      <c r="AH27" s="42"/>
      <c r="AI27" s="42"/>
      <c r="AJ27" s="42"/>
      <c r="AK27" s="42"/>
      <c r="AL27" s="42"/>
      <c r="AM27" s="42"/>
      <c r="AN27" s="42"/>
      <c r="AO27" s="42"/>
      <c r="AP27" s="42"/>
      <c r="AQ27" s="42"/>
      <c r="AR27" s="54"/>
      <c r="AS27" s="54"/>
      <c r="AT27" s="54"/>
      <c r="AU27" s="54"/>
      <c r="AV27" s="42"/>
      <c r="AW27" s="42"/>
      <c r="AX27" s="42"/>
      <c r="AY27" s="42"/>
      <c r="AZ27" s="42"/>
      <c r="BA27" s="42"/>
      <c r="BB27" s="42"/>
      <c r="BC27" s="42"/>
      <c r="BD27" s="42"/>
      <c r="BE27" s="42"/>
      <c r="BF27" s="42"/>
      <c r="BG27" s="42"/>
      <c r="BH27" s="42"/>
      <c r="BI27" s="42"/>
      <c r="BJ27" s="42"/>
      <c r="BK27" s="42"/>
      <c r="BL27" s="54"/>
      <c r="BM27" s="54"/>
      <c r="BN27" s="54"/>
      <c r="BO27" s="54"/>
      <c r="BP27" s="42"/>
      <c r="BQ27" s="42"/>
      <c r="BR27" s="42"/>
      <c r="BS27" s="42"/>
      <c r="BT27" s="42"/>
      <c r="BU27" s="42"/>
      <c r="BV27" s="42"/>
      <c r="BW27" s="42"/>
      <c r="BX27" s="42"/>
      <c r="BY27" s="42"/>
      <c r="BZ27" s="42"/>
      <c r="CA27" s="42"/>
      <c r="CB27" s="42"/>
      <c r="CC27" s="42"/>
      <c r="CD27" s="42"/>
      <c r="CE27" s="42"/>
      <c r="CF27" s="54"/>
      <c r="CG27" s="54"/>
      <c r="CH27" s="54"/>
      <c r="CI27" s="54"/>
      <c r="CJ27" s="42"/>
      <c r="CK27" s="42"/>
      <c r="CL27" s="42"/>
      <c r="CM27" s="42"/>
      <c r="CN27" s="42"/>
      <c r="CO27" s="42"/>
      <c r="CP27" s="42"/>
      <c r="CQ27" s="42"/>
      <c r="CR27" s="42"/>
      <c r="CS27" s="42"/>
      <c r="CT27" s="42"/>
      <c r="CU27" s="42"/>
      <c r="CV27" s="42"/>
      <c r="CW27" s="42"/>
      <c r="CX27" s="42"/>
      <c r="CY27" s="42"/>
      <c r="CZ27" s="54"/>
      <c r="DA27" s="54"/>
      <c r="DB27" s="54"/>
      <c r="DC27" s="54"/>
      <c r="DD27" s="54"/>
      <c r="DE27" s="54"/>
      <c r="DF27" s="54"/>
      <c r="DG27" s="54"/>
      <c r="DH27" s="54"/>
      <c r="DI27" s="54"/>
      <c r="DJ27" s="54"/>
      <c r="DK27" s="54"/>
      <c r="DL27" s="54"/>
      <c r="DM27" s="54"/>
      <c r="DN27" s="54"/>
      <c r="DO27" s="54"/>
      <c r="DP27" s="54"/>
      <c r="DQ27" s="54"/>
      <c r="DR27" s="54"/>
      <c r="DS27" s="54"/>
    </row>
    <row r="28" spans="1:123">
      <c r="A28" s="55" t="s">
        <v>86</v>
      </c>
      <c r="B28" s="52" t="s">
        <v>99</v>
      </c>
      <c r="C28" s="56" t="s">
        <v>102</v>
      </c>
      <c r="D28" s="42">
        <v>4.9855700000000001</v>
      </c>
      <c r="E28" s="42">
        <v>5.0242558249487326</v>
      </c>
      <c r="F28" s="42">
        <v>5.062117154095195</v>
      </c>
      <c r="G28" s="42">
        <v>5.0991221524061769</v>
      </c>
      <c r="H28" s="42">
        <v>5.1352386432570594</v>
      </c>
      <c r="I28" s="42">
        <v>5.1704341135176257</v>
      </c>
      <c r="J28" s="42">
        <v>5.2046757190976036</v>
      </c>
      <c r="K28" s="42">
        <v>5.2379302909876833</v>
      </c>
      <c r="L28" s="42">
        <v>5.2701643418338628</v>
      </c>
      <c r="M28" s="42">
        <v>5.3013440730862023</v>
      </c>
      <c r="N28" s="42">
        <v>5.3314353827658323</v>
      </c>
      <c r="O28" s="42">
        <v>5.3604038738972362</v>
      </c>
      <c r="P28" s="42">
        <v>5.3882148636566836</v>
      </c>
      <c r="Q28" s="42">
        <v>5.4148333932908708</v>
      </c>
      <c r="R28" s="42">
        <v>5.440224238864193</v>
      </c>
      <c r="S28" s="42">
        <v>5.4643519228972357</v>
      </c>
      <c r="T28" s="42">
        <v>5.4871807269634791</v>
      </c>
      <c r="U28" s="42">
        <v>5.5086747053163601</v>
      </c>
      <c r="V28" s="42">
        <v>5.5287976996237669</v>
      </c>
      <c r="W28" s="42">
        <v>5.5475133548929874</v>
      </c>
      <c r="X28" s="42">
        <v>4.5991800000000005</v>
      </c>
      <c r="Y28" s="42">
        <v>4.4042124111186176</v>
      </c>
      <c r="Z28" s="42">
        <v>4.2131090946072494</v>
      </c>
      <c r="AA28" s="42">
        <v>4.0259800445895442</v>
      </c>
      <c r="AB28" s="42">
        <v>3.8429300331731717</v>
      </c>
      <c r="AC28" s="42">
        <v>3.6640582478081392</v>
      </c>
      <c r="AD28" s="42">
        <v>3.4894579332820426</v>
      </c>
      <c r="AE28" s="42">
        <v>3.3192160404052045</v>
      </c>
      <c r="AF28" s="42">
        <v>3.1534128835435875</v>
      </c>
      <c r="AG28" s="42">
        <v>2.9921218092536246</v>
      </c>
      <c r="AH28" s="42">
        <v>2.8354088783588502</v>
      </c>
      <c r="AI28" s="42">
        <v>2.6833325638814145</v>
      </c>
      <c r="AJ28" s="42">
        <v>2.5359434673004513</v>
      </c>
      <c r="AK28" s="42">
        <v>2.3932840556515869</v>
      </c>
      <c r="AL28" s="42">
        <v>2.2553884220052036</v>
      </c>
      <c r="AM28" s="42">
        <v>2.1222820718637156</v>
      </c>
      <c r="AN28" s="42">
        <v>1.9939817379979106</v>
      </c>
      <c r="AO28" s="42">
        <v>1.8704952261966068</v>
      </c>
      <c r="AP28" s="42">
        <v>1.7518212943315459</v>
      </c>
      <c r="AQ28" s="42">
        <v>1.637949567038026</v>
      </c>
      <c r="AR28" s="42">
        <v>36.308069999999994</v>
      </c>
      <c r="AS28" s="42">
        <v>36.185861896128479</v>
      </c>
      <c r="AT28" s="42">
        <v>36.06170110049667</v>
      </c>
      <c r="AU28" s="42">
        <v>35.93557699720413</v>
      </c>
      <c r="AV28" s="42">
        <v>35.807478695050726</v>
      </c>
      <c r="AW28" s="42">
        <v>35.677395033949246</v>
      </c>
      <c r="AX28" s="42">
        <v>35.545314591576144</v>
      </c>
      <c r="AY28" s="42">
        <v>35.411225690279473</v>
      </c>
      <c r="AZ28" s="42">
        <v>35.2751164042635</v>
      </c>
      <c r="BA28" s="42">
        <v>35.136974567070602</v>
      </c>
      <c r="BB28" s="42">
        <v>34.99678777938167</v>
      </c>
      <c r="BC28" s="42">
        <v>34.854543417157117</v>
      </c>
      <c r="BD28" s="42">
        <v>34.710228640141892</v>
      </c>
      <c r="BE28" s="42">
        <v>34.563830400758199</v>
      </c>
      <c r="BF28" s="42">
        <v>34.415335453411203</v>
      </c>
      <c r="BG28" s="42">
        <v>34.264730364233813</v>
      </c>
      <c r="BH28" s="42">
        <v>34.112001521297493</v>
      </c>
      <c r="BI28" s="42">
        <v>33.957135145317729</v>
      </c>
      <c r="BJ28" s="42">
        <v>33.800117300883173</v>
      </c>
      <c r="BK28" s="42">
        <v>33.64093390823939</v>
      </c>
      <c r="BL28" s="42">
        <v>38.895679999999999</v>
      </c>
      <c r="BM28" s="42">
        <v>38.854339595759434</v>
      </c>
      <c r="BN28" s="42">
        <v>38.811608056121294</v>
      </c>
      <c r="BO28" s="42">
        <v>38.76744471582041</v>
      </c>
      <c r="BP28" s="42">
        <v>38.721807292463673</v>
      </c>
      <c r="BQ28" s="42">
        <v>38.674651820200459</v>
      </c>
      <c r="BR28" s="42">
        <v>38.625932580548529</v>
      </c>
      <c r="BS28" s="42">
        <v>38.575602030264164</v>
      </c>
      <c r="BT28" s="42">
        <v>38.523610726142337</v>
      </c>
      <c r="BU28" s="42">
        <v>38.469907246630569</v>
      </c>
      <c r="BV28" s="42">
        <v>38.414438110137155</v>
      </c>
      <c r="BW28" s="42">
        <v>38.357147689913063</v>
      </c>
      <c r="BX28" s="42">
        <v>38.297978125384574</v>
      </c>
      <c r="BY28" s="42">
        <v>38.23686922981279</v>
      </c>
      <c r="BZ28" s="42">
        <v>38.173758394154838</v>
      </c>
      <c r="CA28" s="42">
        <v>38.108580487001923</v>
      </c>
      <c r="CB28" s="42">
        <v>38.041267750469046</v>
      </c>
      <c r="CC28" s="42">
        <v>37.971749691912898</v>
      </c>
      <c r="CD28" s="42">
        <v>37.899952971356136</v>
      </c>
      <c r="CE28" s="42">
        <v>37.825801284499441</v>
      </c>
      <c r="CF28" s="42">
        <v>11.48274</v>
      </c>
      <c r="CG28" s="42">
        <v>10.469357809197607</v>
      </c>
      <c r="CH28" s="42">
        <v>9.4825202525357888</v>
      </c>
      <c r="CI28" s="42">
        <v>8.5274756835821197</v>
      </c>
      <c r="CJ28" s="42">
        <v>7.609438644494297</v>
      </c>
      <c r="CK28" s="42">
        <v>6.7334754098511684</v>
      </c>
      <c r="CL28" s="42">
        <v>5.9043760153954095</v>
      </c>
      <c r="CM28" s="42">
        <v>5.1265159997613008</v>
      </c>
      <c r="CN28" s="42">
        <v>4.403712587839661</v>
      </c>
      <c r="CO28" s="42">
        <v>3.7390816146864139</v>
      </c>
      <c r="CP28" s="42">
        <v>3.1349029870807015</v>
      </c>
      <c r="CQ28" s="42">
        <v>2.5925037146786232</v>
      </c>
      <c r="CR28" s="42">
        <v>2.1121682806009399</v>
      </c>
      <c r="CS28" s="42">
        <v>1.6930861056307471</v>
      </c>
      <c r="CT28" s="42">
        <v>1.3333448452239742</v>
      </c>
      <c r="CU28" s="42">
        <v>1.0299760582613207</v>
      </c>
      <c r="CV28" s="42">
        <v>0.77905633517437689</v>
      </c>
      <c r="CW28" s="42">
        <v>0.57586238850067506</v>
      </c>
      <c r="CX28" s="42">
        <v>0.41507324294913156</v>
      </c>
      <c r="CY28" s="42">
        <v>0.29100711854202421</v>
      </c>
      <c r="CZ28" s="42">
        <v>1.2305900000000001</v>
      </c>
      <c r="DA28" s="42">
        <v>0.88984792607461782</v>
      </c>
      <c r="DB28" s="42">
        <v>0.62218910416093209</v>
      </c>
      <c r="DC28" s="42">
        <v>0.41911724971107478</v>
      </c>
      <c r="DD28" s="42">
        <v>0.270923361548147</v>
      </c>
      <c r="DE28" s="42">
        <v>0.16738356079844036</v>
      </c>
      <c r="DF28" s="42">
        <v>9.8482931750122821E-2</v>
      </c>
      <c r="DG28" s="42">
        <v>5.5066945120441337E-2</v>
      </c>
      <c r="DH28" s="42">
        <v>2.933006825426852E-2</v>
      </c>
      <c r="DI28" s="42">
        <v>1.5081471112341481E-2</v>
      </c>
      <c r="DJ28" s="42">
        <v>7.7742847378548009E-3</v>
      </c>
      <c r="DK28" s="42">
        <v>4.3346014113000283E-3</v>
      </c>
      <c r="DL28" s="42">
        <v>2.8635351881714315E-3</v>
      </c>
      <c r="DM28" s="42">
        <v>2.2984444591170991E-3</v>
      </c>
      <c r="DN28" s="42">
        <v>2.1059524967167432E-3</v>
      </c>
      <c r="DO28" s="42">
        <v>2.0486343388181824E-3</v>
      </c>
      <c r="DP28" s="42">
        <v>2.0339519388458591E-3</v>
      </c>
      <c r="DQ28" s="42">
        <v>2.0307740131728204E-3</v>
      </c>
      <c r="DR28" s="42">
        <v>2.0302043368214243E-3</v>
      </c>
      <c r="DS28" s="42">
        <v>2.0301216349139263E-3</v>
      </c>
    </row>
    <row r="29" spans="1:123">
      <c r="A29" s="55" t="s">
        <v>86</v>
      </c>
      <c r="B29" s="52" t="s">
        <v>99</v>
      </c>
      <c r="C29" s="56" t="s">
        <v>103</v>
      </c>
      <c r="D29" s="54">
        <v>12.326178476819264</v>
      </c>
      <c r="E29" s="54">
        <v>12.381889163349326</v>
      </c>
      <c r="F29" s="54">
        <v>12.436251628916459</v>
      </c>
      <c r="G29" s="54">
        <v>12.489232445082679</v>
      </c>
      <c r="H29" s="54">
        <v>12.540797718585354</v>
      </c>
      <c r="I29" s="54">
        <v>12.590913081668123</v>
      </c>
      <c r="J29" s="54">
        <v>12.639543682250387</v>
      </c>
      <c r="K29" s="54">
        <v>12.686654173942228</v>
      </c>
      <c r="L29" s="54">
        <v>12.732208705912404</v>
      </c>
      <c r="M29" s="54">
        <v>12.77617091261866</v>
      </c>
      <c r="N29" s="54">
        <v>12.818503903410948</v>
      </c>
      <c r="O29" s="54">
        <v>12.859170252019601</v>
      </c>
      <c r="P29" s="54">
        <v>12.898131985942833</v>
      </c>
      <c r="Q29" s="54">
        <v>12.93535057574935</v>
      </c>
      <c r="R29" s="54">
        <v>12.970786924314398</v>
      </c>
      <c r="S29" s="54">
        <v>13.004401356010282</v>
      </c>
      <c r="T29" s="54">
        <v>13.036153605874441</v>
      </c>
      <c r="U29" s="54">
        <v>13.066002808782224</v>
      </c>
      <c r="V29" s="54">
        <v>13.093907488653745</v>
      </c>
      <c r="W29" s="54">
        <v>13.119825547729045</v>
      </c>
      <c r="X29" s="54">
        <v>14.288422822098919</v>
      </c>
      <c r="Y29" s="54">
        <v>13.982702549201973</v>
      </c>
      <c r="Z29" s="54">
        <v>13.67683968914368</v>
      </c>
      <c r="AA29" s="54">
        <v>13.370966999763937</v>
      </c>
      <c r="AB29" s="54">
        <v>13.065220507316768</v>
      </c>
      <c r="AC29" s="54">
        <v>12.75973944689008</v>
      </c>
      <c r="AD29" s="54">
        <v>12.45466619149396</v>
      </c>
      <c r="AE29" s="54">
        <v>12.150146169228629</v>
      </c>
      <c r="AF29" s="54">
        <v>11.846327767942952</v>
      </c>
      <c r="AG29" s="54">
        <v>11.543362226797486</v>
      </c>
      <c r="AH29" s="54">
        <v>11.241403514153248</v>
      </c>
      <c r="AI29" s="54">
        <v>10.940608191217761</v>
      </c>
      <c r="AJ29" s="54">
        <v>10.641135260895059</v>
      </c>
      <c r="AK29" s="54">
        <v>10.343146001306888</v>
      </c>
      <c r="AL29" s="54">
        <v>10.046803783476943</v>
      </c>
      <c r="AM29" s="54">
        <v>9.7522738727010143</v>
      </c>
      <c r="AN29" s="54">
        <v>9.4597232131634286</v>
      </c>
      <c r="AO29" s="54">
        <v>9.169320195402916</v>
      </c>
      <c r="AP29" s="54">
        <v>8.8812344062825215</v>
      </c>
      <c r="AQ29" s="54">
        <v>8.5956363611760942</v>
      </c>
      <c r="AR29" s="54">
        <v>64.127509059426401</v>
      </c>
      <c r="AS29" s="54">
        <v>64.124548141671539</v>
      </c>
      <c r="AT29" s="54">
        <v>64.121536417731221</v>
      </c>
      <c r="AU29" s="54">
        <v>64.11847342100998</v>
      </c>
      <c r="AV29" s="54">
        <v>64.115358669989774</v>
      </c>
      <c r="AW29" s="54">
        <v>64.112191668041959</v>
      </c>
      <c r="AX29" s="54">
        <v>64.108971903230866</v>
      </c>
      <c r="AY29" s="54">
        <v>64.10569884810873</v>
      </c>
      <c r="AZ29" s="54">
        <v>64.102371959502051</v>
      </c>
      <c r="BA29" s="54">
        <v>64.098990678288956</v>
      </c>
      <c r="BB29" s="54">
        <v>64.095554429167606</v>
      </c>
      <c r="BC29" s="54">
        <v>64.092062620415476</v>
      </c>
      <c r="BD29" s="54">
        <v>64.08851464363913</v>
      </c>
      <c r="BE29" s="54">
        <v>64.084909873514761</v>
      </c>
      <c r="BF29" s="54">
        <v>64.081247667518738</v>
      </c>
      <c r="BG29" s="54">
        <v>64.077527365648464</v>
      </c>
      <c r="BH29" s="54">
        <v>64.073748290133068</v>
      </c>
      <c r="BI29" s="54">
        <v>64.069909745133799</v>
      </c>
      <c r="BJ29" s="54">
        <v>64.066011016434032</v>
      </c>
      <c r="BK29" s="54">
        <v>64.0620513711184</v>
      </c>
      <c r="BL29" s="54">
        <v>65.5165687371194</v>
      </c>
      <c r="BM29" s="54">
        <v>65.515304931460904</v>
      </c>
      <c r="BN29" s="54">
        <v>65.513998192389707</v>
      </c>
      <c r="BO29" s="54">
        <v>65.51264723352152</v>
      </c>
      <c r="BP29" s="54">
        <v>65.511250715585177</v>
      </c>
      <c r="BQ29" s="54">
        <v>65.509807244115564</v>
      </c>
      <c r="BR29" s="54">
        <v>65.508315367035863</v>
      </c>
      <c r="BS29" s="54">
        <v>65.506773572123265</v>
      </c>
      <c r="BT29" s="54">
        <v>65.505180284352662</v>
      </c>
      <c r="BU29" s="54">
        <v>65.503533863111798</v>
      </c>
      <c r="BV29" s="54">
        <v>65.501832599281641</v>
      </c>
      <c r="BW29" s="54">
        <v>65.500074712175063</v>
      </c>
      <c r="BX29" s="54">
        <v>65.49825834632675</v>
      </c>
      <c r="BY29" s="54">
        <v>65.496381568126708</v>
      </c>
      <c r="BZ29" s="54">
        <v>65.494442362289362</v>
      </c>
      <c r="CA29" s="54">
        <v>65.492438628150126</v>
      </c>
      <c r="CB29" s="54">
        <v>65.490368175780418</v>
      </c>
      <c r="CC29" s="54">
        <v>65.48822872191198</v>
      </c>
      <c r="CD29" s="54">
        <v>65.486017885660644</v>
      </c>
      <c r="CE29" s="54">
        <v>65.483733184039494</v>
      </c>
      <c r="CF29" s="54">
        <v>43.134169730216684</v>
      </c>
      <c r="CG29" s="54">
        <v>42.785936062727707</v>
      </c>
      <c r="CH29" s="54">
        <v>42.423103240684</v>
      </c>
      <c r="CI29" s="54">
        <v>42.045095756720556</v>
      </c>
      <c r="CJ29" s="54">
        <v>41.65132322262177</v>
      </c>
      <c r="CK29" s="54">
        <v>41.241181256264561</v>
      </c>
      <c r="CL29" s="54">
        <v>40.814052617892735</v>
      </c>
      <c r="CM29" s="54">
        <v>40.369308632944382</v>
      </c>
      <c r="CN29" s="54">
        <v>39.906310943056774</v>
      </c>
      <c r="CO29" s="54">
        <v>39.424413631627587</v>
      </c>
      <c r="CP29" s="54">
        <v>38.922965775403092</v>
      </c>
      <c r="CQ29" s="54">
        <v>38.401314478959492</v>
      </c>
      <c r="CR29" s="54">
        <v>37.858808454588946</v>
      </c>
      <c r="CS29" s="54">
        <v>37.29480221591367</v>
      </c>
      <c r="CT29" s="54">
        <v>36.708660959410587</v>
      </c>
      <c r="CU29" s="54">
        <v>36.099766213769868</v>
      </c>
      <c r="CV29" s="54">
        <v>35.46752234241179</v>
      </c>
      <c r="CW29" s="54">
        <v>34.811363989254396</v>
      </c>
      <c r="CX29" s="54">
        <v>34.130764561582758</v>
      </c>
      <c r="CY29" s="54">
        <v>33.425245846137834</v>
      </c>
      <c r="CZ29" s="54">
        <v>6.6233528939511919</v>
      </c>
      <c r="DA29" s="54">
        <v>5.5934125729499016</v>
      </c>
      <c r="DB29" s="54">
        <v>4.6450586257173407</v>
      </c>
      <c r="DC29" s="54">
        <v>3.786173914837176</v>
      </c>
      <c r="DD29" s="54">
        <v>3.0226307406783413</v>
      </c>
      <c r="DE29" s="54">
        <v>2.357833528713984</v>
      </c>
      <c r="DF29" s="54">
        <v>1.7923686946310629</v>
      </c>
      <c r="DG29" s="54">
        <v>1.3238210051222614</v>
      </c>
      <c r="DH29" s="54">
        <v>0.94680860843435022</v>
      </c>
      <c r="DI29" s="54">
        <v>0.65326964308088331</v>
      </c>
      <c r="DJ29" s="54">
        <v>0.43300161114111568</v>
      </c>
      <c r="DK29" s="54">
        <v>0.27441370348333582</v>
      </c>
      <c r="DL29" s="54">
        <v>0.16540941087168839</v>
      </c>
      <c r="DM29" s="54">
        <v>9.4283044263614654E-2</v>
      </c>
      <c r="DN29" s="54">
        <v>5.0501137911965505E-2</v>
      </c>
      <c r="DO29" s="54">
        <v>2.5256506789093403E-2</v>
      </c>
      <c r="DP29" s="54">
        <v>1.172900824802448E-2</v>
      </c>
      <c r="DQ29" s="54">
        <v>5.0518673078637812E-3</v>
      </c>
      <c r="DR29" s="54">
        <v>2.045953654585674E-3</v>
      </c>
      <c r="DS29" s="54">
        <v>8.2542744513886197E-4</v>
      </c>
    </row>
    <row r="30" spans="1:123">
      <c r="A30" s="55" t="s">
        <v>86</v>
      </c>
      <c r="B30" s="52" t="s">
        <v>99</v>
      </c>
      <c r="C30" s="56" t="s">
        <v>104</v>
      </c>
      <c r="D30" s="59">
        <v>31.997969993346203</v>
      </c>
      <c r="E30" s="59">
        <v>32.039062810175608</v>
      </c>
      <c r="F30" s="59">
        <v>32.079057725043626</v>
      </c>
      <c r="G30" s="59">
        <v>32.117938611160028</v>
      </c>
      <c r="H30" s="59">
        <v>32.15568892393707</v>
      </c>
      <c r="I30" s="59">
        <v>32.192291687299296</v>
      </c>
      <c r="J30" s="59">
        <v>32.227729479466248</v>
      </c>
      <c r="K30" s="59">
        <v>32.261984418183793</v>
      </c>
      <c r="L30" s="59">
        <v>32.295038145378363</v>
      </c>
      <c r="M30" s="59">
        <v>32.326871811207042</v>
      </c>
      <c r="N30" s="59">
        <v>32.35746605747552</v>
      </c>
      <c r="O30" s="59">
        <v>32.386801000393902</v>
      </c>
      <c r="P30" s="59">
        <v>32.414856212639791</v>
      </c>
      <c r="Q30" s="59">
        <v>32.441610704695691</v>
      </c>
      <c r="R30" s="59">
        <v>32.467042905426887</v>
      </c>
      <c r="S30" s="59">
        <v>32.491130641864018</v>
      </c>
      <c r="T30" s="59">
        <v>32.513851118152751</v>
      </c>
      <c r="U30" s="59">
        <v>32.53518089363169</v>
      </c>
      <c r="V30" s="59">
        <v>32.555095859997088</v>
      </c>
      <c r="W30" s="59">
        <v>32.573571217511805</v>
      </c>
      <c r="X30" s="59">
        <v>39.779016636555149</v>
      </c>
      <c r="Y30" s="59">
        <v>39.643680609114753</v>
      </c>
      <c r="Z30" s="59">
        <v>39.506380908463292</v>
      </c>
      <c r="AA30" s="59">
        <v>39.367094354850529</v>
      </c>
      <c r="AB30" s="59">
        <v>39.225797452353419</v>
      </c>
      <c r="AC30" s="59">
        <v>39.082466386812591</v>
      </c>
      <c r="AD30" s="59">
        <v>38.937077023844417</v>
      </c>
      <c r="AE30" s="59">
        <v>38.789604906939594</v>
      </c>
      <c r="AF30" s="59">
        <v>38.640025255660525</v>
      </c>
      <c r="AG30" s="59">
        <v>38.488312963950222</v>
      </c>
      <c r="AH30" s="59">
        <v>38.334442598567406</v>
      </c>
      <c r="AI30" s="59">
        <v>38.178388397663184</v>
      </c>
      <c r="AJ30" s="59">
        <v>38.020124269516145</v>
      </c>
      <c r="AK30" s="59">
        <v>37.859623791444534</v>
      </c>
      <c r="AL30" s="59">
        <v>37.69686020891541</v>
      </c>
      <c r="AM30" s="59">
        <v>37.531806434872571</v>
      </c>
      <c r="AN30" s="59">
        <v>37.364435049306998</v>
      </c>
      <c r="AO30" s="59">
        <v>37.194718299095641</v>
      </c>
      <c r="AP30" s="59">
        <v>37.022628098136288</v>
      </c>
      <c r="AQ30" s="59">
        <v>36.848136027809275</v>
      </c>
      <c r="AR30" s="59">
        <v>88.509866853767235</v>
      </c>
      <c r="AS30" s="59">
        <v>88.506905907516682</v>
      </c>
      <c r="AT30" s="59">
        <v>88.503894154216354</v>
      </c>
      <c r="AU30" s="59">
        <v>88.500831127247025</v>
      </c>
      <c r="AV30" s="59">
        <v>88.49771634506611</v>
      </c>
      <c r="AW30" s="59">
        <v>88.494549311019711</v>
      </c>
      <c r="AX30" s="59">
        <v>88.491329513146155</v>
      </c>
      <c r="AY30" s="59">
        <v>88.488056423970917</v>
      </c>
      <c r="AZ30" s="59">
        <v>88.484729500292858</v>
      </c>
      <c r="BA30" s="59">
        <v>88.481348182961682</v>
      </c>
      <c r="BB30" s="59">
        <v>88.477911896646276</v>
      </c>
      <c r="BC30" s="59">
        <v>88.47442004959386</v>
      </c>
      <c r="BD30" s="59">
        <v>88.470872033379976</v>
      </c>
      <c r="BE30" s="59">
        <v>88.467267222648758</v>
      </c>
      <c r="BF30" s="59">
        <v>88.463604974843548</v>
      </c>
      <c r="BG30" s="59">
        <v>88.459884629927714</v>
      </c>
      <c r="BH30" s="59">
        <v>88.456105510095327</v>
      </c>
      <c r="BI30" s="59">
        <v>88.452266919471526</v>
      </c>
      <c r="BJ30" s="59">
        <v>88.44836814380244</v>
      </c>
      <c r="BK30" s="59">
        <v>88.444408450134276</v>
      </c>
      <c r="BL30" s="59">
        <v>87.439470089502706</v>
      </c>
      <c r="BM30" s="59">
        <v>87.438206272418199</v>
      </c>
      <c r="BN30" s="59">
        <v>87.43689952147345</v>
      </c>
      <c r="BO30" s="59">
        <v>87.435548550266446</v>
      </c>
      <c r="BP30" s="59">
        <v>87.434152019507337</v>
      </c>
      <c r="BQ30" s="59">
        <v>87.432708534711367</v>
      </c>
      <c r="BR30" s="59">
        <v>87.431216643780985</v>
      </c>
      <c r="BS30" s="59">
        <v>87.429674834471584</v>
      </c>
      <c r="BT30" s="59">
        <v>87.428081531735046</v>
      </c>
      <c r="BU30" s="59">
        <v>87.426435094934845</v>
      </c>
      <c r="BV30" s="59">
        <v>87.424733814926384</v>
      </c>
      <c r="BW30" s="59">
        <v>87.422975910995547</v>
      </c>
      <c r="BX30" s="59">
        <v>87.421159527648513</v>
      </c>
      <c r="BY30" s="59">
        <v>87.41928273124519</v>
      </c>
      <c r="BZ30" s="59">
        <v>87.417343506468242</v>
      </c>
      <c r="CA30" s="59">
        <v>87.415339752619502</v>
      </c>
      <c r="CB30" s="59">
        <v>87.413269279734905</v>
      </c>
      <c r="CC30" s="59">
        <v>87.411129804508619</v>
      </c>
      <c r="CD30" s="59">
        <v>87.408918946016826</v>
      </c>
      <c r="CE30" s="59">
        <v>87.406634221230576</v>
      </c>
      <c r="CF30" s="59">
        <v>80.974434595048464</v>
      </c>
      <c r="CG30" s="59">
        <v>80.959242803092351</v>
      </c>
      <c r="CH30" s="59">
        <v>80.943388042141493</v>
      </c>
      <c r="CI30" s="59">
        <v>80.926840343727847</v>
      </c>
      <c r="CJ30" s="59">
        <v>80.909568355452805</v>
      </c>
      <c r="CK30" s="59">
        <v>80.891539276056207</v>
      </c>
      <c r="CL30" s="59">
        <v>80.87271878739547</v>
      </c>
      <c r="CM30" s="59">
        <v>80.853070983186115</v>
      </c>
      <c r="CN30" s="59">
        <v>80.832558294348132</v>
      </c>
      <c r="CO30" s="59">
        <v>80.811141410795415</v>
      </c>
      <c r="CP30" s="59">
        <v>80.788779199497441</v>
      </c>
      <c r="CQ30" s="59">
        <v>80.765428618634701</v>
      </c>
      <c r="CR30" s="59">
        <v>80.741044627660742</v>
      </c>
      <c r="CS30" s="59">
        <v>80.715580093075289</v>
      </c>
      <c r="CT30" s="59">
        <v>80.688985689703458</v>
      </c>
      <c r="CU30" s="59">
        <v>80.661209797267162</v>
      </c>
      <c r="CV30" s="59">
        <v>80.632198392024776</v>
      </c>
      <c r="CW30" s="59">
        <v>80.601894933245035</v>
      </c>
      <c r="CX30" s="59">
        <v>80.570240244270892</v>
      </c>
      <c r="CY30" s="59">
        <v>80.537172387918261</v>
      </c>
      <c r="CZ30" s="59">
        <v>29.552820007379527</v>
      </c>
      <c r="DA30" s="59">
        <v>28.453080931793412</v>
      </c>
      <c r="DB30" s="59">
        <v>27.310321404829729</v>
      </c>
      <c r="DC30" s="59">
        <v>26.12551348313033</v>
      </c>
      <c r="DD30" s="59">
        <v>24.900204498083639</v>
      </c>
      <c r="DE30" s="59">
        <v>23.63660480947399</v>
      </c>
      <c r="DF30" s="59">
        <v>22.337678810268585</v>
      </c>
      <c r="DG30" s="59">
        <v>21.007236195027286</v>
      </c>
      <c r="DH30" s="59">
        <v>19.65001929952161</v>
      </c>
      <c r="DI30" s="59">
        <v>18.271780897959644</v>
      </c>
      <c r="DJ30" s="59">
        <v>16.879345241730842</v>
      </c>
      <c r="DK30" s="59">
        <v>15.480643420645551</v>
      </c>
      <c r="DL30" s="59">
        <v>14.084712469190334</v>
      </c>
      <c r="DM30" s="59">
        <v>12.701646254863919</v>
      </c>
      <c r="DN30" s="59">
        <v>11.342485402175255</v>
      </c>
      <c r="DO30" s="59">
        <v>10.019033761655447</v>
      </c>
      <c r="DP30" s="59">
        <v>8.7435907626419773</v>
      </c>
      <c r="DQ30" s="59">
        <v>7.5285929792859632</v>
      </c>
      <c r="DR30" s="59">
        <v>6.3861649398990448</v>
      </c>
      <c r="DS30" s="59">
        <v>5.3275889751452086</v>
      </c>
    </row>
    <row r="31" spans="1:123">
      <c r="A31" s="55" t="s">
        <v>86</v>
      </c>
      <c r="B31" s="52" t="s">
        <v>99</v>
      </c>
      <c r="C31" s="56" t="s">
        <v>105</v>
      </c>
      <c r="D31" s="59">
        <v>79.453806000000029</v>
      </c>
      <c r="E31" s="59">
        <v>81.086566054723761</v>
      </c>
      <c r="F31" s="59">
        <v>82.761199563724261</v>
      </c>
      <c r="G31" s="59">
        <v>84.478933000031432</v>
      </c>
      <c r="H31" s="59">
        <v>86.241032775044218</v>
      </c>
      <c r="I31" s="59">
        <v>88.048806699008438</v>
      </c>
      <c r="J31" s="59">
        <v>89.903605503022717</v>
      </c>
      <c r="K31" s="59">
        <v>91.806824425594613</v>
      </c>
      <c r="L31" s="59">
        <v>93.75990486693928</v>
      </c>
      <c r="M31" s="59">
        <v>95.764336114393075</v>
      </c>
      <c r="N31" s="59">
        <v>97.821657142505401</v>
      </c>
      <c r="O31" s="59">
        <v>99.933458491576303</v>
      </c>
      <c r="P31" s="59">
        <v>102.10138422862239</v>
      </c>
      <c r="Q31" s="59">
        <v>104.32713399498354</v>
      </c>
      <c r="R31" s="59">
        <v>106.61246514502676</v>
      </c>
      <c r="S31" s="59">
        <v>108.95919498066223</v>
      </c>
      <c r="T31" s="59">
        <v>111.36920308666291</v>
      </c>
      <c r="U31" s="59">
        <v>113.8444337720708</v>
      </c>
      <c r="V31" s="59">
        <v>116.38689862328633</v>
      </c>
      <c r="W31" s="59">
        <v>118.9986791747661</v>
      </c>
      <c r="X31" s="59">
        <v>50.377779000000018</v>
      </c>
      <c r="Y31" s="59">
        <v>51.475883640949675</v>
      </c>
      <c r="Z31" s="59">
        <v>52.60694668056464</v>
      </c>
      <c r="AA31" s="59">
        <v>53.772163611607844</v>
      </c>
      <c r="AB31" s="59">
        <v>54.972780888224577</v>
      </c>
      <c r="AC31" s="59">
        <v>56.210098413985783</v>
      </c>
      <c r="AD31" s="59">
        <v>57.485472164940759</v>
      </c>
      <c r="AE31" s="59">
        <v>58.800316955564412</v>
      </c>
      <c r="AF31" s="59">
        <v>60.156109355966279</v>
      </c>
      <c r="AG31" s="59">
        <v>61.554390769242069</v>
      </c>
      <c r="AH31" s="59">
        <v>62.996770678393503</v>
      </c>
      <c r="AI31" s="59">
        <v>64.484930072822266</v>
      </c>
      <c r="AJ31" s="59">
        <v>66.020625065020141</v>
      </c>
      <c r="AK31" s="59">
        <v>67.605690708732766</v>
      </c>
      <c r="AL31" s="59">
        <v>69.242045030571489</v>
      </c>
      <c r="AM31" s="59">
        <v>70.931693287788633</v>
      </c>
      <c r="AN31" s="59">
        <v>72.676732465719184</v>
      </c>
      <c r="AO31" s="59">
        <v>74.479356029230715</v>
      </c>
      <c r="AP31" s="59">
        <v>76.341858943413598</v>
      </c>
      <c r="AQ31" s="59">
        <v>78.266642979691554</v>
      </c>
      <c r="AR31" s="59">
        <v>118.18600999999997</v>
      </c>
      <c r="AS31" s="59">
        <v>122.23843040211432</v>
      </c>
      <c r="AT31" s="59">
        <v>126.45316524656667</v>
      </c>
      <c r="AU31" s="59">
        <v>130.83720375098156</v>
      </c>
      <c r="AV31" s="59">
        <v>135.39784981501148</v>
      </c>
      <c r="AW31" s="59">
        <v>140.14273666406737</v>
      </c>
      <c r="AX31" s="59">
        <v>145.07984219400183</v>
      </c>
      <c r="AY31" s="59">
        <v>150.21750505118411</v>
      </c>
      <c r="AZ31" s="59">
        <v>155.56444148413863</v>
      </c>
      <c r="BA31" s="59">
        <v>161.12976300474412</v>
      </c>
      <c r="BB31" s="59">
        <v>166.92299489890539</v>
      </c>
      <c r="BC31" s="59">
        <v>172.95409562862969</v>
      </c>
      <c r="BD31" s="59">
        <v>179.23347716955743</v>
      </c>
      <c r="BE31" s="59">
        <v>185.77202633022995</v>
      </c>
      <c r="BF31" s="59">
        <v>192.58112710172094</v>
      </c>
      <c r="BG31" s="59">
        <v>199.67268408872843</v>
      </c>
      <c r="BH31" s="59">
        <v>207.05914707581761</v>
      </c>
      <c r="BI31" s="59">
        <v>214.75353678523783</v>
      </c>
      <c r="BJ31" s="59">
        <v>222.7694718856078</v>
      </c>
      <c r="BK31" s="59">
        <v>231.1211973137884</v>
      </c>
      <c r="BL31" s="59">
        <v>152.33566000000002</v>
      </c>
      <c r="BM31" s="59">
        <v>158.07421116433346</v>
      </c>
      <c r="BN31" s="59">
        <v>164.07237269379897</v>
      </c>
      <c r="BO31" s="59">
        <v>170.34341970834708</v>
      </c>
      <c r="BP31" s="59">
        <v>176.90137254096749</v>
      </c>
      <c r="BQ31" s="59">
        <v>183.76104196085666</v>
      </c>
      <c r="BR31" s="59">
        <v>190.93807732942491</v>
      </c>
      <c r="BS31" s="59">
        <v>198.44901789019178</v>
      </c>
      <c r="BT31" s="59">
        <v>206.31134740803611</v>
      </c>
      <c r="BU31" s="59">
        <v>214.54355238875252</v>
      </c>
      <c r="BV31" s="59">
        <v>223.16518412650379</v>
      </c>
      <c r="BW31" s="59">
        <v>232.19692484464082</v>
      </c>
      <c r="BX31" s="59">
        <v>241.6606582145759</v>
      </c>
      <c r="BY31" s="59">
        <v>251.57954455804838</v>
      </c>
      <c r="BZ31" s="59">
        <v>261.97810106032796</v>
      </c>
      <c r="CA31" s="59">
        <v>272.88228734576751</v>
      </c>
      <c r="CB31" s="59">
        <v>284.31959679279009</v>
      </c>
      <c r="CC31" s="59">
        <v>296.31915399299453</v>
      </c>
      <c r="CD31" s="59">
        <v>308.91181878875346</v>
      </c>
      <c r="CE31" s="59">
        <v>322.13029735561247</v>
      </c>
      <c r="CF31" s="59">
        <v>335.11902000000009</v>
      </c>
      <c r="CG31" s="59">
        <v>345.66881990260407</v>
      </c>
      <c r="CH31" s="59">
        <v>356.63814092719883</v>
      </c>
      <c r="CI31" s="59">
        <v>368.04753785339176</v>
      </c>
      <c r="CJ31" s="59">
        <v>379.91876723366477</v>
      </c>
      <c r="CK31" s="59">
        <v>392.27486709759944</v>
      </c>
      <c r="CL31" s="59">
        <v>405.1402423684076</v>
      </c>
      <c r="CM31" s="59">
        <v>418.54075641958144</v>
      </c>
      <c r="CN31" s="59">
        <v>432.50382923231621</v>
      </c>
      <c r="CO31" s="59">
        <v>447.05854264974494</v>
      </c>
      <c r="CP31" s="59">
        <v>462.23575326217548</v>
      </c>
      <c r="CQ31" s="59">
        <v>478.06821349863992</v>
      </c>
      <c r="CR31" s="59">
        <v>494.590701544387</v>
      </c>
      <c r="CS31" s="59">
        <v>511.84016075174111</v>
      </c>
      <c r="CT31" s="59">
        <v>529.85584926325362</v>
      </c>
      <c r="CU31" s="59">
        <v>548.67950062161788</v>
      </c>
      <c r="CV31" s="59">
        <v>568.35549620068832</v>
      </c>
      <c r="CW31" s="59">
        <v>588.93105035650285</v>
      </c>
      <c r="CX31" s="59">
        <v>610.45640926681085</v>
      </c>
      <c r="CY31" s="59">
        <v>632.98506450266382</v>
      </c>
      <c r="CZ31" s="59">
        <v>430.51747</v>
      </c>
      <c r="DA31" s="59">
        <v>439.33041241842869</v>
      </c>
      <c r="DB31" s="59">
        <v>448.38064327155428</v>
      </c>
      <c r="DC31" s="59">
        <v>457.67536459431091</v>
      </c>
      <c r="DD31" s="59">
        <v>467.22201511279206</v>
      </c>
      <c r="DE31" s="59">
        <v>477.02827850129813</v>
      </c>
      <c r="DF31" s="59">
        <v>487.10209194083677</v>
      </c>
      <c r="DG31" s="59">
        <v>497.45165499047306</v>
      </c>
      <c r="DH31" s="59">
        <v>508.08543878336332</v>
      </c>
      <c r="DI31" s="59">
        <v>519.01219555976866</v>
      </c>
      <c r="DJ31" s="59">
        <v>530.24096854982224</v>
      </c>
      <c r="DK31" s="59">
        <v>541.78110221932002</v>
      </c>
      <c r="DL31" s="59">
        <v>553.64225289232104</v>
      </c>
      <c r="DM31" s="59">
        <v>565.83439976488307</v>
      </c>
      <c r="DN31" s="59">
        <v>578.36785632481349</v>
      </c>
      <c r="DO31" s="59">
        <v>591.25328219290111</v>
      </c>
      <c r="DP31" s="59">
        <v>604.50169540169111</v>
      </c>
      <c r="DQ31" s="59">
        <v>618.12448512850256</v>
      </c>
      <c r="DR31" s="59">
        <v>632.13342490002969</v>
      </c>
      <c r="DS31" s="59">
        <v>646.5406862865575</v>
      </c>
    </row>
    <row r="32" spans="1:123">
      <c r="A32" s="55" t="s">
        <v>86</v>
      </c>
      <c r="B32" s="52" t="s">
        <v>99</v>
      </c>
      <c r="C32" s="56" t="s">
        <v>106</v>
      </c>
      <c r="D32" s="59">
        <v>9757.9382163266037</v>
      </c>
      <c r="E32" s="59">
        <v>9757.9382163266018</v>
      </c>
      <c r="F32" s="59">
        <v>9757.9382163266037</v>
      </c>
      <c r="G32" s="59">
        <v>9757.9382163266037</v>
      </c>
      <c r="H32" s="59">
        <v>9757.9382163266018</v>
      </c>
      <c r="I32" s="59">
        <v>9757.9382163266037</v>
      </c>
      <c r="J32" s="61">
        <v>9757.9382163266037</v>
      </c>
      <c r="K32" s="61">
        <v>9757.9382163266018</v>
      </c>
      <c r="L32" s="61">
        <v>9757.9382163266037</v>
      </c>
      <c r="M32" s="61">
        <v>9757.9382163266037</v>
      </c>
      <c r="N32" s="61">
        <v>9757.9382163266037</v>
      </c>
      <c r="O32" s="61">
        <v>9757.9382163266037</v>
      </c>
      <c r="P32" s="61">
        <v>9757.9382163266037</v>
      </c>
      <c r="Q32" s="61">
        <v>9757.9382163266037</v>
      </c>
      <c r="R32" s="61">
        <v>9757.9382163266037</v>
      </c>
      <c r="S32" s="61">
        <v>9757.9382163266037</v>
      </c>
      <c r="T32" s="61">
        <v>9757.9382163266037</v>
      </c>
      <c r="U32" s="61">
        <v>9757.9382163266037</v>
      </c>
      <c r="V32" s="61">
        <v>9757.9382163266037</v>
      </c>
      <c r="W32" s="61">
        <v>9757.9382163266037</v>
      </c>
      <c r="X32" s="61">
        <v>11320.811701524199</v>
      </c>
      <c r="Y32" s="61">
        <v>11320.811701524199</v>
      </c>
      <c r="Z32" s="61">
        <v>11320.811701524199</v>
      </c>
      <c r="AA32" s="61">
        <v>11320.811701524199</v>
      </c>
      <c r="AB32" s="61">
        <v>11320.811701524199</v>
      </c>
      <c r="AC32" s="61">
        <v>11320.811701524199</v>
      </c>
      <c r="AD32" s="61">
        <v>11320.811701524199</v>
      </c>
      <c r="AE32" s="61">
        <v>11320.811701524199</v>
      </c>
      <c r="AF32" s="61">
        <v>11320.811701524199</v>
      </c>
      <c r="AG32" s="61">
        <v>11320.811701524199</v>
      </c>
      <c r="AH32" s="61">
        <v>11320.811701524199</v>
      </c>
      <c r="AI32" s="61">
        <v>11320.811701524199</v>
      </c>
      <c r="AJ32" s="61">
        <v>11320.811701524197</v>
      </c>
      <c r="AK32" s="61">
        <v>11320.811701524197</v>
      </c>
      <c r="AL32" s="61">
        <v>11320.811701524199</v>
      </c>
      <c r="AM32" s="61">
        <v>11320.811701524199</v>
      </c>
      <c r="AN32" s="61">
        <v>11320.811701524199</v>
      </c>
      <c r="AO32" s="61">
        <v>11320.811701524199</v>
      </c>
      <c r="AP32" s="61">
        <v>11320.811701524197</v>
      </c>
      <c r="AQ32" s="61">
        <v>11320.811701524199</v>
      </c>
      <c r="AR32" s="61">
        <v>2860.2434416730034</v>
      </c>
      <c r="AS32" s="61">
        <v>2860.2434416730034</v>
      </c>
      <c r="AT32" s="61">
        <v>2860.2434416730034</v>
      </c>
      <c r="AU32" s="61">
        <v>2860.2434416730034</v>
      </c>
      <c r="AV32" s="61">
        <v>2860.2434416730034</v>
      </c>
      <c r="AW32" s="61">
        <v>2860.2434416730034</v>
      </c>
      <c r="AX32" s="61">
        <v>2860.2434416730034</v>
      </c>
      <c r="AY32" s="61">
        <v>2860.243441673003</v>
      </c>
      <c r="AZ32" s="61">
        <v>2860.243441673003</v>
      </c>
      <c r="BA32" s="61">
        <v>2860.2434416730034</v>
      </c>
      <c r="BB32" s="61">
        <v>2860.2434416730034</v>
      </c>
      <c r="BC32" s="61">
        <v>2860.2434416730034</v>
      </c>
      <c r="BD32" s="61">
        <v>2860.2434416730034</v>
      </c>
      <c r="BE32" s="61">
        <v>2860.243441673003</v>
      </c>
      <c r="BF32" s="61">
        <v>2860.2434416730034</v>
      </c>
      <c r="BG32" s="61">
        <v>2860.2434416730034</v>
      </c>
      <c r="BH32" s="61">
        <v>2860.2434416730034</v>
      </c>
      <c r="BI32" s="61">
        <v>2860.2434416730034</v>
      </c>
      <c r="BJ32" s="61">
        <v>2860.2434416730034</v>
      </c>
      <c r="BK32" s="61">
        <v>2860.2434416730034</v>
      </c>
      <c r="BL32" s="61">
        <v>1686.5691854422005</v>
      </c>
      <c r="BM32" s="61">
        <v>1686.5691854422007</v>
      </c>
      <c r="BN32" s="61">
        <v>1686.5691854422005</v>
      </c>
      <c r="BO32" s="61">
        <v>1686.5691854422005</v>
      </c>
      <c r="BP32" s="61">
        <v>1686.5691854422005</v>
      </c>
      <c r="BQ32" s="61">
        <v>1686.5691854422005</v>
      </c>
      <c r="BR32" s="61">
        <v>1686.5691854422005</v>
      </c>
      <c r="BS32" s="61">
        <v>1686.5691854422003</v>
      </c>
      <c r="BT32" s="61">
        <v>1686.5691854422005</v>
      </c>
      <c r="BU32" s="61">
        <v>1686.5691854422005</v>
      </c>
      <c r="BV32" s="61">
        <v>1686.5691854422005</v>
      </c>
      <c r="BW32" s="61">
        <v>1686.5691854422005</v>
      </c>
      <c r="BX32" s="61">
        <v>1686.5691854422003</v>
      </c>
      <c r="BY32" s="61">
        <v>1686.5691854422005</v>
      </c>
      <c r="BZ32" s="61">
        <v>1686.5691854422005</v>
      </c>
      <c r="CA32" s="61">
        <v>1686.5691854422005</v>
      </c>
      <c r="CB32" s="61">
        <v>1686.5691854422005</v>
      </c>
      <c r="CC32" s="61">
        <v>1686.5691854422005</v>
      </c>
      <c r="CD32" s="61">
        <v>1686.5691854422005</v>
      </c>
      <c r="CE32" s="61">
        <v>1686.5691854422003</v>
      </c>
      <c r="CF32" s="61">
        <v>2772.7336693691695</v>
      </c>
      <c r="CG32" s="61">
        <v>2772.7336693691695</v>
      </c>
      <c r="CH32" s="61">
        <v>2772.7336693691695</v>
      </c>
      <c r="CI32" s="61">
        <v>2772.7336693691695</v>
      </c>
      <c r="CJ32" s="61">
        <v>2772.7336693691695</v>
      </c>
      <c r="CK32" s="61">
        <v>2772.7336693691695</v>
      </c>
      <c r="CL32" s="61">
        <v>2772.7336693691695</v>
      </c>
      <c r="CM32" s="61">
        <v>2772.7336693691695</v>
      </c>
      <c r="CN32" s="61">
        <v>2772.7336693691695</v>
      </c>
      <c r="CO32" s="61">
        <v>2772.7336693691695</v>
      </c>
      <c r="CP32" s="61">
        <v>2772.7336693691695</v>
      </c>
      <c r="CQ32" s="61">
        <v>2772.7336693691695</v>
      </c>
      <c r="CR32" s="61">
        <v>2772.7336693691695</v>
      </c>
      <c r="CS32" s="61">
        <v>2772.7336693691695</v>
      </c>
      <c r="CT32" s="61">
        <v>2772.7336693691695</v>
      </c>
      <c r="CU32" s="61">
        <v>2772.7336693691695</v>
      </c>
      <c r="CV32" s="61">
        <v>2772.7336693691695</v>
      </c>
      <c r="CW32" s="61">
        <v>2772.7336693691695</v>
      </c>
      <c r="CX32" s="61">
        <v>2772.73366936917</v>
      </c>
      <c r="CY32" s="61">
        <v>2772.7336693691691</v>
      </c>
      <c r="CZ32" s="61">
        <v>8556.8620478978464</v>
      </c>
      <c r="DA32" s="61">
        <v>8556.8620478978464</v>
      </c>
      <c r="DB32" s="61">
        <v>8556.8620478978464</v>
      </c>
      <c r="DC32" s="61">
        <v>8556.8620478978464</v>
      </c>
      <c r="DD32" s="61">
        <v>8556.8620478978464</v>
      </c>
      <c r="DE32" s="61">
        <v>8556.8620478978464</v>
      </c>
      <c r="DF32" s="61">
        <v>8556.8620478978464</v>
      </c>
      <c r="DG32" s="61">
        <v>8556.8620478978464</v>
      </c>
      <c r="DH32" s="61">
        <v>8556.8620478978464</v>
      </c>
      <c r="DI32" s="61">
        <v>8556.8620478978464</v>
      </c>
      <c r="DJ32" s="61">
        <v>8556.8620478978464</v>
      </c>
      <c r="DK32" s="61">
        <v>8556.8620478978464</v>
      </c>
      <c r="DL32" s="61">
        <v>8556.8620478978482</v>
      </c>
      <c r="DM32" s="61">
        <v>8556.8620478978464</v>
      </c>
      <c r="DN32" s="61">
        <v>8556.8620478978482</v>
      </c>
      <c r="DO32" s="61">
        <v>8556.8620478978464</v>
      </c>
      <c r="DP32" s="61">
        <v>8556.8620478978482</v>
      </c>
      <c r="DQ32" s="61">
        <v>8556.8620478978464</v>
      </c>
      <c r="DR32" s="61">
        <v>8556.8620478978464</v>
      </c>
      <c r="DS32" s="61">
        <v>8556.8620478978482</v>
      </c>
    </row>
    <row r="33" spans="1:123">
      <c r="A33" s="58" t="s">
        <v>88</v>
      </c>
      <c r="B33" s="54" t="s">
        <v>99</v>
      </c>
      <c r="C33" s="57" t="s">
        <v>107</v>
      </c>
      <c r="D33" s="59">
        <v>1290.6349332</v>
      </c>
      <c r="E33" s="59">
        <v>1299.4606562540901</v>
      </c>
      <c r="F33" s="59">
        <v>1308.45650090552</v>
      </c>
      <c r="G33" s="59">
        <v>1317.62704363797</v>
      </c>
      <c r="H33" s="59">
        <v>1326.9770064377501</v>
      </c>
      <c r="I33" s="59">
        <v>1336.51126194782</v>
      </c>
      <c r="J33" s="61">
        <v>1346.2348388294999</v>
      </c>
      <c r="K33" s="61">
        <v>1356.1529273414801</v>
      </c>
      <c r="L33" s="61">
        <v>1366.2708851464799</v>
      </c>
      <c r="M33" s="61">
        <v>1376.59424335619</v>
      </c>
      <c r="N33" s="61">
        <v>1387.12871282591</v>
      </c>
      <c r="O33" s="61">
        <v>1397.8801907109801</v>
      </c>
      <c r="P33" s="61">
        <v>1408.85476729735</v>
      </c>
      <c r="Q33" s="61">
        <v>1420.0587331199799</v>
      </c>
      <c r="R33" s="61">
        <v>1431.4985863828699</v>
      </c>
      <c r="S33" s="61">
        <v>1443.18104069572</v>
      </c>
      <c r="T33" s="61">
        <v>1455.1130331428999</v>
      </c>
      <c r="U33" s="61">
        <v>1467.3017327012899</v>
      </c>
      <c r="V33" s="61">
        <v>1479.7545490246</v>
      </c>
      <c r="W33" s="61">
        <v>1492.4791416125399</v>
      </c>
      <c r="X33" s="61">
        <v>521.24597960000006</v>
      </c>
      <c r="Y33" s="61">
        <v>532.37732571793299</v>
      </c>
      <c r="Z33" s="61">
        <v>543.821563688335</v>
      </c>
      <c r="AA33" s="61">
        <v>555.58869260831705</v>
      </c>
      <c r="AB33" s="61">
        <v>567.68908040434303</v>
      </c>
      <c r="AC33" s="61">
        <v>580.13347958372594</v>
      </c>
      <c r="AD33" s="61">
        <v>592.93304375974799</v>
      </c>
      <c r="AE33" s="61">
        <v>606.09934499285998</v>
      </c>
      <c r="AF33" s="61">
        <v>619.64439199292303</v>
      </c>
      <c r="AG33" s="61">
        <v>633.58064923011705</v>
      </c>
      <c r="AH33" s="61">
        <v>647.92105700498803</v>
      </c>
      <c r="AI33" s="61">
        <v>662.67905253109598</v>
      </c>
      <c r="AJ33" s="61">
        <v>677.86859208692294</v>
      </c>
      <c r="AK33" s="61">
        <v>693.50417429711001</v>
      </c>
      <c r="AL33" s="61">
        <v>709.60086460667105</v>
      </c>
      <c r="AM33" s="61">
        <v>726.17432101569</v>
      </c>
      <c r="AN33" s="61">
        <v>743.24082114604403</v>
      </c>
      <c r="AO33" s="61">
        <v>760.81729071605503</v>
      </c>
      <c r="AP33" s="61">
        <v>778.92133350353595</v>
      </c>
      <c r="AQ33" s="61">
        <v>797.57126288260702</v>
      </c>
      <c r="AR33" s="61">
        <v>420.59140769999999</v>
      </c>
      <c r="AS33" s="61">
        <v>431.82500348750301</v>
      </c>
      <c r="AT33" s="61">
        <v>443.40262521869897</v>
      </c>
      <c r="AU33" s="61">
        <v>455.33569585676901</v>
      </c>
      <c r="AV33" s="61">
        <v>467.63604876891299</v>
      </c>
      <c r="AW33" s="61">
        <v>480.31594364691</v>
      </c>
      <c r="AX33" s="61">
        <v>493.38808308973103</v>
      </c>
      <c r="AY33" s="61">
        <v>506.86562987740598</v>
      </c>
      <c r="AZ33" s="61">
        <v>520.76222496673404</v>
      </c>
      <c r="BA33" s="61">
        <v>535.09200624082303</v>
      </c>
      <c r="BB33" s="61">
        <v>549.86962804592895</v>
      </c>
      <c r="BC33" s="61">
        <v>565.11028155066504</v>
      </c>
      <c r="BD33" s="61">
        <v>580.82971596422703</v>
      </c>
      <c r="BE33" s="61">
        <v>597.04426065206303</v>
      </c>
      <c r="BF33" s="61">
        <v>613.77084818916205</v>
      </c>
      <c r="BG33" s="61">
        <v>631.027038393054</v>
      </c>
      <c r="BH33" s="61">
        <v>648.83104338058502</v>
      </c>
      <c r="BI33" s="61">
        <v>667.20175369461299</v>
      </c>
      <c r="BJ33" s="61">
        <v>686.15876554893396</v>
      </c>
      <c r="BK33" s="61">
        <v>705.72240924206005</v>
      </c>
      <c r="BL33" s="61">
        <v>552.78647779999994</v>
      </c>
      <c r="BM33" s="61">
        <v>575.08538170196903</v>
      </c>
      <c r="BN33" s="61">
        <v>598.46599707293001</v>
      </c>
      <c r="BO33" s="61">
        <v>622.98754823046397</v>
      </c>
      <c r="BP33" s="61">
        <v>648.71273664458101</v>
      </c>
      <c r="BQ33" s="61">
        <v>675.70795281071901</v>
      </c>
      <c r="BR33" s="61">
        <v>704.043501297994</v>
      </c>
      <c r="BS33" s="61">
        <v>733.79383980242096</v>
      </c>
      <c r="BT33" s="61">
        <v>765.03783308769005</v>
      </c>
      <c r="BU33" s="61">
        <v>797.85902275214005</v>
      </c>
      <c r="BV33" s="61">
        <v>832.34591382040298</v>
      </c>
      <c r="BW33" s="61">
        <v>868.59227922173397</v>
      </c>
      <c r="BX33" s="61">
        <v>906.69748328474896</v>
      </c>
      <c r="BY33" s="61">
        <v>946.766825450331</v>
      </c>
      <c r="BZ33" s="61">
        <v>988.91190548109705</v>
      </c>
      <c r="CA33" s="61">
        <v>1033.2510115274799</v>
      </c>
      <c r="CB33" s="61">
        <v>1079.90953249729</v>
      </c>
      <c r="CC33" s="61">
        <v>1129.02039626808</v>
      </c>
      <c r="CD33" s="61">
        <v>1180.72453538015</v>
      </c>
      <c r="CE33" s="61">
        <v>1235.1713819526101</v>
      </c>
      <c r="CF33" s="61">
        <v>1337.1418971000001</v>
      </c>
      <c r="CG33" s="61">
        <v>1368.66141084642</v>
      </c>
      <c r="CH33" s="61">
        <v>1401.27855366987</v>
      </c>
      <c r="CI33" s="61">
        <v>1435.0418765110001</v>
      </c>
      <c r="CJ33" s="61">
        <v>1470.0023799578801</v>
      </c>
      <c r="CK33" s="61">
        <v>1506.2136482119699</v>
      </c>
      <c r="CL33" s="61">
        <v>1543.7319908388499</v>
      </c>
      <c r="CM33" s="61">
        <v>1582.6165927811601</v>
      </c>
      <c r="CN33" s="61">
        <v>1622.9296731419099</v>
      </c>
      <c r="CO33" s="61">
        <v>1664.73665327919</v>
      </c>
      <c r="CP33" s="61">
        <v>1708.1063347883201</v>
      </c>
      <c r="CQ33" s="61">
        <v>1753.1110879852599</v>
      </c>
      <c r="CR33" s="61">
        <v>1799.82705154471</v>
      </c>
      <c r="CS33" s="61">
        <v>1848.33434398946</v>
      </c>
      <c r="CT33" s="61">
        <v>1898.71728777303</v>
      </c>
      <c r="CU33" s="61">
        <v>1951.0646467465799</v>
      </c>
      <c r="CV33" s="61">
        <v>2005.4698778532299</v>
      </c>
      <c r="CW33" s="61">
        <v>2062.03139794872</v>
      </c>
      <c r="CX33" s="61">
        <v>2120.852866707</v>
      </c>
      <c r="CY33" s="61">
        <v>2182.0434866330402</v>
      </c>
      <c r="CZ33" s="61">
        <v>2408.5001477999999</v>
      </c>
      <c r="DA33" s="61">
        <v>2440.4414272264298</v>
      </c>
      <c r="DB33" s="61">
        <v>2473.2397466995299</v>
      </c>
      <c r="DC33" s="61">
        <v>2506.9196070763601</v>
      </c>
      <c r="DD33" s="61">
        <v>2541.5062841698</v>
      </c>
      <c r="DE33" s="61">
        <v>2577.02585497875</v>
      </c>
      <c r="DF33" s="61">
        <v>2613.5052248544898</v>
      </c>
      <c r="DG33" s="61">
        <v>2650.9721556377499</v>
      </c>
      <c r="DH33" s="61">
        <v>2689.45529480295</v>
      </c>
      <c r="DI33" s="61">
        <v>2728.9842056467501</v>
      </c>
      <c r="DJ33" s="61">
        <v>2769.5893985602102</v>
      </c>
      <c r="DK33" s="61">
        <v>2811.3023634247002</v>
      </c>
      <c r="DL33" s="61">
        <v>2854.15560317375</v>
      </c>
      <c r="DM33" s="61">
        <v>2898.1826685644301</v>
      </c>
      <c r="DN33" s="61">
        <v>2943.4181942034802</v>
      </c>
      <c r="DO33" s="61">
        <v>2989.8979358753299</v>
      </c>
      <c r="DP33" s="61">
        <v>3037.6588092207999</v>
      </c>
      <c r="DQ33" s="61">
        <v>3086.7389298172902</v>
      </c>
      <c r="DR33" s="61">
        <v>3137.1776547131399</v>
      </c>
      <c r="DS33" s="61">
        <v>3189.0156254709</v>
      </c>
    </row>
    <row r="36" spans="1:123" ht="18.75">
      <c r="A36" s="41" t="s">
        <v>108</v>
      </c>
    </row>
    <row r="54" spans="1:1" ht="18.75">
      <c r="A54" s="41" t="s">
        <v>109</v>
      </c>
    </row>
    <row r="71" spans="1:1" ht="18.75">
      <c r="A71" s="41" t="s">
        <v>110</v>
      </c>
    </row>
    <row r="87" spans="1:1" ht="18.75">
      <c r="A87" s="41" t="s">
        <v>111</v>
      </c>
    </row>
    <row r="104" spans="1:1" ht="18.75">
      <c r="A104" s="41" t="s">
        <v>112</v>
      </c>
    </row>
    <row r="121" spans="1:1" ht="18.75">
      <c r="A121" s="41" t="s">
        <v>113</v>
      </c>
    </row>
    <row r="139" spans="1:1" ht="18.75">
      <c r="A139" s="41" t="s">
        <v>114</v>
      </c>
    </row>
    <row r="156" spans="1:1" ht="18.75">
      <c r="A156" s="41" t="s">
        <v>115</v>
      </c>
    </row>
  </sheetData>
  <protectedRanges>
    <protectedRange algorithmName="SHA-512" hashValue="tJ07WnsgJyyGiJEBfxwI7d1pcgV+ZuMfIB9UYhTCZc0ENq8/viNCEdFfWwx30SyaeoBHdFg2pbga5+S7D3rYKA==" saltValue="BT7WbpsH4vhuWkptaEq9pA==" spinCount="100000" sqref="D5 X3:X4 AR3:AR4 BL3:BL4 CF3:CF4 CZ3:CZ4 D3:E3 D24:D25 X24:X25 AR24:AR25 BL24:BL25 CF24:CF25 CZ24:CZ25 B24:C26 B27:B33 B11:B22 B3:C10" name="Range1_1"/>
    <protectedRange algorithmName="SHA-512" hashValue="NmN9tiW5US+EDfCjnYkTgZBDD7I1s5NUh1F96KNwVdhFLIwl6AFq00z57smkVzYrUFltG9JznLfkAswzc7EPVw==" saltValue="7mOsyDnSZAAmoYChL3kvfQ==" spinCount="100000" sqref="C11:C12 C27" name="Range1_1_1"/>
    <protectedRange algorithmName="SHA-512" hashValue="qWEaPBMhAZIjvUsZEEFaqPbxbK/7dHzr++XHjlYsvCqqmfKvVM+CxRCEK/G9LuhjNYs5N2l4td1WuNiistWgQg==" saltValue="OOG5WURMhGg0Luxnq6CFBQ==" spinCount="100000" sqref="C33 C15:C17" name="Range1_2"/>
    <protectedRange algorithmName="SHA-512" hashValue="+rM9cOhDQIUCA/0wgEmkMyg8kgdMqBjfDdw0T4oS8aqmolN9KCspcf4dwzTDLTJDMnI231gcGZQy+R9dkeIZ3w==" saltValue="g9/SIj7GlndbIcIoQJPbyA==" spinCount="100000" sqref="C18:C22" name="Range1_3"/>
    <protectedRange algorithmName="SHA-512" hashValue="NmN9tiW5US+EDfCjnYkTgZBDD7I1s5NUh1F96KNwVdhFLIwl6AFq00z57smkVzYrUFltG9JznLfkAswzc7EPVw==" saltValue="7mOsyDnSZAAmoYChL3kvfQ==" spinCount="100000" sqref="AR26:BK26 C13 CF13:XFD13" name="Range1_1_2"/>
  </protectedRanges>
  <mergeCells count="18">
    <mergeCell ref="CZ24:DS24"/>
    <mergeCell ref="D3:D4"/>
    <mergeCell ref="E3:E4"/>
    <mergeCell ref="F3:F4"/>
    <mergeCell ref="G3:G4"/>
    <mergeCell ref="H3:H4"/>
    <mergeCell ref="I3:I4"/>
    <mergeCell ref="D24:W24"/>
    <mergeCell ref="X24:AQ24"/>
    <mergeCell ref="AR24:BK24"/>
    <mergeCell ref="BL24:CE24"/>
    <mergeCell ref="CF24:CY24"/>
    <mergeCell ref="C3:C4"/>
    <mergeCell ref="B3:B4"/>
    <mergeCell ref="A3:A4"/>
    <mergeCell ref="A24:A25"/>
    <mergeCell ref="B24:B25"/>
    <mergeCell ref="C24:C25"/>
  </mergeCells>
  <phoneticPr fontId="14" type="noConversion"/>
  <hyperlinks>
    <hyperlink ref="A2" r:id="rId1" display="../../../../../../:x:/r/sites/CGIARTransitionandInception-Generaldocsandinfo/Shared Documents/Inception Phase templates/Prioritisation template and resources/Projected Benefits Data (Nov 2024) - With Analysis.xlsx?d=w7936eb4a6e9c499ca7a8759f3077695a&amp;csf=1&amp;web=1&amp;e=OJdygz" xr:uid="{0B5A1B6B-F34D-47D8-B4E0-C4E7B12E83C2}"/>
    <hyperlink ref="A1" r:id="rId2" display="../../../../../../:x:/s/CGIARTransitionandInception-Generaldocsandinfo/ES0wPZ9b6VFBpOBI6M1voBwBTuh_RNQ1Iu8iQhUceODEjA?e=SmqxFU" xr:uid="{A42AA460-F778-46A6-AC0B-AF807EBC1245}"/>
  </hyperlink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E2E4A-83D1-4AAD-B2BB-E2160EF2F3EB}">
  <dimension ref="A1:O32"/>
  <sheetViews>
    <sheetView zoomScale="60" zoomScaleNormal="60" workbookViewId="0">
      <pane xSplit="3" ySplit="10" topLeftCell="D26" activePane="bottomRight" state="frozen"/>
      <selection pane="bottomRight" activeCell="D28" sqref="D28"/>
      <selection pane="bottomLeft" activeCell="C11" sqref="C11"/>
      <selection pane="topRight" activeCell="C11" sqref="C11"/>
    </sheetView>
  </sheetViews>
  <sheetFormatPr defaultColWidth="8.85546875" defaultRowHeight="15"/>
  <cols>
    <col min="1" max="1" width="10" style="26" bestFit="1" customWidth="1"/>
    <col min="2" max="2" width="8.85546875" style="26"/>
    <col min="3" max="3" width="74.42578125" style="26" customWidth="1"/>
    <col min="4" max="9" width="8.85546875" style="28"/>
    <col min="10" max="10" width="8.85546875" style="26"/>
    <col min="11" max="11" width="64.42578125" style="26" customWidth="1"/>
    <col min="12" max="15" width="52.42578125" style="26" customWidth="1"/>
    <col min="16" max="16384" width="8.85546875" style="26"/>
  </cols>
  <sheetData>
    <row r="1" spans="1:15" s="19" customFormat="1" ht="15.75" thickBot="1">
      <c r="C1" s="20" t="s">
        <v>116</v>
      </c>
    </row>
    <row r="2" spans="1:15" customFormat="1">
      <c r="A2" s="9" t="s">
        <v>26</v>
      </c>
      <c r="B2" s="2">
        <v>5</v>
      </c>
      <c r="D2" s="6" t="s">
        <v>5</v>
      </c>
      <c r="E2" s="7" t="s">
        <v>6</v>
      </c>
      <c r="F2" s="7" t="s">
        <v>7</v>
      </c>
      <c r="G2" s="7" t="s">
        <v>8</v>
      </c>
      <c r="H2" s="7" t="s">
        <v>9</v>
      </c>
      <c r="I2" s="8" t="s">
        <v>10</v>
      </c>
      <c r="J2" t="s">
        <v>117</v>
      </c>
      <c r="K2" s="81">
        <f>AVERAGE(D11:I13)</f>
        <v>3.4</v>
      </c>
      <c r="L2" s="85" t="s">
        <v>118</v>
      </c>
      <c r="M2" s="85"/>
    </row>
    <row r="3" spans="1:15" customFormat="1">
      <c r="A3" s="10" t="s">
        <v>27</v>
      </c>
      <c r="B3" s="3">
        <v>4</v>
      </c>
      <c r="C3" t="s">
        <v>119</v>
      </c>
      <c r="D3">
        <f t="shared" ref="D3:I3" si="0">SUM(D11:D59)</f>
        <v>61</v>
      </c>
      <c r="E3">
        <f t="shared" si="0"/>
        <v>29</v>
      </c>
      <c r="F3">
        <f t="shared" si="0"/>
        <v>69</v>
      </c>
      <c r="G3">
        <f t="shared" si="0"/>
        <v>69</v>
      </c>
      <c r="H3">
        <f t="shared" si="0"/>
        <v>69</v>
      </c>
      <c r="I3">
        <f t="shared" si="0"/>
        <v>63</v>
      </c>
      <c r="J3" t="s">
        <v>120</v>
      </c>
      <c r="K3" s="81">
        <f>AVERAGE(D14:I16)</f>
        <v>3</v>
      </c>
      <c r="L3" s="26"/>
    </row>
    <row r="4" spans="1:15" customFormat="1">
      <c r="A4" s="11" t="s">
        <v>28</v>
      </c>
      <c r="B4" s="3">
        <v>3</v>
      </c>
      <c r="C4" t="s">
        <v>121</v>
      </c>
      <c r="D4">
        <f t="shared" ref="D4:I4" si="1">COUNTIF(D$11:D$59, 5)</f>
        <v>2</v>
      </c>
      <c r="E4">
        <f t="shared" si="1"/>
        <v>0</v>
      </c>
      <c r="F4">
        <f t="shared" si="1"/>
        <v>1</v>
      </c>
      <c r="G4">
        <f t="shared" si="1"/>
        <v>2</v>
      </c>
      <c r="H4">
        <f t="shared" si="1"/>
        <v>1</v>
      </c>
      <c r="I4">
        <f t="shared" si="1"/>
        <v>1</v>
      </c>
      <c r="J4" t="s">
        <v>122</v>
      </c>
      <c r="K4" s="82">
        <f>AVERAGE(D17:I21)</f>
        <v>3.36</v>
      </c>
      <c r="L4" s="80"/>
    </row>
    <row r="5" spans="1:15" customFormat="1">
      <c r="A5" s="12" t="s">
        <v>29</v>
      </c>
      <c r="B5" s="3">
        <v>2</v>
      </c>
      <c r="C5" t="s">
        <v>123</v>
      </c>
      <c r="D5">
        <f t="shared" ref="D5:I5" si="2">COUNTIF(D$11:D$59, 4)</f>
        <v>1</v>
      </c>
      <c r="E5">
        <f t="shared" si="2"/>
        <v>0</v>
      </c>
      <c r="F5">
        <f t="shared" si="2"/>
        <v>6</v>
      </c>
      <c r="G5">
        <f t="shared" si="2"/>
        <v>6</v>
      </c>
      <c r="H5">
        <f t="shared" si="2"/>
        <v>8</v>
      </c>
      <c r="I5">
        <f t="shared" si="2"/>
        <v>7</v>
      </c>
      <c r="J5" t="s">
        <v>124</v>
      </c>
      <c r="K5" s="82">
        <f>AVERAGE(D22:I26)</f>
        <v>2.8333333333333335</v>
      </c>
      <c r="L5" s="80"/>
    </row>
    <row r="6" spans="1:15" customFormat="1" ht="15.75" thickBot="1">
      <c r="A6" s="13" t="s">
        <v>30</v>
      </c>
      <c r="B6" s="4">
        <v>1</v>
      </c>
      <c r="C6" t="s">
        <v>125</v>
      </c>
      <c r="D6">
        <f t="shared" ref="D6:I6" si="3">COUNTIF(D$11:D$59, 3)</f>
        <v>10</v>
      </c>
      <c r="E6">
        <f t="shared" si="3"/>
        <v>9</v>
      </c>
      <c r="F6">
        <f t="shared" si="3"/>
        <v>10</v>
      </c>
      <c r="G6">
        <f t="shared" si="3"/>
        <v>7</v>
      </c>
      <c r="H6">
        <f t="shared" si="3"/>
        <v>6</v>
      </c>
      <c r="I6">
        <f t="shared" si="3"/>
        <v>8</v>
      </c>
      <c r="J6" t="s">
        <v>126</v>
      </c>
      <c r="K6" s="82">
        <f>AVERAGE(D27:I27)</f>
        <v>3.6</v>
      </c>
      <c r="L6" s="79"/>
    </row>
    <row r="7" spans="1:15" customFormat="1">
      <c r="C7" t="s">
        <v>127</v>
      </c>
      <c r="D7">
        <f t="shared" ref="D7:I7" si="4">COUNTIF(D$11:D$59, 2)</f>
        <v>8</v>
      </c>
      <c r="E7">
        <f t="shared" si="4"/>
        <v>1</v>
      </c>
      <c r="F7">
        <f t="shared" si="4"/>
        <v>5</v>
      </c>
      <c r="G7">
        <f t="shared" si="4"/>
        <v>7</v>
      </c>
      <c r="H7">
        <f t="shared" si="4"/>
        <v>7</v>
      </c>
      <c r="I7">
        <f t="shared" si="4"/>
        <v>3</v>
      </c>
      <c r="J7" t="s">
        <v>128</v>
      </c>
      <c r="K7" s="82">
        <f>AVERAGE(D28:I32)</f>
        <v>2.8666666666666667</v>
      </c>
      <c r="L7" s="79"/>
    </row>
    <row r="8" spans="1:15" customFormat="1">
      <c r="C8" t="s">
        <v>129</v>
      </c>
      <c r="D8">
        <f t="shared" ref="D8:I8" si="5">COUNTIF(D$11:D$59, 1)</f>
        <v>1</v>
      </c>
      <c r="E8">
        <f t="shared" si="5"/>
        <v>0</v>
      </c>
      <c r="F8">
        <f t="shared" si="5"/>
        <v>0</v>
      </c>
      <c r="G8">
        <f t="shared" si="5"/>
        <v>0</v>
      </c>
      <c r="H8">
        <f t="shared" si="5"/>
        <v>0</v>
      </c>
      <c r="I8">
        <f t="shared" si="5"/>
        <v>0</v>
      </c>
      <c r="K8" s="116" t="s">
        <v>130</v>
      </c>
      <c r="L8" s="116" t="s">
        <v>131</v>
      </c>
      <c r="M8" s="116" t="s">
        <v>132</v>
      </c>
      <c r="N8" s="116" t="s">
        <v>133</v>
      </c>
      <c r="O8" s="116" t="s">
        <v>134</v>
      </c>
    </row>
    <row r="9" spans="1:15" customFormat="1" ht="15.75" thickBot="1">
      <c r="C9" s="83"/>
      <c r="F9" s="84"/>
      <c r="G9" s="84"/>
      <c r="K9" s="116"/>
      <c r="L9" s="116"/>
      <c r="M9" s="116"/>
      <c r="N9" s="116"/>
      <c r="O9" s="116"/>
    </row>
    <row r="10" spans="1:15" ht="15.75" thickBot="1">
      <c r="C10" s="27" t="s">
        <v>135</v>
      </c>
      <c r="D10" s="22" t="s">
        <v>5</v>
      </c>
      <c r="E10" s="23" t="s">
        <v>6</v>
      </c>
      <c r="F10" s="23" t="s">
        <v>7</v>
      </c>
      <c r="G10" s="23" t="s">
        <v>8</v>
      </c>
      <c r="H10" s="23" t="s">
        <v>9</v>
      </c>
      <c r="I10" s="24" t="s">
        <v>10</v>
      </c>
      <c r="K10" s="116"/>
      <c r="L10" s="116"/>
      <c r="M10" s="116"/>
      <c r="N10" s="116"/>
      <c r="O10" s="116"/>
    </row>
    <row r="11" spans="1:15" ht="306.75" customHeight="1">
      <c r="A11" s="78" t="s">
        <v>33</v>
      </c>
      <c r="B11" s="31">
        <f>COUNTA(C11:C59)</f>
        <v>22</v>
      </c>
      <c r="C11" s="72" t="s">
        <v>34</v>
      </c>
      <c r="D11" s="75">
        <v>3</v>
      </c>
      <c r="E11" s="75"/>
      <c r="F11" s="75">
        <v>4</v>
      </c>
      <c r="G11" s="75">
        <v>4</v>
      </c>
      <c r="H11" s="75">
        <v>4</v>
      </c>
      <c r="I11" s="75">
        <v>3</v>
      </c>
      <c r="J11" s="76"/>
      <c r="K11" s="76" t="s">
        <v>136</v>
      </c>
      <c r="L11" s="76" t="s">
        <v>137</v>
      </c>
      <c r="M11" s="76" t="s">
        <v>138</v>
      </c>
      <c r="N11" s="76" t="s">
        <v>139</v>
      </c>
      <c r="O11" s="76" t="s">
        <v>140</v>
      </c>
    </row>
    <row r="12" spans="1:15" ht="345.75" customHeight="1">
      <c r="A12" s="78" t="s">
        <v>35</v>
      </c>
      <c r="B12" s="32">
        <f>_xlfn.FLOOR.MATH(B11/5)</f>
        <v>4</v>
      </c>
      <c r="C12" s="72" t="s">
        <v>36</v>
      </c>
      <c r="D12" s="75">
        <v>3</v>
      </c>
      <c r="E12" s="75"/>
      <c r="F12" s="75">
        <v>3</v>
      </c>
      <c r="G12" s="75">
        <v>3</v>
      </c>
      <c r="H12" s="75">
        <v>3</v>
      </c>
      <c r="I12" s="75">
        <v>4</v>
      </c>
      <c r="J12" s="76"/>
      <c r="K12" s="76" t="s">
        <v>141</v>
      </c>
      <c r="L12" s="76" t="s">
        <v>142</v>
      </c>
      <c r="M12" s="76" t="s">
        <v>143</v>
      </c>
      <c r="N12" s="76" t="s">
        <v>144</v>
      </c>
      <c r="O12" s="76" t="s">
        <v>145</v>
      </c>
    </row>
    <row r="13" spans="1:15" ht="377.25" customHeight="1">
      <c r="A13" s="78" t="s">
        <v>37</v>
      </c>
      <c r="B13" s="32">
        <f>MOD(B11,5)</f>
        <v>2</v>
      </c>
      <c r="C13" s="72" t="s">
        <v>38</v>
      </c>
      <c r="D13" s="75">
        <v>5</v>
      </c>
      <c r="E13" s="75"/>
      <c r="F13" s="75">
        <v>2</v>
      </c>
      <c r="G13" s="75">
        <v>3</v>
      </c>
      <c r="H13" s="75">
        <v>2</v>
      </c>
      <c r="I13" s="75">
        <v>5</v>
      </c>
      <c r="J13" s="76"/>
      <c r="K13" s="76" t="s">
        <v>146</v>
      </c>
      <c r="L13" s="76" t="s">
        <v>147</v>
      </c>
      <c r="M13" s="76" t="s">
        <v>148</v>
      </c>
      <c r="N13" s="76" t="s">
        <v>149</v>
      </c>
      <c r="O13" s="76" t="s">
        <v>150</v>
      </c>
    </row>
    <row r="14" spans="1:15" ht="314.45" customHeight="1">
      <c r="A14" s="78" t="s">
        <v>39</v>
      </c>
      <c r="B14" s="31">
        <f ca="1">(B12*SUM($B$2:$B$6))+SUM($B$2:INDEX(B:B, $B$13+1))</f>
        <v>69</v>
      </c>
      <c r="C14" s="72" t="s">
        <v>40</v>
      </c>
      <c r="D14" s="73">
        <v>5</v>
      </c>
      <c r="E14" s="75"/>
      <c r="F14" s="73">
        <v>2</v>
      </c>
      <c r="G14" s="73">
        <v>4</v>
      </c>
      <c r="H14" s="73">
        <v>3</v>
      </c>
      <c r="I14" s="75"/>
      <c r="J14" s="25"/>
      <c r="K14" s="25" t="s">
        <v>151</v>
      </c>
      <c r="L14" s="25" t="s">
        <v>152</v>
      </c>
      <c r="M14" s="25" t="s">
        <v>153</v>
      </c>
      <c r="N14" s="71" t="s">
        <v>154</v>
      </c>
      <c r="O14" s="25" t="s">
        <v>155</v>
      </c>
    </row>
    <row r="15" spans="1:15" ht="201.6" customHeight="1">
      <c r="C15" s="72" t="s">
        <v>41</v>
      </c>
      <c r="D15" s="73">
        <v>1</v>
      </c>
      <c r="E15" s="75"/>
      <c r="F15" s="73">
        <v>3</v>
      </c>
      <c r="G15" s="73">
        <v>3</v>
      </c>
      <c r="H15" s="73">
        <v>4</v>
      </c>
      <c r="I15" s="75"/>
      <c r="J15" s="25"/>
      <c r="K15" s="25" t="s">
        <v>156</v>
      </c>
      <c r="L15" s="25" t="s">
        <v>157</v>
      </c>
      <c r="M15" s="71" t="s">
        <v>158</v>
      </c>
      <c r="N15" s="71" t="s">
        <v>159</v>
      </c>
      <c r="O15" s="25" t="s">
        <v>160</v>
      </c>
    </row>
    <row r="16" spans="1:15" ht="172.5" customHeight="1">
      <c r="C16" s="72" t="s">
        <v>42</v>
      </c>
      <c r="D16" s="73">
        <v>3</v>
      </c>
      <c r="E16" s="75"/>
      <c r="F16" s="73">
        <v>4</v>
      </c>
      <c r="G16" s="73">
        <v>2</v>
      </c>
      <c r="H16" s="73">
        <v>2</v>
      </c>
      <c r="I16" s="75"/>
      <c r="J16" s="25"/>
      <c r="K16" s="25" t="s">
        <v>161</v>
      </c>
      <c r="L16" s="25" t="s">
        <v>162</v>
      </c>
      <c r="M16" s="25" t="s">
        <v>163</v>
      </c>
      <c r="N16" s="25"/>
      <c r="O16" s="25"/>
    </row>
    <row r="17" spans="3:15" ht="409.5" customHeight="1">
      <c r="C17" s="72" t="s">
        <v>43</v>
      </c>
      <c r="D17" s="73">
        <v>3</v>
      </c>
      <c r="E17" s="75"/>
      <c r="F17" s="73">
        <v>3</v>
      </c>
      <c r="G17" s="73">
        <v>5</v>
      </c>
      <c r="H17" s="73">
        <v>5</v>
      </c>
      <c r="I17" s="73">
        <v>3</v>
      </c>
      <c r="J17" s="25"/>
      <c r="K17" s="25" t="s">
        <v>164</v>
      </c>
      <c r="L17" s="25" t="s">
        <v>165</v>
      </c>
      <c r="M17" s="25" t="s">
        <v>166</v>
      </c>
      <c r="N17" s="25" t="s">
        <v>167</v>
      </c>
      <c r="O17" s="25" t="s">
        <v>168</v>
      </c>
    </row>
    <row r="18" spans="3:15" ht="227.45" customHeight="1">
      <c r="C18" s="72" t="s">
        <v>44</v>
      </c>
      <c r="D18" s="73">
        <v>3</v>
      </c>
      <c r="E18" s="75"/>
      <c r="F18" s="73">
        <v>4</v>
      </c>
      <c r="G18" s="73">
        <v>4</v>
      </c>
      <c r="H18" s="73">
        <v>3</v>
      </c>
      <c r="I18" s="73">
        <v>4</v>
      </c>
      <c r="J18" s="25"/>
      <c r="K18" s="25" t="s">
        <v>169</v>
      </c>
      <c r="L18" s="76" t="s">
        <v>170</v>
      </c>
      <c r="M18" s="25" t="s">
        <v>171</v>
      </c>
      <c r="N18" s="25" t="s">
        <v>172</v>
      </c>
      <c r="O18" s="25" t="s">
        <v>173</v>
      </c>
    </row>
    <row r="19" spans="3:15" ht="107.25" customHeight="1">
      <c r="C19" s="72" t="s">
        <v>45</v>
      </c>
      <c r="D19" s="73">
        <v>2</v>
      </c>
      <c r="E19" s="75"/>
      <c r="F19" s="73">
        <v>3</v>
      </c>
      <c r="G19" s="73">
        <v>3</v>
      </c>
      <c r="H19" s="73">
        <v>4</v>
      </c>
      <c r="I19" s="73">
        <v>3</v>
      </c>
      <c r="J19" s="25"/>
      <c r="K19" s="25" t="s">
        <v>174</v>
      </c>
      <c r="L19" s="76" t="s">
        <v>175</v>
      </c>
      <c r="M19" s="25" t="s">
        <v>176</v>
      </c>
      <c r="N19" s="25" t="s">
        <v>172</v>
      </c>
      <c r="O19" s="25" t="s">
        <v>177</v>
      </c>
    </row>
    <row r="20" spans="3:15" ht="288.75" customHeight="1">
      <c r="C20" s="72" t="s">
        <v>46</v>
      </c>
      <c r="D20" s="73">
        <v>3</v>
      </c>
      <c r="E20" s="75"/>
      <c r="F20" s="73">
        <v>3</v>
      </c>
      <c r="G20" s="73">
        <v>3</v>
      </c>
      <c r="H20" s="73">
        <v>4</v>
      </c>
      <c r="I20" s="73">
        <v>3</v>
      </c>
      <c r="J20" s="25"/>
      <c r="K20" s="25" t="s">
        <v>178</v>
      </c>
      <c r="L20" s="86" t="s">
        <v>179</v>
      </c>
      <c r="M20" s="25" t="s">
        <v>180</v>
      </c>
      <c r="N20" s="25" t="s">
        <v>181</v>
      </c>
      <c r="O20" s="25" t="s">
        <v>182</v>
      </c>
    </row>
    <row r="21" spans="3:15" ht="165" customHeight="1">
      <c r="C21" s="72" t="s">
        <v>47</v>
      </c>
      <c r="D21" s="73">
        <v>4</v>
      </c>
      <c r="E21" s="75"/>
      <c r="F21" s="73">
        <v>3</v>
      </c>
      <c r="G21" s="73">
        <v>2</v>
      </c>
      <c r="H21" s="73">
        <v>3</v>
      </c>
      <c r="I21" s="73">
        <v>4</v>
      </c>
      <c r="J21" s="25"/>
      <c r="K21" s="25" t="s">
        <v>183</v>
      </c>
      <c r="L21" s="87" t="s">
        <v>184</v>
      </c>
      <c r="M21" s="25" t="s">
        <v>185</v>
      </c>
      <c r="N21" s="25" t="s">
        <v>186</v>
      </c>
      <c r="O21" s="25"/>
    </row>
    <row r="22" spans="3:15" ht="174" customHeight="1">
      <c r="C22" s="72" t="s">
        <v>48</v>
      </c>
      <c r="D22" s="73">
        <v>2</v>
      </c>
      <c r="E22" s="73">
        <v>3</v>
      </c>
      <c r="F22" s="73">
        <v>2</v>
      </c>
      <c r="G22" s="73">
        <v>2</v>
      </c>
      <c r="H22" s="73">
        <v>2</v>
      </c>
      <c r="I22" s="73">
        <v>3</v>
      </c>
      <c r="J22" s="25"/>
      <c r="K22" s="25" t="s">
        <v>187</v>
      </c>
      <c r="L22" s="25" t="s">
        <v>188</v>
      </c>
      <c r="M22" s="25" t="s">
        <v>189</v>
      </c>
      <c r="N22" s="25" t="s">
        <v>190</v>
      </c>
      <c r="O22" s="25" t="s">
        <v>191</v>
      </c>
    </row>
    <row r="23" spans="3:15" ht="102.6" customHeight="1">
      <c r="C23" s="72" t="s">
        <v>49</v>
      </c>
      <c r="D23" s="73">
        <v>2</v>
      </c>
      <c r="E23" s="73">
        <v>3</v>
      </c>
      <c r="F23" s="73">
        <v>5</v>
      </c>
      <c r="G23" s="73">
        <v>5</v>
      </c>
      <c r="H23" s="73">
        <v>4</v>
      </c>
      <c r="I23" s="73">
        <v>4</v>
      </c>
      <c r="J23" s="25"/>
      <c r="K23" s="25" t="s">
        <v>192</v>
      </c>
      <c r="L23" s="25" t="s">
        <v>193</v>
      </c>
      <c r="M23" s="25" t="s">
        <v>185</v>
      </c>
      <c r="N23" s="25" t="s">
        <v>194</v>
      </c>
      <c r="O23" s="25" t="s">
        <v>195</v>
      </c>
    </row>
    <row r="24" spans="3:15" ht="122.45" customHeight="1">
      <c r="C24" s="72" t="s">
        <v>50</v>
      </c>
      <c r="D24" s="73">
        <v>2</v>
      </c>
      <c r="E24" s="73">
        <v>3</v>
      </c>
      <c r="F24" s="73">
        <v>4</v>
      </c>
      <c r="G24" s="73">
        <v>4</v>
      </c>
      <c r="H24" s="73">
        <v>4</v>
      </c>
      <c r="I24" s="73">
        <v>4</v>
      </c>
      <c r="J24" s="25"/>
      <c r="K24" s="25" t="s">
        <v>196</v>
      </c>
      <c r="L24" s="25" t="s">
        <v>197</v>
      </c>
      <c r="M24" s="25" t="s">
        <v>198</v>
      </c>
      <c r="N24" s="25" t="s">
        <v>199</v>
      </c>
      <c r="O24" s="25" t="s">
        <v>200</v>
      </c>
    </row>
    <row r="25" spans="3:15" ht="122.1" customHeight="1">
      <c r="C25" s="72" t="s">
        <v>51</v>
      </c>
      <c r="D25" s="73">
        <v>2</v>
      </c>
      <c r="E25" s="73">
        <v>3</v>
      </c>
      <c r="F25" s="73">
        <v>2</v>
      </c>
      <c r="G25" s="73">
        <v>2</v>
      </c>
      <c r="H25" s="73">
        <v>2</v>
      </c>
      <c r="I25" s="73">
        <v>2</v>
      </c>
      <c r="J25" s="25"/>
      <c r="K25" s="25" t="s">
        <v>201</v>
      </c>
      <c r="L25" s="25" t="s">
        <v>202</v>
      </c>
      <c r="M25" s="25" t="s">
        <v>203</v>
      </c>
      <c r="N25" s="25" t="s">
        <v>204</v>
      </c>
      <c r="O25" s="25" t="s">
        <v>205</v>
      </c>
    </row>
    <row r="26" spans="3:15" ht="116.1" customHeight="1">
      <c r="C26" s="72" t="s">
        <v>52</v>
      </c>
      <c r="D26" s="73">
        <v>2</v>
      </c>
      <c r="E26" s="73">
        <v>3</v>
      </c>
      <c r="F26" s="73">
        <v>3</v>
      </c>
      <c r="G26" s="73">
        <v>2</v>
      </c>
      <c r="H26" s="73">
        <v>2</v>
      </c>
      <c r="I26" s="73">
        <v>2</v>
      </c>
      <c r="J26" s="25"/>
      <c r="K26" s="25" t="s">
        <v>206</v>
      </c>
      <c r="L26" s="25" t="s">
        <v>207</v>
      </c>
      <c r="M26" s="25" t="s">
        <v>208</v>
      </c>
      <c r="N26" s="25" t="s">
        <v>209</v>
      </c>
      <c r="O26" s="25" t="s">
        <v>210</v>
      </c>
    </row>
    <row r="27" spans="3:15" ht="219" customHeight="1">
      <c r="C27" s="25" t="s">
        <v>53</v>
      </c>
      <c r="D27" s="73">
        <v>2</v>
      </c>
      <c r="E27" s="75"/>
      <c r="F27" s="73">
        <v>4</v>
      </c>
      <c r="G27" s="73">
        <v>4</v>
      </c>
      <c r="H27" s="73">
        <v>4</v>
      </c>
      <c r="I27" s="73">
        <v>4</v>
      </c>
      <c r="J27" s="25"/>
      <c r="K27" s="25" t="s">
        <v>211</v>
      </c>
      <c r="L27" s="25" t="s">
        <v>212</v>
      </c>
      <c r="M27" s="76" t="s">
        <v>213</v>
      </c>
      <c r="N27" s="76" t="s">
        <v>139</v>
      </c>
      <c r="O27" s="25" t="s">
        <v>214</v>
      </c>
    </row>
    <row r="28" spans="3:15" ht="30">
      <c r="C28" s="72" t="s">
        <v>215</v>
      </c>
      <c r="D28" s="73">
        <v>2</v>
      </c>
      <c r="E28" s="73">
        <v>2</v>
      </c>
      <c r="F28" s="73">
        <v>3</v>
      </c>
      <c r="G28" s="73">
        <v>3</v>
      </c>
      <c r="H28" s="73">
        <v>3</v>
      </c>
      <c r="I28" s="73">
        <v>2</v>
      </c>
      <c r="J28" s="25"/>
      <c r="K28" s="25" t="s">
        <v>216</v>
      </c>
      <c r="L28" s="25" t="s">
        <v>217</v>
      </c>
      <c r="M28" s="25" t="s">
        <v>218</v>
      </c>
      <c r="N28" s="25" t="s">
        <v>219</v>
      </c>
      <c r="O28" s="25" t="s">
        <v>220</v>
      </c>
    </row>
    <row r="29" spans="3:15" ht="45">
      <c r="C29" s="72" t="s">
        <v>55</v>
      </c>
      <c r="D29" s="73">
        <v>3</v>
      </c>
      <c r="E29" s="73">
        <v>3</v>
      </c>
      <c r="F29" s="73">
        <v>4</v>
      </c>
      <c r="G29" s="73">
        <v>4</v>
      </c>
      <c r="H29" s="73">
        <v>4</v>
      </c>
      <c r="I29" s="73">
        <v>4</v>
      </c>
      <c r="J29" s="25"/>
      <c r="K29" s="25" t="s">
        <v>221</v>
      </c>
      <c r="L29" s="25" t="s">
        <v>222</v>
      </c>
      <c r="M29" s="25" t="s">
        <v>223</v>
      </c>
      <c r="N29" s="25" t="s">
        <v>224</v>
      </c>
      <c r="O29" s="25" t="s">
        <v>225</v>
      </c>
    </row>
    <row r="30" spans="3:15" ht="45">
      <c r="C30" s="72" t="s">
        <v>56</v>
      </c>
      <c r="D30" s="73">
        <v>3</v>
      </c>
      <c r="E30" s="73">
        <v>3</v>
      </c>
      <c r="F30" s="73">
        <v>3</v>
      </c>
      <c r="G30" s="73">
        <v>2</v>
      </c>
      <c r="H30" s="73">
        <v>2</v>
      </c>
      <c r="I30" s="73">
        <v>3</v>
      </c>
      <c r="J30" s="25"/>
      <c r="K30" s="25"/>
      <c r="L30" s="25"/>
      <c r="M30" s="25"/>
      <c r="N30" s="25"/>
      <c r="O30" s="25"/>
    </row>
    <row r="31" spans="3:15" ht="30">
      <c r="C31" s="72" t="s">
        <v>57</v>
      </c>
      <c r="D31" s="73">
        <v>3</v>
      </c>
      <c r="E31" s="73">
        <v>3</v>
      </c>
      <c r="F31" s="73">
        <v>2</v>
      </c>
      <c r="G31" s="73">
        <v>2</v>
      </c>
      <c r="H31" s="73">
        <v>2</v>
      </c>
      <c r="I31" s="73">
        <v>3</v>
      </c>
      <c r="J31" s="25"/>
      <c r="K31" s="25"/>
      <c r="L31" s="25"/>
      <c r="M31" s="25"/>
      <c r="N31" s="25"/>
      <c r="O31" s="25"/>
    </row>
    <row r="32" spans="3:15" ht="45">
      <c r="C32" s="72" t="s">
        <v>58</v>
      </c>
      <c r="D32" s="73">
        <v>3</v>
      </c>
      <c r="E32" s="73">
        <v>3</v>
      </c>
      <c r="F32" s="73">
        <v>3</v>
      </c>
      <c r="G32" s="73">
        <v>3</v>
      </c>
      <c r="H32" s="73">
        <v>3</v>
      </c>
      <c r="I32" s="73">
        <v>3</v>
      </c>
      <c r="J32" s="25"/>
      <c r="K32" s="25" t="s">
        <v>226</v>
      </c>
      <c r="L32" s="25" t="s">
        <v>227</v>
      </c>
      <c r="M32" s="25" t="s">
        <v>228</v>
      </c>
      <c r="N32" s="25" t="s">
        <v>229</v>
      </c>
      <c r="O32" s="25" t="s">
        <v>230</v>
      </c>
    </row>
  </sheetData>
  <mergeCells count="5">
    <mergeCell ref="N8:N10"/>
    <mergeCell ref="M8:M10"/>
    <mergeCell ref="O8:O10"/>
    <mergeCell ref="K8:K10"/>
    <mergeCell ref="L8:L10"/>
  </mergeCells>
  <phoneticPr fontId="14" type="noConversion"/>
  <conditionalFormatting sqref="D3:I3">
    <cfRule type="cellIs" dxfId="4" priority="3" operator="greaterThan">
      <formula>$B$14</formula>
    </cfRule>
  </conditionalFormatting>
  <conditionalFormatting sqref="D11:I32">
    <cfRule type="colorScale" priority="60">
      <colorScale>
        <cfvo type="min"/>
        <cfvo type="percentile" val="50"/>
        <cfvo type="max"/>
        <color rgb="FFF8696B"/>
        <color rgb="FFFFEB84"/>
        <color rgb="FF63BE7B"/>
      </colorScale>
    </cfRule>
  </conditionalFormatting>
  <dataValidations count="1">
    <dataValidation type="whole" allowBlank="1" showInputMessage="1" showErrorMessage="1" sqref="D11:I32" xr:uid="{AAE441F7-AF4E-4A2E-BE1F-21639CFE1F36}">
      <formula1>1</formula1>
      <formula2>5</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20485-44AA-477A-900A-3D50FD282793}">
  <dimension ref="A1:O32"/>
  <sheetViews>
    <sheetView zoomScale="60" zoomScaleNormal="60" workbookViewId="0">
      <pane xSplit="3" ySplit="10" topLeftCell="D11" activePane="bottomRight" state="frozen"/>
      <selection pane="bottomRight" activeCell="D11" sqref="D11"/>
      <selection pane="bottomLeft" activeCell="C11" sqref="C11"/>
      <selection pane="topRight" activeCell="C11" sqref="C11"/>
    </sheetView>
  </sheetViews>
  <sheetFormatPr defaultRowHeight="15"/>
  <cols>
    <col min="1" max="1" width="10" bestFit="1" customWidth="1"/>
    <col min="3" max="3" width="74.42578125" customWidth="1"/>
    <col min="11" max="15" width="52.42578125" style="26" customWidth="1"/>
  </cols>
  <sheetData>
    <row r="1" spans="1:15" s="19" customFormat="1" ht="15.75" thickBot="1">
      <c r="C1" s="20" t="s">
        <v>231</v>
      </c>
    </row>
    <row r="2" spans="1:15" ht="15.75" thickBot="1">
      <c r="A2" s="9" t="s">
        <v>26</v>
      </c>
      <c r="B2" s="2">
        <v>5</v>
      </c>
      <c r="D2" s="6" t="s">
        <v>5</v>
      </c>
      <c r="E2" s="7" t="s">
        <v>6</v>
      </c>
      <c r="F2" s="7" t="s">
        <v>7</v>
      </c>
      <c r="G2" s="7" t="s">
        <v>8</v>
      </c>
      <c r="H2" s="7" t="s">
        <v>9</v>
      </c>
      <c r="I2" s="8" t="s">
        <v>10</v>
      </c>
      <c r="J2" t="s">
        <v>117</v>
      </c>
      <c r="K2" s="81">
        <f>AVERAGE(D11:I13)</f>
        <v>3</v>
      </c>
      <c r="L2"/>
      <c r="M2"/>
      <c r="N2"/>
      <c r="O2"/>
    </row>
    <row r="3" spans="1:15">
      <c r="A3" s="10" t="s">
        <v>27</v>
      </c>
      <c r="B3" s="3">
        <v>4</v>
      </c>
      <c r="C3" t="s">
        <v>232</v>
      </c>
      <c r="D3">
        <f t="shared" ref="D3:I3" si="0">SUM(D11:D59)</f>
        <v>49</v>
      </c>
      <c r="E3">
        <f t="shared" si="0"/>
        <v>19</v>
      </c>
      <c r="F3">
        <f t="shared" si="0"/>
        <v>69</v>
      </c>
      <c r="G3">
        <f t="shared" si="0"/>
        <v>69</v>
      </c>
      <c r="H3">
        <f t="shared" si="0"/>
        <v>69</v>
      </c>
      <c r="I3">
        <f t="shared" si="0"/>
        <v>60</v>
      </c>
      <c r="J3" t="s">
        <v>120</v>
      </c>
      <c r="K3" s="81">
        <f>AVERAGE(D14:I16)</f>
        <v>3.5833333333333335</v>
      </c>
      <c r="L3"/>
      <c r="M3"/>
      <c r="N3"/>
      <c r="O3"/>
    </row>
    <row r="4" spans="1:15">
      <c r="A4" s="11" t="s">
        <v>28</v>
      </c>
      <c r="B4" s="3">
        <v>3</v>
      </c>
      <c r="C4" t="s">
        <v>121</v>
      </c>
      <c r="D4">
        <f t="shared" ref="D4:I4" si="1">COUNTIF(D$11:D$59, 5)</f>
        <v>2</v>
      </c>
      <c r="E4">
        <f t="shared" si="1"/>
        <v>0</v>
      </c>
      <c r="F4">
        <f t="shared" si="1"/>
        <v>4</v>
      </c>
      <c r="G4">
        <f t="shared" si="1"/>
        <v>4</v>
      </c>
      <c r="H4">
        <f t="shared" si="1"/>
        <v>4</v>
      </c>
      <c r="I4">
        <f t="shared" si="1"/>
        <v>4</v>
      </c>
      <c r="J4" t="s">
        <v>122</v>
      </c>
      <c r="K4" s="82">
        <f>AVERAGE(D17:I21)</f>
        <v>3.4</v>
      </c>
      <c r="L4"/>
      <c r="M4"/>
      <c r="N4"/>
      <c r="O4"/>
    </row>
    <row r="5" spans="1:15">
      <c r="A5" s="12" t="s">
        <v>29</v>
      </c>
      <c r="B5" s="3">
        <v>2</v>
      </c>
      <c r="C5" t="s">
        <v>123</v>
      </c>
      <c r="D5">
        <f t="shared" ref="D5:I5" si="2">COUNTIF(D$11:D$59, 4)</f>
        <v>4</v>
      </c>
      <c r="E5">
        <f t="shared" si="2"/>
        <v>0</v>
      </c>
      <c r="F5">
        <f t="shared" si="2"/>
        <v>2</v>
      </c>
      <c r="G5">
        <f t="shared" si="2"/>
        <v>2</v>
      </c>
      <c r="H5">
        <f t="shared" si="2"/>
        <v>3</v>
      </c>
      <c r="I5">
        <f t="shared" si="2"/>
        <v>2</v>
      </c>
      <c r="J5" t="s">
        <v>124</v>
      </c>
      <c r="K5" s="82">
        <f>AVERAGE(D22:I26)</f>
        <v>3.0666666666666669</v>
      </c>
      <c r="L5"/>
      <c r="M5"/>
      <c r="N5"/>
      <c r="O5"/>
    </row>
    <row r="6" spans="1:15" ht="15.75" thickBot="1">
      <c r="A6" s="13" t="s">
        <v>30</v>
      </c>
      <c r="B6" s="4">
        <v>1</v>
      </c>
      <c r="C6" t="s">
        <v>125</v>
      </c>
      <c r="D6">
        <f t="shared" ref="D6:I6" si="3">COUNTIF(D$11:D$59, 3)</f>
        <v>3</v>
      </c>
      <c r="E6">
        <f t="shared" si="3"/>
        <v>6</v>
      </c>
      <c r="F6">
        <f t="shared" si="3"/>
        <v>10</v>
      </c>
      <c r="G6">
        <f t="shared" si="3"/>
        <v>10</v>
      </c>
      <c r="H6">
        <f t="shared" si="3"/>
        <v>8</v>
      </c>
      <c r="I6">
        <f t="shared" si="3"/>
        <v>7</v>
      </c>
      <c r="J6" t="s">
        <v>126</v>
      </c>
      <c r="K6" s="82">
        <f>AVERAGE(D27:I27)</f>
        <v>1.6666666666666667</v>
      </c>
      <c r="L6"/>
      <c r="M6"/>
      <c r="N6"/>
      <c r="O6"/>
    </row>
    <row r="7" spans="1:15">
      <c r="C7" t="s">
        <v>127</v>
      </c>
      <c r="D7">
        <f t="shared" ref="D7:I7" si="4">COUNTIF(D$11:D$59, 2)</f>
        <v>5</v>
      </c>
      <c r="E7">
        <f t="shared" si="4"/>
        <v>0</v>
      </c>
      <c r="F7">
        <f t="shared" si="4"/>
        <v>5</v>
      </c>
      <c r="G7">
        <f t="shared" si="4"/>
        <v>5</v>
      </c>
      <c r="H7">
        <f t="shared" si="4"/>
        <v>6</v>
      </c>
      <c r="I7">
        <f t="shared" si="4"/>
        <v>5</v>
      </c>
      <c r="J7" t="s">
        <v>128</v>
      </c>
      <c r="K7" s="82">
        <f>AVERAGE(D28:I32)</f>
        <v>2.7272727272727271</v>
      </c>
      <c r="L7"/>
      <c r="M7"/>
      <c r="N7"/>
      <c r="O7"/>
    </row>
    <row r="8" spans="1:15" ht="14.45" customHeight="1">
      <c r="C8" t="s">
        <v>129</v>
      </c>
      <c r="D8">
        <f t="shared" ref="D8:I8" si="5">COUNTIF(D$11:D$59, 1)</f>
        <v>4</v>
      </c>
      <c r="E8">
        <f t="shared" si="5"/>
        <v>1</v>
      </c>
      <c r="F8">
        <f t="shared" si="5"/>
        <v>1</v>
      </c>
      <c r="G8">
        <f t="shared" si="5"/>
        <v>1</v>
      </c>
      <c r="H8">
        <f t="shared" si="5"/>
        <v>1</v>
      </c>
      <c r="I8">
        <f t="shared" si="5"/>
        <v>1</v>
      </c>
      <c r="K8" s="116" t="s">
        <v>130</v>
      </c>
      <c r="L8" s="116" t="s">
        <v>131</v>
      </c>
      <c r="M8" s="116" t="s">
        <v>132</v>
      </c>
      <c r="N8" s="116" t="s">
        <v>133</v>
      </c>
      <c r="O8" s="116" t="s">
        <v>134</v>
      </c>
    </row>
    <row r="9" spans="1:15" ht="15.75" thickBot="1">
      <c r="K9" s="116"/>
      <c r="L9" s="116"/>
      <c r="M9" s="116"/>
      <c r="N9" s="116"/>
      <c r="O9" s="116"/>
    </row>
    <row r="10" spans="1:15" ht="15.75" thickBot="1">
      <c r="C10" s="21" t="s">
        <v>135</v>
      </c>
      <c r="D10" s="6" t="s">
        <v>5</v>
      </c>
      <c r="E10" s="7" t="s">
        <v>6</v>
      </c>
      <c r="F10" s="7" t="s">
        <v>7</v>
      </c>
      <c r="G10" s="7" t="s">
        <v>8</v>
      </c>
      <c r="H10" s="7" t="s">
        <v>9</v>
      </c>
      <c r="I10" s="8" t="s">
        <v>10</v>
      </c>
      <c r="K10" s="116"/>
      <c r="L10" s="116"/>
      <c r="M10" s="116"/>
      <c r="N10" s="116"/>
      <c r="O10" s="116"/>
    </row>
    <row r="11" spans="1:15" ht="229.5" customHeight="1">
      <c r="A11" s="78" t="s">
        <v>33</v>
      </c>
      <c r="B11" s="1">
        <f>COUNTA(C11:C59)</f>
        <v>22</v>
      </c>
      <c r="C11" s="72" t="s">
        <v>34</v>
      </c>
      <c r="D11" s="73">
        <v>1</v>
      </c>
      <c r="E11" s="73"/>
      <c r="F11" s="73">
        <v>1</v>
      </c>
      <c r="G11" s="73">
        <v>1</v>
      </c>
      <c r="H11" s="73">
        <v>1</v>
      </c>
      <c r="I11" s="73">
        <v>1</v>
      </c>
      <c r="J11" s="38"/>
      <c r="K11" s="25" t="s">
        <v>233</v>
      </c>
      <c r="L11" s="25" t="s">
        <v>234</v>
      </c>
      <c r="M11" s="25" t="s">
        <v>235</v>
      </c>
      <c r="N11" s="25" t="s">
        <v>236</v>
      </c>
      <c r="O11" s="25" t="s">
        <v>140</v>
      </c>
    </row>
    <row r="12" spans="1:15" ht="234.75" customHeight="1">
      <c r="A12" s="78" t="s">
        <v>35</v>
      </c>
      <c r="B12">
        <f>_xlfn.FLOOR.MATH(B11/5)</f>
        <v>4</v>
      </c>
      <c r="C12" s="72" t="s">
        <v>36</v>
      </c>
      <c r="D12" s="73">
        <v>5</v>
      </c>
      <c r="E12" s="73"/>
      <c r="F12" s="73">
        <v>5</v>
      </c>
      <c r="G12" s="73">
        <v>5</v>
      </c>
      <c r="H12" s="73">
        <v>5</v>
      </c>
      <c r="I12" s="73">
        <v>5</v>
      </c>
      <c r="J12" s="38"/>
      <c r="K12" s="25" t="s">
        <v>237</v>
      </c>
      <c r="L12" s="25" t="s">
        <v>238</v>
      </c>
      <c r="M12" s="25" t="s">
        <v>239</v>
      </c>
      <c r="N12" s="25" t="s">
        <v>144</v>
      </c>
      <c r="O12" s="25" t="s">
        <v>240</v>
      </c>
    </row>
    <row r="13" spans="1:15" ht="290.25" customHeight="1">
      <c r="A13" s="78" t="s">
        <v>37</v>
      </c>
      <c r="B13">
        <f>MOD(B11,5)</f>
        <v>2</v>
      </c>
      <c r="C13" s="72" t="s">
        <v>38</v>
      </c>
      <c r="D13" s="73">
        <v>3</v>
      </c>
      <c r="E13" s="73"/>
      <c r="F13" s="73">
        <v>3</v>
      </c>
      <c r="G13" s="73">
        <v>3</v>
      </c>
      <c r="H13" s="73">
        <v>3</v>
      </c>
      <c r="I13" s="73">
        <v>3</v>
      </c>
      <c r="J13" s="38"/>
      <c r="K13" s="25" t="s">
        <v>241</v>
      </c>
      <c r="L13" s="25" t="s">
        <v>242</v>
      </c>
      <c r="M13" s="25" t="s">
        <v>243</v>
      </c>
      <c r="N13" s="25" t="s">
        <v>244</v>
      </c>
      <c r="O13" s="25" t="s">
        <v>150</v>
      </c>
    </row>
    <row r="14" spans="1:15" ht="118.5" customHeight="1">
      <c r="A14" s="78" t="s">
        <v>39</v>
      </c>
      <c r="B14" s="31">
        <f ca="1">(B12*SUM($B$2:$B$6))+SUM($B$2:INDEX(B:B, $B$13+1))</f>
        <v>69</v>
      </c>
      <c r="C14" s="72" t="s">
        <v>40</v>
      </c>
      <c r="D14" s="73">
        <v>5</v>
      </c>
      <c r="E14" s="73"/>
      <c r="F14" s="73">
        <v>4</v>
      </c>
      <c r="G14" s="73">
        <v>4</v>
      </c>
      <c r="H14" s="73">
        <v>4</v>
      </c>
      <c r="I14" s="73"/>
      <c r="J14" s="38"/>
      <c r="K14" s="25" t="s">
        <v>245</v>
      </c>
      <c r="L14" s="25" t="s">
        <v>246</v>
      </c>
      <c r="M14" s="25" t="s">
        <v>247</v>
      </c>
      <c r="N14" s="71" t="s">
        <v>154</v>
      </c>
      <c r="O14" s="25" t="s">
        <v>155</v>
      </c>
    </row>
    <row r="15" spans="1:15" ht="75">
      <c r="C15" s="72" t="s">
        <v>41</v>
      </c>
      <c r="D15" s="73">
        <v>1</v>
      </c>
      <c r="E15" s="73"/>
      <c r="F15" s="73">
        <v>5</v>
      </c>
      <c r="G15" s="73">
        <v>5</v>
      </c>
      <c r="H15" s="73">
        <v>5</v>
      </c>
      <c r="I15" s="73"/>
      <c r="J15" s="38"/>
      <c r="K15" s="25" t="s">
        <v>245</v>
      </c>
      <c r="L15" s="25" t="s">
        <v>246</v>
      </c>
      <c r="M15" s="25" t="s">
        <v>248</v>
      </c>
      <c r="N15" s="71" t="s">
        <v>159</v>
      </c>
      <c r="O15" s="25" t="s">
        <v>160</v>
      </c>
    </row>
    <row r="16" spans="1:15" ht="80.25" customHeight="1">
      <c r="C16" s="72" t="s">
        <v>42</v>
      </c>
      <c r="D16" s="73">
        <v>1</v>
      </c>
      <c r="E16" s="73"/>
      <c r="F16" s="73">
        <v>3</v>
      </c>
      <c r="G16" s="73">
        <v>3</v>
      </c>
      <c r="H16" s="73">
        <v>3</v>
      </c>
      <c r="I16" s="73"/>
      <c r="J16" s="38"/>
      <c r="K16" s="25" t="s">
        <v>245</v>
      </c>
      <c r="L16" s="25" t="s">
        <v>246</v>
      </c>
      <c r="M16" s="25" t="s">
        <v>249</v>
      </c>
      <c r="N16" s="25"/>
      <c r="O16" s="25"/>
    </row>
    <row r="17" spans="3:15" ht="189" customHeight="1">
      <c r="C17" s="72" t="s">
        <v>43</v>
      </c>
      <c r="D17" s="73">
        <v>4</v>
      </c>
      <c r="E17" s="73"/>
      <c r="F17" s="73">
        <v>3</v>
      </c>
      <c r="G17" s="73">
        <v>3</v>
      </c>
      <c r="H17" s="73">
        <v>5</v>
      </c>
      <c r="I17" s="73">
        <v>5</v>
      </c>
      <c r="J17" s="38"/>
      <c r="K17" s="88" t="s">
        <v>250</v>
      </c>
      <c r="L17" s="25" t="s">
        <v>251</v>
      </c>
      <c r="M17" s="25" t="s">
        <v>252</v>
      </c>
      <c r="N17" s="25" t="s">
        <v>253</v>
      </c>
      <c r="O17" s="25" t="s">
        <v>254</v>
      </c>
    </row>
    <row r="18" spans="3:15" ht="82.5" customHeight="1">
      <c r="C18" s="72" t="s">
        <v>44</v>
      </c>
      <c r="D18" s="73">
        <v>4</v>
      </c>
      <c r="E18" s="73"/>
      <c r="F18" s="73">
        <v>2</v>
      </c>
      <c r="G18" s="73">
        <v>3</v>
      </c>
      <c r="H18" s="73">
        <v>5</v>
      </c>
      <c r="I18" s="73">
        <v>5</v>
      </c>
      <c r="J18" s="38"/>
      <c r="K18" s="25" t="s">
        <v>255</v>
      </c>
      <c r="L18" s="25" t="s">
        <v>256</v>
      </c>
      <c r="M18" s="25" t="s">
        <v>257</v>
      </c>
      <c r="N18" s="25" t="s">
        <v>258</v>
      </c>
      <c r="O18" s="25" t="s">
        <v>254</v>
      </c>
    </row>
    <row r="19" spans="3:15" ht="90">
      <c r="C19" s="72" t="s">
        <v>45</v>
      </c>
      <c r="D19" s="73">
        <v>3</v>
      </c>
      <c r="E19" s="73"/>
      <c r="F19" s="73">
        <v>3</v>
      </c>
      <c r="G19" s="73">
        <v>2</v>
      </c>
      <c r="H19" s="73">
        <v>4</v>
      </c>
      <c r="I19" s="73">
        <v>3</v>
      </c>
      <c r="J19" s="38"/>
      <c r="K19" s="25" t="s">
        <v>259</v>
      </c>
      <c r="L19" s="25" t="s">
        <v>260</v>
      </c>
      <c r="M19" s="25" t="s">
        <v>261</v>
      </c>
      <c r="N19" s="25" t="s">
        <v>262</v>
      </c>
      <c r="O19" s="25" t="s">
        <v>254</v>
      </c>
    </row>
    <row r="20" spans="3:15" ht="195">
      <c r="C20" s="72" t="s">
        <v>46</v>
      </c>
      <c r="D20" s="73">
        <v>4</v>
      </c>
      <c r="E20" s="73"/>
      <c r="F20" s="73">
        <v>2</v>
      </c>
      <c r="G20" s="73">
        <v>2</v>
      </c>
      <c r="H20" s="73">
        <v>4</v>
      </c>
      <c r="I20" s="73">
        <v>5</v>
      </c>
      <c r="J20" s="38"/>
      <c r="K20" s="88" t="s">
        <v>250</v>
      </c>
      <c r="L20" s="25" t="s">
        <v>263</v>
      </c>
      <c r="M20" s="25" t="s">
        <v>264</v>
      </c>
      <c r="N20" s="25" t="s">
        <v>265</v>
      </c>
      <c r="O20" s="25" t="s">
        <v>254</v>
      </c>
    </row>
    <row r="21" spans="3:15" ht="45">
      <c r="C21" s="72" t="s">
        <v>47</v>
      </c>
      <c r="D21" s="73">
        <v>4</v>
      </c>
      <c r="E21" s="73"/>
      <c r="F21" s="73">
        <v>2</v>
      </c>
      <c r="G21" s="73">
        <v>2</v>
      </c>
      <c r="H21" s="73">
        <v>2</v>
      </c>
      <c r="I21" s="73">
        <v>4</v>
      </c>
      <c r="J21" s="38"/>
      <c r="K21" s="25" t="s">
        <v>266</v>
      </c>
      <c r="L21" s="25" t="s">
        <v>267</v>
      </c>
      <c r="M21" s="25" t="s">
        <v>268</v>
      </c>
      <c r="N21" s="25" t="s">
        <v>269</v>
      </c>
      <c r="O21" s="25" t="s">
        <v>270</v>
      </c>
    </row>
    <row r="22" spans="3:15" ht="116.1" customHeight="1">
      <c r="C22" s="72" t="s">
        <v>48</v>
      </c>
      <c r="D22" s="73">
        <v>2</v>
      </c>
      <c r="E22" s="73">
        <v>3</v>
      </c>
      <c r="F22" s="73">
        <v>3</v>
      </c>
      <c r="G22" s="73">
        <v>3</v>
      </c>
      <c r="H22" s="73">
        <v>3</v>
      </c>
      <c r="I22" s="73">
        <v>3</v>
      </c>
      <c r="J22" s="38"/>
      <c r="K22" s="25" t="s">
        <v>271</v>
      </c>
      <c r="L22" s="25" t="s">
        <v>272</v>
      </c>
      <c r="M22" s="25" t="s">
        <v>273</v>
      </c>
      <c r="N22" s="25" t="s">
        <v>204</v>
      </c>
      <c r="O22" s="25" t="s">
        <v>274</v>
      </c>
    </row>
    <row r="23" spans="3:15" ht="161.1" customHeight="1">
      <c r="C23" s="72" t="s">
        <v>49</v>
      </c>
      <c r="D23" s="73">
        <v>2</v>
      </c>
      <c r="E23" s="73">
        <v>3</v>
      </c>
      <c r="F23" s="73">
        <v>5</v>
      </c>
      <c r="G23" s="73">
        <v>5</v>
      </c>
      <c r="H23" s="73">
        <v>3</v>
      </c>
      <c r="I23" s="73">
        <v>4</v>
      </c>
      <c r="J23" s="38"/>
      <c r="K23" s="25" t="s">
        <v>275</v>
      </c>
      <c r="L23" s="25" t="s">
        <v>276</v>
      </c>
      <c r="M23" s="25" t="s">
        <v>277</v>
      </c>
      <c r="N23" s="25" t="s">
        <v>278</v>
      </c>
      <c r="O23" s="25" t="s">
        <v>195</v>
      </c>
    </row>
    <row r="24" spans="3:15" ht="233.25" customHeight="1">
      <c r="C24" s="72" t="s">
        <v>50</v>
      </c>
      <c r="D24" s="73">
        <v>2</v>
      </c>
      <c r="E24" s="73">
        <v>3</v>
      </c>
      <c r="F24" s="73">
        <v>5</v>
      </c>
      <c r="G24" s="73">
        <v>5</v>
      </c>
      <c r="H24" s="73">
        <v>3</v>
      </c>
      <c r="I24" s="73">
        <v>3</v>
      </c>
      <c r="J24" s="38"/>
      <c r="K24" s="25" t="s">
        <v>279</v>
      </c>
      <c r="L24" s="25" t="s">
        <v>197</v>
      </c>
      <c r="M24" s="25" t="s">
        <v>280</v>
      </c>
      <c r="N24" s="25" t="s">
        <v>199</v>
      </c>
      <c r="O24" s="25" t="s">
        <v>281</v>
      </c>
    </row>
    <row r="25" spans="3:15" ht="96" customHeight="1">
      <c r="C25" s="72" t="s">
        <v>51</v>
      </c>
      <c r="D25" s="73">
        <v>2</v>
      </c>
      <c r="E25" s="73">
        <v>3</v>
      </c>
      <c r="F25" s="73">
        <v>3</v>
      </c>
      <c r="G25" s="73">
        <v>3</v>
      </c>
      <c r="H25" s="73">
        <v>3</v>
      </c>
      <c r="I25" s="73">
        <v>3</v>
      </c>
      <c r="J25" s="38"/>
      <c r="K25" s="25" t="s">
        <v>282</v>
      </c>
      <c r="L25" s="25" t="s">
        <v>283</v>
      </c>
      <c r="M25" s="25" t="s">
        <v>284</v>
      </c>
      <c r="N25" s="25" t="s">
        <v>285</v>
      </c>
      <c r="O25" s="25" t="s">
        <v>286</v>
      </c>
    </row>
    <row r="26" spans="3:15" ht="142.5" customHeight="1">
      <c r="C26" s="72" t="s">
        <v>52</v>
      </c>
      <c r="D26" s="73">
        <v>2</v>
      </c>
      <c r="E26" s="73">
        <v>3</v>
      </c>
      <c r="F26" s="73">
        <v>2</v>
      </c>
      <c r="G26" s="73">
        <v>2</v>
      </c>
      <c r="H26" s="73">
        <v>3</v>
      </c>
      <c r="I26" s="73">
        <v>3</v>
      </c>
      <c r="J26" s="38"/>
      <c r="K26" s="25" t="s">
        <v>287</v>
      </c>
      <c r="L26" s="25" t="s">
        <v>288</v>
      </c>
      <c r="M26" s="25" t="s">
        <v>289</v>
      </c>
      <c r="N26" s="25" t="s">
        <v>290</v>
      </c>
      <c r="O26" s="25" t="s">
        <v>291</v>
      </c>
    </row>
    <row r="27" spans="3:15" ht="166.35" customHeight="1">
      <c r="C27" s="25" t="s">
        <v>53</v>
      </c>
      <c r="D27" s="77">
        <v>1</v>
      </c>
      <c r="E27" s="77">
        <v>1</v>
      </c>
      <c r="F27" s="77">
        <v>2</v>
      </c>
      <c r="G27" s="77">
        <v>2</v>
      </c>
      <c r="H27" s="77">
        <v>2</v>
      </c>
      <c r="I27" s="77">
        <v>2</v>
      </c>
      <c r="J27" s="38"/>
      <c r="K27" s="25" t="s">
        <v>292</v>
      </c>
      <c r="L27" s="25" t="s">
        <v>292</v>
      </c>
      <c r="M27" s="25" t="s">
        <v>293</v>
      </c>
      <c r="N27" s="25" t="s">
        <v>292</v>
      </c>
      <c r="O27" s="25" t="s">
        <v>292</v>
      </c>
    </row>
    <row r="28" spans="3:15" ht="87" customHeight="1">
      <c r="C28" s="72" t="s">
        <v>215</v>
      </c>
      <c r="D28" s="73"/>
      <c r="E28" s="73"/>
      <c r="F28" s="73">
        <v>3</v>
      </c>
      <c r="G28" s="73">
        <v>3</v>
      </c>
      <c r="H28" s="73">
        <v>2</v>
      </c>
      <c r="I28" s="73">
        <v>2</v>
      </c>
      <c r="J28" s="38"/>
      <c r="K28" s="25" t="s">
        <v>216</v>
      </c>
      <c r="L28" s="25" t="s">
        <v>217</v>
      </c>
      <c r="M28" s="25" t="s">
        <v>294</v>
      </c>
      <c r="N28" s="25" t="s">
        <v>219</v>
      </c>
      <c r="O28" s="25" t="s">
        <v>220</v>
      </c>
    </row>
    <row r="29" spans="3:15" ht="88.35" customHeight="1">
      <c r="C29" s="72" t="s">
        <v>55</v>
      </c>
      <c r="D29" s="73"/>
      <c r="E29" s="73"/>
      <c r="F29" s="73">
        <v>3</v>
      </c>
      <c r="G29" s="73">
        <v>3</v>
      </c>
      <c r="H29" s="73">
        <v>2</v>
      </c>
      <c r="I29" s="73">
        <v>2</v>
      </c>
      <c r="J29" s="38"/>
      <c r="K29" s="25" t="s">
        <v>221</v>
      </c>
      <c r="L29" s="25" t="s">
        <v>222</v>
      </c>
      <c r="M29" s="25" t="s">
        <v>295</v>
      </c>
      <c r="N29" s="25" t="s">
        <v>224</v>
      </c>
      <c r="O29" s="25" t="s">
        <v>225</v>
      </c>
    </row>
    <row r="30" spans="3:15" ht="107.45" customHeight="1">
      <c r="C30" s="72" t="s">
        <v>56</v>
      </c>
      <c r="D30" s="73"/>
      <c r="E30" s="73"/>
      <c r="F30" s="73">
        <v>3</v>
      </c>
      <c r="G30" s="73">
        <v>3</v>
      </c>
      <c r="H30" s="73">
        <v>2</v>
      </c>
      <c r="I30" s="73">
        <v>2</v>
      </c>
      <c r="J30" s="38"/>
      <c r="K30" s="25" t="s">
        <v>296</v>
      </c>
      <c r="L30" s="25" t="s">
        <v>297</v>
      </c>
      <c r="M30" s="25" t="s">
        <v>298</v>
      </c>
      <c r="N30" s="25" t="s">
        <v>224</v>
      </c>
      <c r="O30" s="25" t="s">
        <v>225</v>
      </c>
    </row>
    <row r="31" spans="3:15" ht="102.6" customHeight="1">
      <c r="C31" s="72" t="s">
        <v>57</v>
      </c>
      <c r="D31" s="73"/>
      <c r="E31" s="73"/>
      <c r="F31" s="73">
        <v>3</v>
      </c>
      <c r="G31" s="73">
        <v>3</v>
      </c>
      <c r="H31" s="73">
        <v>2</v>
      </c>
      <c r="I31" s="73">
        <v>2</v>
      </c>
      <c r="J31" s="38"/>
      <c r="K31" s="25" t="s">
        <v>296</v>
      </c>
      <c r="L31" s="25" t="s">
        <v>297</v>
      </c>
      <c r="M31" s="25" t="s">
        <v>299</v>
      </c>
      <c r="N31" s="25" t="s">
        <v>224</v>
      </c>
      <c r="O31" s="25" t="s">
        <v>225</v>
      </c>
    </row>
    <row r="32" spans="3:15" ht="105">
      <c r="C32" s="72" t="s">
        <v>58</v>
      </c>
      <c r="D32" s="73">
        <v>3</v>
      </c>
      <c r="E32" s="73">
        <v>3</v>
      </c>
      <c r="F32" s="73">
        <v>4</v>
      </c>
      <c r="G32" s="73">
        <v>4</v>
      </c>
      <c r="H32" s="73">
        <v>3</v>
      </c>
      <c r="I32" s="73">
        <v>3</v>
      </c>
      <c r="J32" s="38"/>
      <c r="K32" s="25" t="s">
        <v>226</v>
      </c>
      <c r="L32" s="25" t="s">
        <v>227</v>
      </c>
      <c r="M32" s="25" t="s">
        <v>300</v>
      </c>
      <c r="N32" s="25" t="s">
        <v>229</v>
      </c>
      <c r="O32" s="25" t="s">
        <v>230</v>
      </c>
    </row>
  </sheetData>
  <mergeCells count="5">
    <mergeCell ref="K8:K10"/>
    <mergeCell ref="L8:L10"/>
    <mergeCell ref="M8:M10"/>
    <mergeCell ref="N8:N10"/>
    <mergeCell ref="O8:O10"/>
  </mergeCells>
  <conditionalFormatting sqref="D3:I3">
    <cfRule type="cellIs" dxfId="3" priority="4" operator="greaterThan">
      <formula>$B$14</formula>
    </cfRule>
  </conditionalFormatting>
  <conditionalFormatting sqref="D11:I32">
    <cfRule type="colorScale" priority="61">
      <colorScale>
        <cfvo type="min"/>
        <cfvo type="percentile" val="50"/>
        <cfvo type="max"/>
        <color rgb="FFF8696B"/>
        <color rgb="FFFFEB84"/>
        <color rgb="FF63BE7B"/>
      </colorScale>
    </cfRule>
  </conditionalFormatting>
  <dataValidations count="1">
    <dataValidation type="whole" allowBlank="1" showInputMessage="1" showErrorMessage="1" sqref="D11:I32" xr:uid="{C71431C6-1FBF-461D-AB9D-00A6B2843290}">
      <formula1>1</formula1>
      <formula2>5</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630F7-BA6C-430F-B96A-5F7FFAE40D75}">
  <dimension ref="A1:O32"/>
  <sheetViews>
    <sheetView zoomScale="60" zoomScaleNormal="60" workbookViewId="0">
      <pane xSplit="3" ySplit="10" topLeftCell="D11" activePane="bottomRight" state="frozen"/>
      <selection pane="bottomRight" activeCell="D11" sqref="D11"/>
      <selection pane="bottomLeft" activeCell="C11" sqref="C11"/>
      <selection pane="topRight" activeCell="C11" sqref="C11"/>
    </sheetView>
  </sheetViews>
  <sheetFormatPr defaultRowHeight="15"/>
  <cols>
    <col min="1" max="1" width="10" bestFit="1" customWidth="1"/>
    <col min="3" max="3" width="74.42578125" customWidth="1"/>
    <col min="11" max="15" width="52.42578125" style="26" customWidth="1"/>
  </cols>
  <sheetData>
    <row r="1" spans="1:15" s="19" customFormat="1" ht="15.75" thickBot="1">
      <c r="C1" s="20" t="s">
        <v>301</v>
      </c>
    </row>
    <row r="2" spans="1:15" ht="15.75" thickBot="1">
      <c r="A2" s="9" t="s">
        <v>26</v>
      </c>
      <c r="B2" s="2">
        <v>5</v>
      </c>
      <c r="D2" s="6" t="s">
        <v>5</v>
      </c>
      <c r="E2" s="7" t="s">
        <v>6</v>
      </c>
      <c r="F2" s="7" t="s">
        <v>7</v>
      </c>
      <c r="G2" s="7" t="s">
        <v>8</v>
      </c>
      <c r="H2" s="7" t="s">
        <v>9</v>
      </c>
      <c r="I2" s="8" t="s">
        <v>10</v>
      </c>
      <c r="J2" t="s">
        <v>117</v>
      </c>
      <c r="K2" s="81">
        <f>AVERAGE(D11:I13)</f>
        <v>3.6666666666666665</v>
      </c>
      <c r="L2"/>
      <c r="M2"/>
      <c r="N2"/>
      <c r="O2"/>
    </row>
    <row r="3" spans="1:15">
      <c r="A3" s="10" t="s">
        <v>27</v>
      </c>
      <c r="B3" s="3">
        <v>4</v>
      </c>
      <c r="C3" t="s">
        <v>119</v>
      </c>
      <c r="D3">
        <f t="shared" ref="D3:I3" si="0">SUM(D11:D58)</f>
        <v>53</v>
      </c>
      <c r="E3">
        <f t="shared" si="0"/>
        <v>18</v>
      </c>
      <c r="F3">
        <f t="shared" si="0"/>
        <v>72</v>
      </c>
      <c r="G3">
        <f t="shared" si="0"/>
        <v>74</v>
      </c>
      <c r="H3">
        <f t="shared" si="0"/>
        <v>70</v>
      </c>
      <c r="I3">
        <f t="shared" si="0"/>
        <v>63</v>
      </c>
      <c r="J3" t="s">
        <v>120</v>
      </c>
      <c r="K3" s="81">
        <f>AVERAGE(D14:I16)</f>
        <v>3.5833333333333335</v>
      </c>
      <c r="L3"/>
      <c r="M3"/>
      <c r="N3"/>
      <c r="O3"/>
    </row>
    <row r="4" spans="1:15">
      <c r="A4" s="11" t="s">
        <v>28</v>
      </c>
      <c r="B4" s="3">
        <v>3</v>
      </c>
      <c r="C4" t="s">
        <v>121</v>
      </c>
      <c r="D4">
        <f t="shared" ref="D4:I4" si="1">COUNTIF(D$11:D$58, 5)</f>
        <v>3</v>
      </c>
      <c r="E4">
        <f t="shared" si="1"/>
        <v>0</v>
      </c>
      <c r="F4">
        <f t="shared" si="1"/>
        <v>4</v>
      </c>
      <c r="G4">
        <f t="shared" si="1"/>
        <v>4</v>
      </c>
      <c r="H4">
        <f t="shared" si="1"/>
        <v>3</v>
      </c>
      <c r="I4">
        <f t="shared" si="1"/>
        <v>2</v>
      </c>
      <c r="J4" t="s">
        <v>122</v>
      </c>
      <c r="K4" s="82">
        <f>AVERAGE(D17:I21)</f>
        <v>3.52</v>
      </c>
      <c r="L4"/>
      <c r="M4"/>
      <c r="N4"/>
      <c r="O4"/>
    </row>
    <row r="5" spans="1:15">
      <c r="A5" s="12" t="s">
        <v>29</v>
      </c>
      <c r="B5" s="3">
        <v>2</v>
      </c>
      <c r="C5" t="s">
        <v>123</v>
      </c>
      <c r="D5">
        <f t="shared" ref="D5:I5" si="2">COUNTIF(D$11:D$58, 4)</f>
        <v>4</v>
      </c>
      <c r="E5">
        <f t="shared" si="2"/>
        <v>0</v>
      </c>
      <c r="F5">
        <f t="shared" si="2"/>
        <v>4</v>
      </c>
      <c r="G5">
        <f t="shared" si="2"/>
        <v>5</v>
      </c>
      <c r="H5">
        <f t="shared" si="2"/>
        <v>4</v>
      </c>
      <c r="I5">
        <f t="shared" si="2"/>
        <v>5</v>
      </c>
      <c r="J5" t="s">
        <v>124</v>
      </c>
      <c r="K5" s="82">
        <f>AVERAGE(D22:I26)</f>
        <v>2.9666666666666668</v>
      </c>
      <c r="L5"/>
      <c r="M5"/>
      <c r="N5"/>
      <c r="O5"/>
    </row>
    <row r="6" spans="1:15" ht="15.75" thickBot="1">
      <c r="A6" s="13" t="s">
        <v>30</v>
      </c>
      <c r="B6" s="4">
        <v>1</v>
      </c>
      <c r="C6" t="s">
        <v>125</v>
      </c>
      <c r="D6">
        <f t="shared" ref="D6:I6" si="3">COUNTIF(D$11:D$58, 3)</f>
        <v>2</v>
      </c>
      <c r="E6">
        <f t="shared" si="3"/>
        <v>6</v>
      </c>
      <c r="F6">
        <f t="shared" si="3"/>
        <v>10</v>
      </c>
      <c r="G6">
        <f t="shared" si="3"/>
        <v>8</v>
      </c>
      <c r="H6">
        <f t="shared" si="3"/>
        <v>10</v>
      </c>
      <c r="I6">
        <f t="shared" si="3"/>
        <v>9</v>
      </c>
      <c r="J6" t="s">
        <v>126</v>
      </c>
      <c r="K6" s="82">
        <f>AVERAGE(D27:I27)</f>
        <v>3.2</v>
      </c>
      <c r="L6"/>
      <c r="M6"/>
      <c r="N6"/>
      <c r="O6"/>
    </row>
    <row r="7" spans="1:15">
      <c r="C7" t="s">
        <v>127</v>
      </c>
      <c r="D7">
        <f t="shared" ref="D7:I7" si="4">COUNTIF(D$11:D$58, 2)</f>
        <v>7</v>
      </c>
      <c r="E7">
        <f t="shared" si="4"/>
        <v>0</v>
      </c>
      <c r="F7">
        <f t="shared" si="4"/>
        <v>3</v>
      </c>
      <c r="G7">
        <f t="shared" si="4"/>
        <v>5</v>
      </c>
      <c r="H7">
        <f t="shared" si="4"/>
        <v>4</v>
      </c>
      <c r="I7">
        <f t="shared" si="4"/>
        <v>3</v>
      </c>
      <c r="J7" t="s">
        <v>128</v>
      </c>
      <c r="K7" s="82">
        <f>AVERAGE(D28:I32)</f>
        <v>2.8095238095238093</v>
      </c>
      <c r="L7"/>
      <c r="M7"/>
      <c r="N7"/>
      <c r="O7"/>
    </row>
    <row r="8" spans="1:15" ht="14.45" customHeight="1">
      <c r="C8" t="s">
        <v>129</v>
      </c>
      <c r="D8">
        <f t="shared" ref="D8:I8" si="5">COUNTIF(D$11:D$58, 1)</f>
        <v>2</v>
      </c>
      <c r="E8">
        <f t="shared" si="5"/>
        <v>0</v>
      </c>
      <c r="F8">
        <f t="shared" si="5"/>
        <v>0</v>
      </c>
      <c r="G8">
        <f t="shared" si="5"/>
        <v>0</v>
      </c>
      <c r="H8">
        <f t="shared" si="5"/>
        <v>1</v>
      </c>
      <c r="I8">
        <f t="shared" si="5"/>
        <v>0</v>
      </c>
      <c r="K8" s="116" t="s">
        <v>130</v>
      </c>
      <c r="L8" s="116" t="s">
        <v>131</v>
      </c>
      <c r="M8" s="116" t="s">
        <v>132</v>
      </c>
      <c r="N8" s="116" t="s">
        <v>133</v>
      </c>
      <c r="O8" s="116" t="s">
        <v>134</v>
      </c>
    </row>
    <row r="9" spans="1:15" ht="15.75" thickBot="1">
      <c r="K9" s="116"/>
      <c r="L9" s="116"/>
      <c r="M9" s="116"/>
      <c r="N9" s="116"/>
      <c r="O9" s="116"/>
    </row>
    <row r="10" spans="1:15" ht="15.75" thickBot="1">
      <c r="C10" s="21" t="s">
        <v>135</v>
      </c>
      <c r="D10" s="6" t="s">
        <v>5</v>
      </c>
      <c r="E10" s="7" t="s">
        <v>6</v>
      </c>
      <c r="F10" s="7" t="s">
        <v>7</v>
      </c>
      <c r="G10" s="7" t="s">
        <v>8</v>
      </c>
      <c r="H10" s="7" t="s">
        <v>9</v>
      </c>
      <c r="I10" s="8" t="s">
        <v>10</v>
      </c>
      <c r="K10" s="116"/>
      <c r="L10" s="116"/>
      <c r="M10" s="116"/>
      <c r="N10" s="116"/>
      <c r="O10" s="116"/>
    </row>
    <row r="11" spans="1:15" ht="188.45" customHeight="1">
      <c r="A11" s="78" t="s">
        <v>33</v>
      </c>
      <c r="B11" s="1">
        <f>COUNTA(C11:C58)</f>
        <v>22</v>
      </c>
      <c r="C11" s="72" t="s">
        <v>34</v>
      </c>
      <c r="D11" s="73">
        <v>5</v>
      </c>
      <c r="E11" s="73"/>
      <c r="F11" s="73">
        <v>3</v>
      </c>
      <c r="G11" s="73">
        <v>3</v>
      </c>
      <c r="H11" s="73">
        <v>4</v>
      </c>
      <c r="I11" s="73">
        <v>4</v>
      </c>
      <c r="J11" s="38"/>
      <c r="K11" s="25" t="s">
        <v>302</v>
      </c>
      <c r="L11" s="25" t="s">
        <v>303</v>
      </c>
      <c r="M11" s="25" t="s">
        <v>304</v>
      </c>
      <c r="N11" s="25" t="s">
        <v>236</v>
      </c>
      <c r="O11" s="25" t="s">
        <v>305</v>
      </c>
    </row>
    <row r="12" spans="1:15" ht="255">
      <c r="A12" s="78" t="s">
        <v>35</v>
      </c>
      <c r="B12">
        <f>_xlfn.FLOOR.MATH(B11/5)</f>
        <v>4</v>
      </c>
      <c r="C12" s="72" t="s">
        <v>36</v>
      </c>
      <c r="D12" s="73">
        <v>2</v>
      </c>
      <c r="E12" s="73"/>
      <c r="F12" s="73">
        <v>5</v>
      </c>
      <c r="G12" s="73">
        <v>5</v>
      </c>
      <c r="H12" s="73">
        <v>2</v>
      </c>
      <c r="I12" s="73">
        <v>4</v>
      </c>
      <c r="J12" s="38"/>
      <c r="K12" s="25" t="s">
        <v>306</v>
      </c>
      <c r="L12" s="25" t="s">
        <v>307</v>
      </c>
      <c r="M12" s="25" t="s">
        <v>308</v>
      </c>
      <c r="N12" s="25" t="s">
        <v>144</v>
      </c>
      <c r="O12" s="25" t="s">
        <v>309</v>
      </c>
    </row>
    <row r="13" spans="1:15" ht="270">
      <c r="A13" s="78" t="s">
        <v>37</v>
      </c>
      <c r="B13">
        <f>MOD(B11,5)</f>
        <v>2</v>
      </c>
      <c r="C13" s="72" t="s">
        <v>38</v>
      </c>
      <c r="D13" s="73">
        <v>5</v>
      </c>
      <c r="E13" s="73"/>
      <c r="F13" s="73">
        <v>4</v>
      </c>
      <c r="G13" s="73">
        <v>4</v>
      </c>
      <c r="H13" s="73">
        <v>1</v>
      </c>
      <c r="I13" s="73">
        <v>4</v>
      </c>
      <c r="J13" s="38"/>
      <c r="K13" s="25" t="s">
        <v>241</v>
      </c>
      <c r="L13" s="25" t="s">
        <v>310</v>
      </c>
      <c r="M13" s="25" t="s">
        <v>311</v>
      </c>
      <c r="N13" s="25" t="s">
        <v>244</v>
      </c>
      <c r="O13" s="25" t="s">
        <v>312</v>
      </c>
    </row>
    <row r="14" spans="1:15" ht="90">
      <c r="A14" s="78" t="s">
        <v>39</v>
      </c>
      <c r="B14" s="31">
        <f ca="1">(B12*SUM($B$2:$B$6))+SUM($B$2:INDEX(B:B, $B$13+1))</f>
        <v>69</v>
      </c>
      <c r="C14" s="72" t="s">
        <v>40</v>
      </c>
      <c r="D14" s="73">
        <v>5</v>
      </c>
      <c r="E14" s="73"/>
      <c r="F14" s="73">
        <v>4</v>
      </c>
      <c r="G14" s="73">
        <v>4</v>
      </c>
      <c r="H14" s="73">
        <v>3</v>
      </c>
      <c r="I14" s="73"/>
      <c r="J14" s="38"/>
      <c r="K14" s="25" t="s">
        <v>245</v>
      </c>
      <c r="L14" s="25" t="s">
        <v>246</v>
      </c>
      <c r="M14" s="25" t="s">
        <v>313</v>
      </c>
      <c r="N14" s="71" t="s">
        <v>154</v>
      </c>
      <c r="O14" s="25" t="s">
        <v>314</v>
      </c>
    </row>
    <row r="15" spans="1:15" ht="105">
      <c r="C15" s="72" t="s">
        <v>41</v>
      </c>
      <c r="D15" s="73">
        <v>1</v>
      </c>
      <c r="E15" s="73"/>
      <c r="F15" s="73">
        <v>5</v>
      </c>
      <c r="G15" s="73">
        <v>5</v>
      </c>
      <c r="H15" s="73">
        <v>4</v>
      </c>
      <c r="I15" s="73"/>
      <c r="J15" s="38"/>
      <c r="K15" s="25" t="s">
        <v>245</v>
      </c>
      <c r="L15" s="25" t="s">
        <v>246</v>
      </c>
      <c r="M15" s="25" t="s">
        <v>315</v>
      </c>
      <c r="N15" s="71" t="s">
        <v>159</v>
      </c>
      <c r="O15" s="25" t="s">
        <v>314</v>
      </c>
    </row>
    <row r="16" spans="1:15" ht="75">
      <c r="C16" s="72" t="s">
        <v>42</v>
      </c>
      <c r="D16" s="73">
        <v>1</v>
      </c>
      <c r="E16" s="73"/>
      <c r="F16" s="73">
        <v>3</v>
      </c>
      <c r="G16" s="73">
        <v>3</v>
      </c>
      <c r="H16" s="73">
        <v>5</v>
      </c>
      <c r="I16" s="73"/>
      <c r="J16" s="38"/>
      <c r="K16" s="25" t="s">
        <v>245</v>
      </c>
      <c r="L16" s="25" t="s">
        <v>246</v>
      </c>
      <c r="M16" s="25" t="s">
        <v>316</v>
      </c>
      <c r="N16" s="25"/>
      <c r="O16" s="25"/>
    </row>
    <row r="17" spans="3:15" ht="75">
      <c r="C17" s="72" t="s">
        <v>43</v>
      </c>
      <c r="D17" s="73">
        <v>4</v>
      </c>
      <c r="E17" s="73"/>
      <c r="F17" s="73">
        <v>4</v>
      </c>
      <c r="G17" s="73">
        <v>4</v>
      </c>
      <c r="H17" s="73">
        <v>5</v>
      </c>
      <c r="I17" s="73">
        <v>5</v>
      </c>
      <c r="J17" s="38"/>
      <c r="K17" s="25" t="s">
        <v>317</v>
      </c>
      <c r="L17" s="25" t="s">
        <v>318</v>
      </c>
      <c r="M17" s="25" t="s">
        <v>319</v>
      </c>
      <c r="N17" s="25" t="s">
        <v>320</v>
      </c>
      <c r="O17" s="25" t="s">
        <v>321</v>
      </c>
    </row>
    <row r="18" spans="3:15" ht="95.45" customHeight="1">
      <c r="C18" s="72" t="s">
        <v>44</v>
      </c>
      <c r="D18" s="73">
        <v>4</v>
      </c>
      <c r="E18" s="73"/>
      <c r="F18" s="73">
        <v>4</v>
      </c>
      <c r="G18" s="73">
        <v>4</v>
      </c>
      <c r="H18" s="73">
        <v>5</v>
      </c>
      <c r="I18" s="73">
        <v>5</v>
      </c>
      <c r="J18" s="38"/>
      <c r="K18" s="25" t="s">
        <v>322</v>
      </c>
      <c r="L18" s="25" t="s">
        <v>323</v>
      </c>
      <c r="M18" s="25" t="s">
        <v>324</v>
      </c>
      <c r="N18" s="25" t="s">
        <v>325</v>
      </c>
      <c r="O18" s="25" t="s">
        <v>321</v>
      </c>
    </row>
    <row r="19" spans="3:15" ht="75">
      <c r="C19" s="72" t="s">
        <v>45</v>
      </c>
      <c r="D19" s="73">
        <v>3</v>
      </c>
      <c r="E19" s="73"/>
      <c r="F19" s="73">
        <v>3</v>
      </c>
      <c r="G19" s="73">
        <v>2</v>
      </c>
      <c r="H19" s="73">
        <v>3</v>
      </c>
      <c r="I19" s="73">
        <v>3</v>
      </c>
      <c r="J19" s="38"/>
      <c r="K19" s="25" t="s">
        <v>326</v>
      </c>
      <c r="L19" s="25" t="s">
        <v>327</v>
      </c>
      <c r="M19" s="25" t="s">
        <v>328</v>
      </c>
      <c r="N19" s="25" t="s">
        <v>329</v>
      </c>
      <c r="O19" s="25" t="s">
        <v>321</v>
      </c>
    </row>
    <row r="20" spans="3:15" ht="75">
      <c r="C20" s="72" t="s">
        <v>46</v>
      </c>
      <c r="D20" s="73">
        <v>4</v>
      </c>
      <c r="E20" s="73"/>
      <c r="F20" s="73">
        <v>3</v>
      </c>
      <c r="G20" s="73">
        <v>2</v>
      </c>
      <c r="H20" s="73">
        <v>3</v>
      </c>
      <c r="I20" s="73">
        <v>4</v>
      </c>
      <c r="J20" s="38"/>
      <c r="K20" s="25" t="s">
        <v>330</v>
      </c>
      <c r="L20" s="25" t="s">
        <v>318</v>
      </c>
      <c r="M20" s="25" t="s">
        <v>319</v>
      </c>
      <c r="N20" s="25" t="s">
        <v>331</v>
      </c>
      <c r="O20" s="25" t="s">
        <v>321</v>
      </c>
    </row>
    <row r="21" spans="3:15" ht="30">
      <c r="C21" s="72" t="s">
        <v>47</v>
      </c>
      <c r="D21" s="73">
        <v>4</v>
      </c>
      <c r="E21" s="73"/>
      <c r="F21" s="73">
        <v>2</v>
      </c>
      <c r="G21" s="73">
        <v>2</v>
      </c>
      <c r="H21" s="73">
        <v>2</v>
      </c>
      <c r="I21" s="73">
        <v>4</v>
      </c>
      <c r="J21" s="38"/>
      <c r="K21" s="25" t="s">
        <v>332</v>
      </c>
      <c r="L21" s="25" t="s">
        <v>333</v>
      </c>
      <c r="M21" s="25" t="s">
        <v>334</v>
      </c>
      <c r="N21" s="25" t="s">
        <v>335</v>
      </c>
      <c r="O21" s="25" t="s">
        <v>321</v>
      </c>
    </row>
    <row r="22" spans="3:15" ht="116.1" customHeight="1">
      <c r="C22" s="72" t="s">
        <v>48</v>
      </c>
      <c r="D22" s="73">
        <v>2</v>
      </c>
      <c r="E22" s="73">
        <v>3</v>
      </c>
      <c r="F22" s="73">
        <v>3</v>
      </c>
      <c r="G22" s="73">
        <v>3</v>
      </c>
      <c r="H22" s="73">
        <v>3</v>
      </c>
      <c r="I22" s="73">
        <v>2</v>
      </c>
      <c r="J22" s="38"/>
      <c r="K22" s="25" t="s">
        <v>336</v>
      </c>
      <c r="L22" s="25" t="s">
        <v>337</v>
      </c>
      <c r="M22" s="25" t="s">
        <v>338</v>
      </c>
      <c r="N22" s="25" t="s">
        <v>339</v>
      </c>
      <c r="O22" s="25" t="s">
        <v>340</v>
      </c>
    </row>
    <row r="23" spans="3:15" ht="158.1" customHeight="1">
      <c r="C23" s="72" t="s">
        <v>49</v>
      </c>
      <c r="D23" s="73">
        <v>2</v>
      </c>
      <c r="E23" s="73">
        <v>3</v>
      </c>
      <c r="F23" s="73">
        <v>5</v>
      </c>
      <c r="G23" s="73">
        <v>5</v>
      </c>
      <c r="H23" s="73">
        <v>4</v>
      </c>
      <c r="I23" s="73">
        <v>3</v>
      </c>
      <c r="J23" s="38"/>
      <c r="K23" s="25" t="s">
        <v>341</v>
      </c>
      <c r="L23" s="25" t="s">
        <v>342</v>
      </c>
      <c r="M23" s="25" t="s">
        <v>343</v>
      </c>
      <c r="N23" s="25" t="s">
        <v>344</v>
      </c>
      <c r="O23" s="25" t="s">
        <v>345</v>
      </c>
    </row>
    <row r="24" spans="3:15" ht="162.75" customHeight="1">
      <c r="C24" s="72" t="s">
        <v>50</v>
      </c>
      <c r="D24" s="73">
        <v>2</v>
      </c>
      <c r="E24" s="73">
        <v>3</v>
      </c>
      <c r="F24" s="73">
        <v>5</v>
      </c>
      <c r="G24" s="73">
        <v>5</v>
      </c>
      <c r="H24" s="73">
        <v>3</v>
      </c>
      <c r="I24" s="73">
        <v>3</v>
      </c>
      <c r="J24" s="38"/>
      <c r="K24" s="25" t="s">
        <v>346</v>
      </c>
      <c r="L24" s="25" t="s">
        <v>347</v>
      </c>
      <c r="M24" s="25" t="s">
        <v>348</v>
      </c>
      <c r="N24" s="25" t="s">
        <v>349</v>
      </c>
      <c r="O24" s="25" t="s">
        <v>350</v>
      </c>
    </row>
    <row r="25" spans="3:15" ht="168" customHeight="1">
      <c r="C25" s="72" t="s">
        <v>51</v>
      </c>
      <c r="D25" s="73">
        <v>2</v>
      </c>
      <c r="E25" s="73">
        <v>3</v>
      </c>
      <c r="F25" s="73">
        <v>3</v>
      </c>
      <c r="G25" s="73">
        <v>3</v>
      </c>
      <c r="H25" s="73">
        <v>3</v>
      </c>
      <c r="I25" s="73">
        <v>3</v>
      </c>
      <c r="J25" s="38"/>
      <c r="K25" s="25" t="s">
        <v>351</v>
      </c>
      <c r="L25" s="25" t="s">
        <v>352</v>
      </c>
      <c r="M25" s="25" t="s">
        <v>353</v>
      </c>
      <c r="N25" s="25" t="s">
        <v>354</v>
      </c>
      <c r="O25" s="25" t="s">
        <v>355</v>
      </c>
    </row>
    <row r="26" spans="3:15" ht="133.5" customHeight="1">
      <c r="C26" s="72" t="s">
        <v>52</v>
      </c>
      <c r="D26" s="73">
        <v>2</v>
      </c>
      <c r="E26" s="73">
        <v>3</v>
      </c>
      <c r="F26" s="73">
        <v>2</v>
      </c>
      <c r="G26" s="73">
        <v>2</v>
      </c>
      <c r="H26" s="73">
        <v>2</v>
      </c>
      <c r="I26" s="73">
        <v>2</v>
      </c>
      <c r="J26" s="38"/>
      <c r="K26" s="25" t="s">
        <v>356</v>
      </c>
      <c r="L26" s="25" t="s">
        <v>357</v>
      </c>
      <c r="M26" s="25" t="s">
        <v>358</v>
      </c>
      <c r="N26" s="25" t="s">
        <v>359</v>
      </c>
      <c r="O26" s="25" t="s">
        <v>291</v>
      </c>
    </row>
    <row r="27" spans="3:15" ht="228.6" customHeight="1">
      <c r="C27" s="25" t="s">
        <v>53</v>
      </c>
      <c r="D27" s="73">
        <v>2</v>
      </c>
      <c r="E27" s="73"/>
      <c r="F27" s="73">
        <v>3</v>
      </c>
      <c r="G27" s="73">
        <v>4</v>
      </c>
      <c r="H27" s="73">
        <v>4</v>
      </c>
      <c r="I27" s="73">
        <v>3</v>
      </c>
      <c r="J27" s="38"/>
      <c r="K27" s="25" t="s">
        <v>360</v>
      </c>
      <c r="L27" s="25" t="s">
        <v>361</v>
      </c>
      <c r="M27" s="25" t="s">
        <v>362</v>
      </c>
      <c r="N27" s="25" t="s">
        <v>236</v>
      </c>
      <c r="O27" s="25" t="s">
        <v>214</v>
      </c>
    </row>
    <row r="28" spans="3:15" ht="74.45" customHeight="1">
      <c r="C28" s="72" t="s">
        <v>215</v>
      </c>
      <c r="D28" s="73"/>
      <c r="E28" s="73"/>
      <c r="F28" s="73">
        <v>3</v>
      </c>
      <c r="G28" s="73">
        <v>3</v>
      </c>
      <c r="H28" s="73">
        <v>3</v>
      </c>
      <c r="I28" s="73">
        <v>3</v>
      </c>
      <c r="J28" s="38"/>
      <c r="K28" s="25" t="s">
        <v>216</v>
      </c>
      <c r="L28" s="25" t="s">
        <v>217</v>
      </c>
      <c r="M28" s="25" t="s">
        <v>363</v>
      </c>
      <c r="N28" s="25" t="s">
        <v>219</v>
      </c>
      <c r="O28" s="25" t="s">
        <v>220</v>
      </c>
    </row>
    <row r="29" spans="3:15" ht="92.45" customHeight="1">
      <c r="C29" s="72" t="s">
        <v>55</v>
      </c>
      <c r="D29" s="73"/>
      <c r="E29" s="73"/>
      <c r="F29" s="73">
        <v>2</v>
      </c>
      <c r="G29" s="73">
        <v>2</v>
      </c>
      <c r="H29" s="73">
        <v>2</v>
      </c>
      <c r="I29" s="73">
        <v>2</v>
      </c>
      <c r="J29" s="38"/>
      <c r="K29" s="25" t="s">
        <v>221</v>
      </c>
      <c r="L29" s="25" t="s">
        <v>222</v>
      </c>
      <c r="M29" s="25" t="s">
        <v>364</v>
      </c>
      <c r="N29" s="25" t="s">
        <v>224</v>
      </c>
      <c r="O29" s="25" t="s">
        <v>225</v>
      </c>
    </row>
    <row r="30" spans="3:15" ht="102" customHeight="1">
      <c r="C30" s="72" t="s">
        <v>56</v>
      </c>
      <c r="D30" s="73"/>
      <c r="E30" s="73"/>
      <c r="F30" s="73">
        <v>3</v>
      </c>
      <c r="G30" s="73">
        <v>3</v>
      </c>
      <c r="H30" s="73">
        <v>3</v>
      </c>
      <c r="I30" s="73">
        <v>3</v>
      </c>
      <c r="J30" s="38"/>
      <c r="K30" s="25" t="s">
        <v>296</v>
      </c>
      <c r="L30" s="25" t="s">
        <v>297</v>
      </c>
      <c r="M30" s="25" t="s">
        <v>365</v>
      </c>
      <c r="N30" s="25" t="s">
        <v>224</v>
      </c>
      <c r="O30" s="25" t="s">
        <v>225</v>
      </c>
    </row>
    <row r="31" spans="3:15" ht="105.6" customHeight="1">
      <c r="C31" s="72" t="s">
        <v>57</v>
      </c>
      <c r="D31" s="73"/>
      <c r="E31" s="73"/>
      <c r="F31" s="73"/>
      <c r="G31" s="73">
        <v>3</v>
      </c>
      <c r="H31" s="73">
        <v>3</v>
      </c>
      <c r="I31" s="73">
        <v>3</v>
      </c>
      <c r="J31" s="38"/>
      <c r="K31" s="25" t="s">
        <v>296</v>
      </c>
      <c r="L31" s="25" t="s">
        <v>297</v>
      </c>
      <c r="M31" s="25" t="s">
        <v>299</v>
      </c>
      <c r="N31" s="25" t="s">
        <v>224</v>
      </c>
      <c r="O31" s="25" t="s">
        <v>225</v>
      </c>
    </row>
    <row r="32" spans="3:15" ht="130.35" customHeight="1">
      <c r="C32" s="72" t="s">
        <v>58</v>
      </c>
      <c r="D32" s="73">
        <v>3</v>
      </c>
      <c r="E32" s="73">
        <v>3</v>
      </c>
      <c r="F32" s="73">
        <v>3</v>
      </c>
      <c r="G32" s="73">
        <v>3</v>
      </c>
      <c r="H32" s="73">
        <v>3</v>
      </c>
      <c r="I32" s="73">
        <v>3</v>
      </c>
      <c r="J32" s="38"/>
      <c r="K32" s="25" t="s">
        <v>226</v>
      </c>
      <c r="L32" s="25" t="s">
        <v>227</v>
      </c>
      <c r="M32" s="25" t="s">
        <v>366</v>
      </c>
      <c r="N32" s="25" t="s">
        <v>229</v>
      </c>
      <c r="O32" s="25" t="s">
        <v>230</v>
      </c>
    </row>
  </sheetData>
  <mergeCells count="5">
    <mergeCell ref="K8:K10"/>
    <mergeCell ref="L8:L10"/>
    <mergeCell ref="M8:M10"/>
    <mergeCell ref="N8:N10"/>
    <mergeCell ref="O8:O10"/>
  </mergeCells>
  <conditionalFormatting sqref="D3:I3">
    <cfRule type="cellIs" dxfId="2" priority="3" operator="greaterThan">
      <formula>$B$14</formula>
    </cfRule>
  </conditionalFormatting>
  <conditionalFormatting sqref="D11:I32">
    <cfRule type="colorScale" priority="62">
      <colorScale>
        <cfvo type="min"/>
        <cfvo type="percentile" val="50"/>
        <cfvo type="max"/>
        <color rgb="FFF8696B"/>
        <color rgb="FFFFEB84"/>
        <color rgb="FF63BE7B"/>
      </colorScale>
    </cfRule>
  </conditionalFormatting>
  <dataValidations count="1">
    <dataValidation type="whole" allowBlank="1" showInputMessage="1" showErrorMessage="1" sqref="D11:I32" xr:uid="{7DBE24EA-5536-42E0-9384-46B71FFD67BD}">
      <formula1>1</formula1>
      <formula2>5</formula2>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17119-2EC1-4C40-8A4D-53FAAAC907C8}">
  <dimension ref="A1:O32"/>
  <sheetViews>
    <sheetView zoomScale="60" zoomScaleNormal="60" workbookViewId="0">
      <pane xSplit="3" ySplit="10" topLeftCell="D26" activePane="bottomRight" state="frozen"/>
      <selection pane="bottomRight" activeCell="D28" sqref="D28:I28"/>
      <selection pane="bottomLeft" activeCell="C11" sqref="C11"/>
      <selection pane="topRight" activeCell="C11" sqref="C11"/>
    </sheetView>
  </sheetViews>
  <sheetFormatPr defaultRowHeight="15"/>
  <cols>
    <col min="1" max="1" width="10" bestFit="1" customWidth="1"/>
    <col min="3" max="3" width="74.42578125" customWidth="1"/>
    <col min="11" max="15" width="52.42578125" style="26" customWidth="1"/>
  </cols>
  <sheetData>
    <row r="1" spans="1:15" s="19" customFormat="1" ht="15.75" thickBot="1">
      <c r="C1" s="20" t="s">
        <v>367</v>
      </c>
    </row>
    <row r="2" spans="1:15" ht="15.75" thickBot="1">
      <c r="A2" s="9" t="s">
        <v>26</v>
      </c>
      <c r="B2" s="2">
        <v>5</v>
      </c>
      <c r="D2" s="6" t="s">
        <v>5</v>
      </c>
      <c r="E2" s="7" t="s">
        <v>6</v>
      </c>
      <c r="F2" s="7" t="s">
        <v>7</v>
      </c>
      <c r="G2" s="7" t="s">
        <v>8</v>
      </c>
      <c r="H2" s="7" t="s">
        <v>9</v>
      </c>
      <c r="I2" s="8" t="s">
        <v>10</v>
      </c>
      <c r="J2" t="s">
        <v>117</v>
      </c>
      <c r="K2" s="81">
        <f>AVERAGE(D11:I13)</f>
        <v>2.6666666666666665</v>
      </c>
      <c r="L2"/>
      <c r="M2"/>
      <c r="N2"/>
      <c r="O2"/>
    </row>
    <row r="3" spans="1:15">
      <c r="A3" s="10" t="s">
        <v>27</v>
      </c>
      <c r="B3" s="3">
        <v>4</v>
      </c>
      <c r="C3" t="s">
        <v>119</v>
      </c>
      <c r="D3">
        <f t="shared" ref="D3:I3" si="0">SUM(D11:D58)</f>
        <v>56</v>
      </c>
      <c r="E3">
        <f t="shared" si="0"/>
        <v>28</v>
      </c>
      <c r="F3">
        <f t="shared" si="0"/>
        <v>64</v>
      </c>
      <c r="G3">
        <f t="shared" si="0"/>
        <v>64</v>
      </c>
      <c r="H3">
        <f t="shared" si="0"/>
        <v>60</v>
      </c>
      <c r="I3">
        <f t="shared" si="0"/>
        <v>46</v>
      </c>
      <c r="J3" t="s">
        <v>120</v>
      </c>
      <c r="K3" s="81">
        <f>AVERAGE(D14:I16)</f>
        <v>2.3333333333333335</v>
      </c>
      <c r="L3"/>
      <c r="M3"/>
      <c r="N3"/>
      <c r="O3"/>
    </row>
    <row r="4" spans="1:15">
      <c r="A4" s="11" t="s">
        <v>28</v>
      </c>
      <c r="B4" s="3">
        <v>3</v>
      </c>
      <c r="C4" t="s">
        <v>121</v>
      </c>
      <c r="D4">
        <f t="shared" ref="D4:I4" si="1">COUNTIF(D$11:D$58, 5)</f>
        <v>1</v>
      </c>
      <c r="E4">
        <f t="shared" si="1"/>
        <v>0</v>
      </c>
      <c r="F4">
        <f t="shared" si="1"/>
        <v>4</v>
      </c>
      <c r="G4">
        <f t="shared" si="1"/>
        <v>4</v>
      </c>
      <c r="H4">
        <f t="shared" si="1"/>
        <v>1</v>
      </c>
      <c r="I4">
        <f t="shared" si="1"/>
        <v>1</v>
      </c>
      <c r="J4" t="s">
        <v>122</v>
      </c>
      <c r="K4" s="82">
        <f>AVERAGE(D17:I21)</f>
        <v>3.24</v>
      </c>
      <c r="L4"/>
      <c r="M4"/>
      <c r="N4"/>
      <c r="O4"/>
    </row>
    <row r="5" spans="1:15">
      <c r="A5" s="12" t="s">
        <v>29</v>
      </c>
      <c r="B5" s="3">
        <v>2</v>
      </c>
      <c r="C5" t="s">
        <v>123</v>
      </c>
      <c r="D5">
        <f t="shared" ref="D5:I5" si="2">COUNTIF(D$11:D$58, 4)</f>
        <v>3</v>
      </c>
      <c r="E5">
        <f t="shared" si="2"/>
        <v>0</v>
      </c>
      <c r="F5">
        <f t="shared" si="2"/>
        <v>1</v>
      </c>
      <c r="G5">
        <f t="shared" si="2"/>
        <v>1</v>
      </c>
      <c r="H5">
        <f t="shared" si="2"/>
        <v>1</v>
      </c>
      <c r="I5">
        <f t="shared" si="2"/>
        <v>2</v>
      </c>
      <c r="J5" t="s">
        <v>124</v>
      </c>
      <c r="K5" s="82">
        <f>AVERAGE(D22:I26)</f>
        <v>3.1</v>
      </c>
      <c r="L5"/>
      <c r="M5"/>
      <c r="N5"/>
      <c r="O5"/>
    </row>
    <row r="6" spans="1:15" ht="15.75" thickBot="1">
      <c r="A6" s="13" t="s">
        <v>30</v>
      </c>
      <c r="B6" s="4">
        <v>1</v>
      </c>
      <c r="C6" t="s">
        <v>125</v>
      </c>
      <c r="D6">
        <f t="shared" ref="D6:I6" si="3">COUNTIF(D$11:D$58, 3)</f>
        <v>7</v>
      </c>
      <c r="E6">
        <f t="shared" si="3"/>
        <v>8</v>
      </c>
      <c r="F6">
        <f t="shared" si="3"/>
        <v>10</v>
      </c>
      <c r="G6">
        <f t="shared" si="3"/>
        <v>10</v>
      </c>
      <c r="H6">
        <f t="shared" si="3"/>
        <v>15</v>
      </c>
      <c r="I6">
        <f t="shared" si="3"/>
        <v>9</v>
      </c>
      <c r="J6" t="s">
        <v>126</v>
      </c>
      <c r="K6" s="82">
        <v>0</v>
      </c>
      <c r="L6"/>
      <c r="M6"/>
      <c r="N6"/>
      <c r="O6"/>
    </row>
    <row r="7" spans="1:15">
      <c r="C7" t="s">
        <v>127</v>
      </c>
      <c r="D7">
        <f t="shared" ref="D7:I7" si="4">COUNTIF(D$11:D$58, 2)</f>
        <v>8</v>
      </c>
      <c r="E7">
        <f t="shared" si="4"/>
        <v>2</v>
      </c>
      <c r="F7">
        <f t="shared" si="4"/>
        <v>4</v>
      </c>
      <c r="G7">
        <f t="shared" si="4"/>
        <v>4</v>
      </c>
      <c r="H7">
        <f t="shared" si="4"/>
        <v>2</v>
      </c>
      <c r="I7">
        <f t="shared" si="4"/>
        <v>3</v>
      </c>
      <c r="J7" t="s">
        <v>128</v>
      </c>
      <c r="K7" s="82">
        <v>0</v>
      </c>
      <c r="L7"/>
      <c r="M7"/>
      <c r="N7"/>
      <c r="O7"/>
    </row>
    <row r="8" spans="1:15" ht="14.45" customHeight="1">
      <c r="C8" t="s">
        <v>129</v>
      </c>
      <c r="D8">
        <f t="shared" ref="D8:I8" si="5">COUNTIF(D$11:D$58, 1)</f>
        <v>2</v>
      </c>
      <c r="E8">
        <f t="shared" si="5"/>
        <v>0</v>
      </c>
      <c r="F8">
        <f t="shared" si="5"/>
        <v>2</v>
      </c>
      <c r="G8">
        <f t="shared" si="5"/>
        <v>2</v>
      </c>
      <c r="H8">
        <f t="shared" si="5"/>
        <v>2</v>
      </c>
      <c r="I8">
        <f t="shared" si="5"/>
        <v>0</v>
      </c>
      <c r="K8" s="116" t="s">
        <v>130</v>
      </c>
      <c r="L8" s="116" t="s">
        <v>131</v>
      </c>
      <c r="M8" s="116" t="s">
        <v>132</v>
      </c>
      <c r="N8" s="116" t="s">
        <v>133</v>
      </c>
      <c r="O8" s="116" t="s">
        <v>134</v>
      </c>
    </row>
    <row r="9" spans="1:15" ht="15.75" thickBot="1">
      <c r="K9" s="116"/>
      <c r="L9" s="116"/>
      <c r="M9" s="116"/>
      <c r="N9" s="116"/>
      <c r="O9" s="116"/>
    </row>
    <row r="10" spans="1:15" ht="15.75" thickBot="1">
      <c r="C10" s="21" t="s">
        <v>135</v>
      </c>
      <c r="D10" s="6" t="s">
        <v>5</v>
      </c>
      <c r="E10" s="7" t="s">
        <v>6</v>
      </c>
      <c r="F10" s="7" t="s">
        <v>7</v>
      </c>
      <c r="G10" s="7" t="s">
        <v>8</v>
      </c>
      <c r="H10" s="7" t="s">
        <v>9</v>
      </c>
      <c r="I10" s="8" t="s">
        <v>10</v>
      </c>
      <c r="K10" s="116"/>
      <c r="L10" s="116"/>
      <c r="M10" s="116"/>
      <c r="N10" s="116"/>
      <c r="O10" s="116"/>
    </row>
    <row r="11" spans="1:15" ht="135">
      <c r="A11" s="78" t="s">
        <v>33</v>
      </c>
      <c r="B11" s="1">
        <f>COUNTA(C11:C58)</f>
        <v>22</v>
      </c>
      <c r="C11" s="72" t="s">
        <v>34</v>
      </c>
      <c r="D11" s="73">
        <v>3</v>
      </c>
      <c r="E11" s="73"/>
      <c r="F11" s="73">
        <v>3</v>
      </c>
      <c r="G11" s="73">
        <v>3</v>
      </c>
      <c r="H11" s="73">
        <v>3</v>
      </c>
      <c r="I11" s="73"/>
      <c r="J11" s="38"/>
      <c r="K11" s="25" t="s">
        <v>368</v>
      </c>
      <c r="L11" s="25" t="s">
        <v>369</v>
      </c>
      <c r="M11" s="25" t="s">
        <v>370</v>
      </c>
      <c r="N11" s="25" t="s">
        <v>371</v>
      </c>
      <c r="O11" s="25" t="s">
        <v>372</v>
      </c>
    </row>
    <row r="12" spans="1:15" ht="90">
      <c r="A12" s="78" t="s">
        <v>35</v>
      </c>
      <c r="B12">
        <f>_xlfn.FLOOR.MATH(B11/5)</f>
        <v>4</v>
      </c>
      <c r="C12" s="72" t="s">
        <v>36</v>
      </c>
      <c r="D12" s="73">
        <v>2</v>
      </c>
      <c r="E12" s="73"/>
      <c r="F12" s="73">
        <v>2</v>
      </c>
      <c r="G12" s="73">
        <v>2</v>
      </c>
      <c r="H12" s="73">
        <v>2</v>
      </c>
      <c r="I12" s="73"/>
      <c r="J12" s="38"/>
      <c r="K12" s="25" t="s">
        <v>373</v>
      </c>
      <c r="L12" s="25" t="s">
        <v>374</v>
      </c>
      <c r="M12" s="25" t="s">
        <v>375</v>
      </c>
      <c r="N12" s="71" t="s">
        <v>154</v>
      </c>
      <c r="O12" s="25" t="s">
        <v>155</v>
      </c>
    </row>
    <row r="13" spans="1:15" ht="45">
      <c r="A13" s="78" t="s">
        <v>37</v>
      </c>
      <c r="B13">
        <f>MOD(B11,5)</f>
        <v>2</v>
      </c>
      <c r="C13" s="72" t="s">
        <v>38</v>
      </c>
      <c r="D13" s="73">
        <v>3</v>
      </c>
      <c r="E13" s="73"/>
      <c r="F13" s="73">
        <v>3</v>
      </c>
      <c r="G13" s="73">
        <v>3</v>
      </c>
      <c r="H13" s="73">
        <v>3</v>
      </c>
      <c r="I13" s="73"/>
      <c r="J13" s="38"/>
      <c r="K13" s="25" t="s">
        <v>373</v>
      </c>
      <c r="L13" s="25" t="s">
        <v>373</v>
      </c>
      <c r="M13" s="25" t="s">
        <v>376</v>
      </c>
      <c r="N13" s="25" t="s">
        <v>377</v>
      </c>
      <c r="O13" s="25" t="s">
        <v>378</v>
      </c>
    </row>
    <row r="14" spans="1:15" ht="90">
      <c r="A14" s="78" t="s">
        <v>39</v>
      </c>
      <c r="B14" s="31">
        <f ca="1">(B12*SUM($B$2:$B$6))+SUM($B$2:INDEX(B:B, $B$13+1))</f>
        <v>69</v>
      </c>
      <c r="C14" s="72" t="s">
        <v>40</v>
      </c>
      <c r="D14" s="73">
        <v>5</v>
      </c>
      <c r="E14" s="73"/>
      <c r="F14" s="73">
        <v>5</v>
      </c>
      <c r="G14" s="73">
        <v>5</v>
      </c>
      <c r="H14" s="73">
        <v>5</v>
      </c>
      <c r="I14" s="73"/>
      <c r="J14" s="38"/>
      <c r="K14" s="25" t="s">
        <v>245</v>
      </c>
      <c r="L14" s="25" t="s">
        <v>246</v>
      </c>
      <c r="M14" s="25" t="s">
        <v>375</v>
      </c>
      <c r="N14" s="71" t="s">
        <v>154</v>
      </c>
      <c r="O14" s="25" t="s">
        <v>155</v>
      </c>
    </row>
    <row r="15" spans="1:15">
      <c r="C15" s="72" t="s">
        <v>41</v>
      </c>
      <c r="D15" s="73">
        <v>1</v>
      </c>
      <c r="E15" s="73"/>
      <c r="F15" s="73">
        <v>1</v>
      </c>
      <c r="G15" s="73">
        <v>1</v>
      </c>
      <c r="H15" s="73">
        <v>1</v>
      </c>
      <c r="I15" s="73"/>
      <c r="J15" s="38"/>
      <c r="K15" s="25" t="s">
        <v>245</v>
      </c>
      <c r="L15" s="25" t="s">
        <v>246</v>
      </c>
      <c r="M15" s="25"/>
      <c r="N15" s="25"/>
      <c r="O15" s="25"/>
    </row>
    <row r="16" spans="1:15">
      <c r="C16" s="72" t="s">
        <v>42</v>
      </c>
      <c r="D16" s="73">
        <v>1</v>
      </c>
      <c r="E16" s="73"/>
      <c r="F16" s="73">
        <v>1</v>
      </c>
      <c r="G16" s="73">
        <v>1</v>
      </c>
      <c r="H16" s="73">
        <v>1</v>
      </c>
      <c r="I16" s="73"/>
      <c r="J16" s="38"/>
      <c r="K16" s="25" t="s">
        <v>245</v>
      </c>
      <c r="L16" s="25" t="s">
        <v>246</v>
      </c>
      <c r="M16" s="25"/>
      <c r="N16" s="25"/>
      <c r="O16" s="25"/>
    </row>
    <row r="17" spans="3:15" ht="105">
      <c r="C17" s="72" t="s">
        <v>43</v>
      </c>
      <c r="D17" s="73">
        <v>4</v>
      </c>
      <c r="E17" s="73"/>
      <c r="F17" s="73">
        <v>5</v>
      </c>
      <c r="G17" s="73">
        <v>4</v>
      </c>
      <c r="H17" s="73">
        <v>4</v>
      </c>
      <c r="I17" s="73">
        <v>4</v>
      </c>
      <c r="J17" s="38"/>
      <c r="K17" s="25" t="s">
        <v>379</v>
      </c>
      <c r="L17" s="25" t="s">
        <v>380</v>
      </c>
      <c r="M17" s="25" t="s">
        <v>381</v>
      </c>
      <c r="N17" s="95" t="s">
        <v>382</v>
      </c>
      <c r="O17" s="25" t="s">
        <v>383</v>
      </c>
    </row>
    <row r="18" spans="3:15" ht="120">
      <c r="C18" s="72" t="s">
        <v>44</v>
      </c>
      <c r="D18" s="73">
        <v>4</v>
      </c>
      <c r="E18" s="73"/>
      <c r="F18" s="73">
        <v>4</v>
      </c>
      <c r="G18" s="73">
        <v>5</v>
      </c>
      <c r="H18" s="73">
        <v>3</v>
      </c>
      <c r="I18" s="73">
        <v>3</v>
      </c>
      <c r="J18" s="38"/>
      <c r="K18" s="25" t="s">
        <v>384</v>
      </c>
      <c r="L18" s="25" t="s">
        <v>385</v>
      </c>
      <c r="M18" s="25" t="s">
        <v>386</v>
      </c>
      <c r="N18" s="95" t="s">
        <v>387</v>
      </c>
      <c r="O18" s="25" t="s">
        <v>388</v>
      </c>
    </row>
    <row r="19" spans="3:15" ht="90">
      <c r="C19" s="72" t="s">
        <v>45</v>
      </c>
      <c r="D19" s="73">
        <v>4</v>
      </c>
      <c r="E19" s="73"/>
      <c r="F19" s="73">
        <v>2</v>
      </c>
      <c r="G19" s="73">
        <v>2</v>
      </c>
      <c r="H19" s="73">
        <v>3</v>
      </c>
      <c r="I19" s="73">
        <v>3</v>
      </c>
      <c r="J19" s="38"/>
      <c r="K19" s="25" t="s">
        <v>389</v>
      </c>
      <c r="L19" s="25" t="s">
        <v>390</v>
      </c>
      <c r="M19" s="25" t="s">
        <v>391</v>
      </c>
      <c r="N19" s="95" t="s">
        <v>392</v>
      </c>
      <c r="O19" s="25" t="s">
        <v>393</v>
      </c>
    </row>
    <row r="20" spans="3:15" ht="119.45" customHeight="1">
      <c r="C20" s="72" t="s">
        <v>46</v>
      </c>
      <c r="D20" s="73">
        <v>3</v>
      </c>
      <c r="E20" s="73"/>
      <c r="F20" s="73">
        <v>3</v>
      </c>
      <c r="G20" s="73">
        <v>3</v>
      </c>
      <c r="H20" s="73">
        <v>3</v>
      </c>
      <c r="I20" s="73">
        <v>3</v>
      </c>
      <c r="J20" s="38"/>
      <c r="K20" s="25" t="s">
        <v>394</v>
      </c>
      <c r="L20" s="25" t="s">
        <v>395</v>
      </c>
      <c r="M20" s="95" t="s">
        <v>396</v>
      </c>
      <c r="N20" s="95" t="s">
        <v>397</v>
      </c>
      <c r="O20" s="95" t="s">
        <v>398</v>
      </c>
    </row>
    <row r="21" spans="3:15" ht="60">
      <c r="C21" s="72" t="s">
        <v>47</v>
      </c>
      <c r="D21" s="73">
        <v>3</v>
      </c>
      <c r="E21" s="73"/>
      <c r="F21" s="73">
        <v>2</v>
      </c>
      <c r="G21" s="73">
        <v>2</v>
      </c>
      <c r="H21" s="73">
        <v>2</v>
      </c>
      <c r="I21" s="73">
        <v>3</v>
      </c>
      <c r="J21" s="38"/>
      <c r="K21" s="25" t="s">
        <v>399</v>
      </c>
      <c r="L21" s="25" t="s">
        <v>400</v>
      </c>
      <c r="M21" s="25" t="s">
        <v>401</v>
      </c>
      <c r="N21" s="25" t="s">
        <v>402</v>
      </c>
      <c r="O21" s="25" t="s">
        <v>270</v>
      </c>
    </row>
    <row r="22" spans="3:15" ht="145.5" customHeight="1">
      <c r="C22" s="72" t="s">
        <v>48</v>
      </c>
      <c r="D22" s="73">
        <v>2</v>
      </c>
      <c r="E22" s="73">
        <v>3</v>
      </c>
      <c r="F22" s="73">
        <v>3</v>
      </c>
      <c r="G22" s="73">
        <v>3</v>
      </c>
      <c r="H22" s="73">
        <v>3</v>
      </c>
      <c r="I22" s="73">
        <v>3</v>
      </c>
      <c r="J22" s="38"/>
      <c r="K22" s="25" t="s">
        <v>403</v>
      </c>
      <c r="L22" s="25" t="s">
        <v>404</v>
      </c>
      <c r="M22" s="25" t="s">
        <v>405</v>
      </c>
      <c r="N22" s="25" t="s">
        <v>406</v>
      </c>
      <c r="O22" s="25" t="s">
        <v>407</v>
      </c>
    </row>
    <row r="23" spans="3:15" ht="156.6" customHeight="1">
      <c r="C23" s="72" t="s">
        <v>49</v>
      </c>
      <c r="D23" s="73">
        <v>2</v>
      </c>
      <c r="E23" s="73">
        <v>3</v>
      </c>
      <c r="F23" s="73">
        <v>5</v>
      </c>
      <c r="G23" s="73">
        <v>5</v>
      </c>
      <c r="H23" s="73">
        <v>3</v>
      </c>
      <c r="I23" s="73">
        <v>5</v>
      </c>
      <c r="J23" s="38"/>
      <c r="K23" s="25" t="s">
        <v>408</v>
      </c>
      <c r="L23" s="25" t="s">
        <v>409</v>
      </c>
      <c r="M23" s="25" t="s">
        <v>410</v>
      </c>
      <c r="N23" s="25" t="s">
        <v>411</v>
      </c>
      <c r="O23" s="25" t="s">
        <v>412</v>
      </c>
    </row>
    <row r="24" spans="3:15" ht="155.25" customHeight="1">
      <c r="C24" s="72" t="s">
        <v>50</v>
      </c>
      <c r="D24" s="73">
        <v>2</v>
      </c>
      <c r="E24" s="73">
        <v>3</v>
      </c>
      <c r="F24" s="73">
        <v>5</v>
      </c>
      <c r="G24" s="73">
        <v>5</v>
      </c>
      <c r="H24" s="73">
        <v>3</v>
      </c>
      <c r="I24" s="73">
        <v>4</v>
      </c>
      <c r="J24" s="38"/>
      <c r="K24" s="25" t="s">
        <v>413</v>
      </c>
      <c r="L24" s="25" t="s">
        <v>414</v>
      </c>
      <c r="M24" s="25" t="s">
        <v>415</v>
      </c>
      <c r="N24" s="25" t="s">
        <v>349</v>
      </c>
      <c r="O24" s="25" t="s">
        <v>350</v>
      </c>
    </row>
    <row r="25" spans="3:15" ht="129" customHeight="1">
      <c r="C25" s="72" t="s">
        <v>51</v>
      </c>
      <c r="D25" s="73">
        <v>2</v>
      </c>
      <c r="E25" s="73">
        <v>3</v>
      </c>
      <c r="F25" s="73">
        <v>3</v>
      </c>
      <c r="G25" s="73">
        <v>3</v>
      </c>
      <c r="H25" s="73">
        <v>3</v>
      </c>
      <c r="I25" s="73">
        <v>3</v>
      </c>
      <c r="J25" s="38"/>
      <c r="K25" s="25" t="s">
        <v>416</v>
      </c>
      <c r="L25" s="25" t="s">
        <v>417</v>
      </c>
      <c r="M25" s="25" t="s">
        <v>418</v>
      </c>
      <c r="N25" s="25" t="s">
        <v>419</v>
      </c>
      <c r="O25" s="25" t="s">
        <v>355</v>
      </c>
    </row>
    <row r="26" spans="3:15" ht="140.25" customHeight="1">
      <c r="C26" s="72" t="s">
        <v>52</v>
      </c>
      <c r="D26" s="73">
        <v>2</v>
      </c>
      <c r="E26" s="73">
        <v>3</v>
      </c>
      <c r="F26" s="73">
        <v>2</v>
      </c>
      <c r="G26" s="73">
        <v>2</v>
      </c>
      <c r="H26" s="73">
        <v>3</v>
      </c>
      <c r="I26" s="73">
        <v>2</v>
      </c>
      <c r="J26" s="38"/>
      <c r="K26" s="25" t="s">
        <v>420</v>
      </c>
      <c r="L26" s="25" t="s">
        <v>421</v>
      </c>
      <c r="M26" s="25" t="s">
        <v>422</v>
      </c>
      <c r="N26" s="25" t="s">
        <v>423</v>
      </c>
      <c r="O26" s="25" t="s">
        <v>424</v>
      </c>
    </row>
    <row r="27" spans="3:15" ht="45">
      <c r="C27" s="25" t="s">
        <v>53</v>
      </c>
      <c r="D27" s="73"/>
      <c r="E27" s="73"/>
      <c r="F27" s="73"/>
      <c r="G27" s="73"/>
      <c r="H27" s="73"/>
      <c r="I27" s="73"/>
      <c r="J27" s="38"/>
      <c r="K27" s="25" t="s">
        <v>292</v>
      </c>
      <c r="L27" s="25" t="s">
        <v>292</v>
      </c>
      <c r="M27" s="25" t="s">
        <v>292</v>
      </c>
      <c r="N27" s="25" t="s">
        <v>292</v>
      </c>
      <c r="O27" s="25" t="s">
        <v>292</v>
      </c>
    </row>
    <row r="28" spans="3:15" ht="60">
      <c r="C28" s="72" t="s">
        <v>215</v>
      </c>
      <c r="D28" s="91">
        <v>2</v>
      </c>
      <c r="E28" s="91">
        <v>2</v>
      </c>
      <c r="F28" s="91">
        <v>3</v>
      </c>
      <c r="G28" s="91">
        <v>3</v>
      </c>
      <c r="H28" s="91">
        <v>3</v>
      </c>
      <c r="I28" s="91">
        <v>2</v>
      </c>
      <c r="J28" s="38"/>
      <c r="K28" s="25" t="s">
        <v>425</v>
      </c>
      <c r="L28" s="25" t="s">
        <v>426</v>
      </c>
      <c r="M28" s="71" t="s">
        <v>427</v>
      </c>
      <c r="N28" s="25" t="s">
        <v>428</v>
      </c>
      <c r="O28" s="71" t="s">
        <v>429</v>
      </c>
    </row>
    <row r="29" spans="3:15" ht="60">
      <c r="C29" s="72" t="s">
        <v>55</v>
      </c>
      <c r="D29" s="91">
        <v>3</v>
      </c>
      <c r="E29" s="91">
        <v>3</v>
      </c>
      <c r="F29" s="91">
        <v>3</v>
      </c>
      <c r="G29" s="91">
        <v>3</v>
      </c>
      <c r="H29" s="91">
        <v>3</v>
      </c>
      <c r="I29" s="91">
        <v>3</v>
      </c>
      <c r="J29" s="38"/>
      <c r="K29" s="25" t="s">
        <v>430</v>
      </c>
      <c r="L29" s="25" t="s">
        <v>431</v>
      </c>
      <c r="M29" s="25" t="s">
        <v>432</v>
      </c>
      <c r="N29" s="88" t="s">
        <v>433</v>
      </c>
      <c r="O29" s="88" t="s">
        <v>434</v>
      </c>
    </row>
    <row r="30" spans="3:15" ht="60">
      <c r="C30" s="72" t="s">
        <v>56</v>
      </c>
      <c r="D30" s="91">
        <v>3</v>
      </c>
      <c r="E30" s="91">
        <v>3</v>
      </c>
      <c r="F30" s="91">
        <v>3</v>
      </c>
      <c r="G30" s="91">
        <v>3</v>
      </c>
      <c r="H30" s="91">
        <v>3</v>
      </c>
      <c r="I30" s="91">
        <v>3</v>
      </c>
      <c r="J30" s="38"/>
      <c r="K30" s="25" t="s">
        <v>435</v>
      </c>
      <c r="L30" s="25" t="s">
        <v>436</v>
      </c>
      <c r="M30" s="25" t="s">
        <v>437</v>
      </c>
      <c r="N30" s="25" t="s">
        <v>438</v>
      </c>
      <c r="O30" s="101" t="s">
        <v>439</v>
      </c>
    </row>
    <row r="31" spans="3:15" ht="45">
      <c r="C31" s="72" t="s">
        <v>57</v>
      </c>
      <c r="D31" s="91">
        <v>2</v>
      </c>
      <c r="E31" s="91">
        <v>2</v>
      </c>
      <c r="F31" s="91">
        <v>3</v>
      </c>
      <c r="G31" s="91">
        <v>3</v>
      </c>
      <c r="H31" s="91">
        <v>3</v>
      </c>
      <c r="I31" s="91">
        <v>2</v>
      </c>
      <c r="J31" s="38"/>
      <c r="K31" s="25" t="s">
        <v>440</v>
      </c>
      <c r="L31" s="25" t="s">
        <v>441</v>
      </c>
      <c r="M31" s="25" t="s">
        <v>442</v>
      </c>
      <c r="N31" s="25" t="s">
        <v>443</v>
      </c>
      <c r="O31" s="25" t="s">
        <v>444</v>
      </c>
    </row>
    <row r="32" spans="3:15" ht="60">
      <c r="C32" s="72" t="s">
        <v>58</v>
      </c>
      <c r="D32" s="91">
        <v>3</v>
      </c>
      <c r="E32" s="91">
        <v>3</v>
      </c>
      <c r="F32" s="91">
        <v>3</v>
      </c>
      <c r="G32" s="91">
        <v>3</v>
      </c>
      <c r="H32" s="91">
        <v>3</v>
      </c>
      <c r="I32" s="91">
        <v>3</v>
      </c>
      <c r="J32" s="38"/>
      <c r="K32" s="25" t="s">
        <v>445</v>
      </c>
      <c r="L32" s="25" t="s">
        <v>446</v>
      </c>
      <c r="M32" s="71" t="s">
        <v>447</v>
      </c>
      <c r="N32" s="25" t="s">
        <v>448</v>
      </c>
      <c r="O32" s="71" t="s">
        <v>449</v>
      </c>
    </row>
  </sheetData>
  <mergeCells count="5">
    <mergeCell ref="K8:K10"/>
    <mergeCell ref="L8:L10"/>
    <mergeCell ref="M8:M10"/>
    <mergeCell ref="N8:N10"/>
    <mergeCell ref="O8:O10"/>
  </mergeCells>
  <conditionalFormatting sqref="D3:I3">
    <cfRule type="cellIs" dxfId="1" priority="5" operator="greaterThan">
      <formula>$B$14</formula>
    </cfRule>
  </conditionalFormatting>
  <conditionalFormatting sqref="D11:I27">
    <cfRule type="colorScale" priority="64">
      <colorScale>
        <cfvo type="min"/>
        <cfvo type="percentile" val="50"/>
        <cfvo type="max"/>
        <color rgb="FFF8696B"/>
        <color rgb="FFFFEB84"/>
        <color rgb="FF63BE7B"/>
      </colorScale>
    </cfRule>
  </conditionalFormatting>
  <conditionalFormatting sqref="D28:I32">
    <cfRule type="colorScale" priority="1">
      <colorScale>
        <cfvo type="min"/>
        <cfvo type="percentile" val="50"/>
        <cfvo type="max"/>
        <color rgb="FFF8696B"/>
        <color rgb="FFFFEB84"/>
        <color rgb="FF63BE7B"/>
      </colorScale>
    </cfRule>
  </conditionalFormatting>
  <dataValidations count="1">
    <dataValidation type="whole" allowBlank="1" showInputMessage="1" showErrorMessage="1" sqref="D11:I32" xr:uid="{BB5EF355-303B-4FC9-BA88-5B1E0C8E43D4}">
      <formula1>1</formula1>
      <formula2>5</formula2>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BCC50-8870-47A9-96FF-AC5F5E982504}">
  <dimension ref="A1:O32"/>
  <sheetViews>
    <sheetView zoomScale="60" zoomScaleNormal="60" workbookViewId="0">
      <pane xSplit="3" ySplit="10" topLeftCell="D11" activePane="bottomRight" state="frozen"/>
      <selection pane="bottomRight" activeCell="D11" sqref="D11"/>
      <selection pane="bottomLeft" activeCell="C11" sqref="C11"/>
      <selection pane="topRight" activeCell="C11" sqref="C11"/>
    </sheetView>
  </sheetViews>
  <sheetFormatPr defaultRowHeight="15"/>
  <cols>
    <col min="1" max="1" width="10" bestFit="1" customWidth="1"/>
    <col min="3" max="3" width="74.42578125" customWidth="1"/>
    <col min="11" max="15" width="52.42578125" style="26" customWidth="1"/>
  </cols>
  <sheetData>
    <row r="1" spans="1:15" s="19" customFormat="1" ht="15.75" thickBot="1">
      <c r="C1" s="20" t="s">
        <v>450</v>
      </c>
    </row>
    <row r="2" spans="1:15" ht="15.75" thickBot="1">
      <c r="A2" s="9" t="s">
        <v>26</v>
      </c>
      <c r="B2" s="2">
        <v>5</v>
      </c>
      <c r="D2" s="6" t="s">
        <v>5</v>
      </c>
      <c r="E2" s="7" t="s">
        <v>6</v>
      </c>
      <c r="F2" s="7" t="s">
        <v>7</v>
      </c>
      <c r="G2" s="7" t="s">
        <v>8</v>
      </c>
      <c r="H2" s="7" t="s">
        <v>9</v>
      </c>
      <c r="I2" s="8" t="s">
        <v>10</v>
      </c>
      <c r="J2" t="s">
        <v>117</v>
      </c>
      <c r="K2" s="82">
        <f>AVERAGE(D15:I19)</f>
        <v>3.8</v>
      </c>
      <c r="L2"/>
      <c r="M2"/>
      <c r="N2"/>
      <c r="O2"/>
    </row>
    <row r="3" spans="1:15">
      <c r="A3" s="10" t="s">
        <v>27</v>
      </c>
      <c r="B3" s="3">
        <v>4</v>
      </c>
      <c r="C3" t="s">
        <v>119</v>
      </c>
      <c r="D3">
        <f t="shared" ref="D3:I3" si="0">SUM(D11:D58)</f>
        <v>50</v>
      </c>
      <c r="E3">
        <f t="shared" si="0"/>
        <v>31</v>
      </c>
      <c r="F3">
        <f t="shared" si="0"/>
        <v>63</v>
      </c>
      <c r="G3">
        <f t="shared" si="0"/>
        <v>64</v>
      </c>
      <c r="H3">
        <f t="shared" si="0"/>
        <v>61</v>
      </c>
      <c r="I3">
        <f t="shared" si="0"/>
        <v>60</v>
      </c>
      <c r="J3" t="s">
        <v>120</v>
      </c>
      <c r="K3" s="81">
        <v>0</v>
      </c>
      <c r="L3"/>
      <c r="M3"/>
      <c r="N3"/>
      <c r="O3"/>
    </row>
    <row r="4" spans="1:15">
      <c r="A4" s="11" t="s">
        <v>28</v>
      </c>
      <c r="B4" s="3">
        <v>3</v>
      </c>
      <c r="C4" t="s">
        <v>121</v>
      </c>
      <c r="D4">
        <f t="shared" ref="D4:I4" si="1">COUNTIF(D$11:D$58, 5)</f>
        <v>0</v>
      </c>
      <c r="E4">
        <f t="shared" si="1"/>
        <v>0</v>
      </c>
      <c r="F4">
        <f t="shared" si="1"/>
        <v>3</v>
      </c>
      <c r="G4">
        <f t="shared" si="1"/>
        <v>3</v>
      </c>
      <c r="H4">
        <f t="shared" si="1"/>
        <v>0</v>
      </c>
      <c r="I4">
        <f t="shared" si="1"/>
        <v>1</v>
      </c>
      <c r="J4" t="s">
        <v>122</v>
      </c>
      <c r="K4" s="82">
        <f>AVERAGE(D17:I21)</f>
        <v>3.6</v>
      </c>
      <c r="L4"/>
      <c r="M4"/>
      <c r="N4"/>
      <c r="O4"/>
    </row>
    <row r="5" spans="1:15">
      <c r="A5" s="12" t="s">
        <v>29</v>
      </c>
      <c r="B5" s="3">
        <v>2</v>
      </c>
      <c r="C5" t="s">
        <v>123</v>
      </c>
      <c r="D5">
        <f t="shared" ref="D5:I5" si="2">COUNTIF(D$11:D$58, 4)</f>
        <v>3</v>
      </c>
      <c r="E5">
        <f t="shared" si="2"/>
        <v>2</v>
      </c>
      <c r="F5">
        <f t="shared" si="2"/>
        <v>5</v>
      </c>
      <c r="G5">
        <f t="shared" si="2"/>
        <v>5</v>
      </c>
      <c r="H5">
        <f t="shared" si="2"/>
        <v>7</v>
      </c>
      <c r="I5">
        <f t="shared" si="2"/>
        <v>4</v>
      </c>
      <c r="J5" t="s">
        <v>124</v>
      </c>
      <c r="K5" s="82">
        <f>AVERAGE(D22:I26)</f>
        <v>3.1</v>
      </c>
      <c r="L5"/>
      <c r="M5"/>
      <c r="N5"/>
      <c r="O5"/>
    </row>
    <row r="6" spans="1:15" ht="15.75" thickBot="1">
      <c r="A6" s="13" t="s">
        <v>30</v>
      </c>
      <c r="B6" s="4">
        <v>1</v>
      </c>
      <c r="C6" t="s">
        <v>125</v>
      </c>
      <c r="D6">
        <f t="shared" ref="D6:I6" si="3">COUNTIF(D$11:D$58, 3)</f>
        <v>8</v>
      </c>
      <c r="E6">
        <f t="shared" si="3"/>
        <v>7</v>
      </c>
      <c r="F6">
        <f t="shared" si="3"/>
        <v>8</v>
      </c>
      <c r="G6">
        <f t="shared" si="3"/>
        <v>9</v>
      </c>
      <c r="H6">
        <f t="shared" si="3"/>
        <v>11</v>
      </c>
      <c r="I6">
        <f t="shared" si="3"/>
        <v>13</v>
      </c>
      <c r="J6" t="s">
        <v>126</v>
      </c>
      <c r="K6" s="82">
        <v>0</v>
      </c>
      <c r="L6"/>
      <c r="M6"/>
      <c r="N6"/>
      <c r="O6"/>
    </row>
    <row r="7" spans="1:15">
      <c r="C7" t="s">
        <v>127</v>
      </c>
      <c r="D7">
        <f t="shared" ref="D7:I7" si="4">COUNTIF(D$11:D$58, 2)</f>
        <v>7</v>
      </c>
      <c r="E7">
        <f t="shared" si="4"/>
        <v>1</v>
      </c>
      <c r="F7">
        <f t="shared" si="4"/>
        <v>2</v>
      </c>
      <c r="G7">
        <f t="shared" si="4"/>
        <v>1</v>
      </c>
      <c r="H7">
        <f t="shared" si="4"/>
        <v>0</v>
      </c>
      <c r="I7">
        <f t="shared" si="4"/>
        <v>0</v>
      </c>
      <c r="J7" t="s">
        <v>128</v>
      </c>
      <c r="K7" s="82">
        <f>AVERAGE(D28:I32)</f>
        <v>3.3</v>
      </c>
      <c r="L7"/>
      <c r="M7"/>
      <c r="N7"/>
      <c r="O7"/>
    </row>
    <row r="8" spans="1:15" ht="14.45" customHeight="1">
      <c r="C8" t="s">
        <v>129</v>
      </c>
      <c r="D8">
        <f t="shared" ref="D8:I8" si="5">COUNTIF(D$11:D$58, 1)</f>
        <v>0</v>
      </c>
      <c r="E8">
        <f t="shared" si="5"/>
        <v>0</v>
      </c>
      <c r="F8">
        <f t="shared" si="5"/>
        <v>0</v>
      </c>
      <c r="G8">
        <f t="shared" si="5"/>
        <v>0</v>
      </c>
      <c r="H8">
        <f t="shared" si="5"/>
        <v>0</v>
      </c>
      <c r="I8">
        <f t="shared" si="5"/>
        <v>0</v>
      </c>
      <c r="K8" s="116" t="s">
        <v>130</v>
      </c>
      <c r="L8" s="116" t="s">
        <v>131</v>
      </c>
      <c r="M8" s="116" t="s">
        <v>132</v>
      </c>
      <c r="N8" s="116" t="s">
        <v>133</v>
      </c>
      <c r="O8" s="116" t="s">
        <v>134</v>
      </c>
    </row>
    <row r="9" spans="1:15" ht="15.75" thickBot="1">
      <c r="K9" s="116"/>
      <c r="L9" s="116"/>
      <c r="M9" s="116"/>
      <c r="N9" s="116"/>
      <c r="O9" s="116"/>
    </row>
    <row r="10" spans="1:15" ht="15.75" thickBot="1">
      <c r="C10" s="21" t="s">
        <v>135</v>
      </c>
      <c r="D10" s="6" t="s">
        <v>5</v>
      </c>
      <c r="E10" s="7" t="s">
        <v>6</v>
      </c>
      <c r="F10" s="7" t="s">
        <v>7</v>
      </c>
      <c r="G10" s="7" t="s">
        <v>8</v>
      </c>
      <c r="H10" s="7" t="s">
        <v>9</v>
      </c>
      <c r="I10" s="8" t="s">
        <v>10</v>
      </c>
      <c r="K10" s="116"/>
      <c r="L10" s="116"/>
      <c r="M10" s="116"/>
      <c r="N10" s="116"/>
      <c r="O10" s="116"/>
    </row>
    <row r="11" spans="1:15" ht="210">
      <c r="A11" s="78" t="s">
        <v>33</v>
      </c>
      <c r="B11" s="1">
        <f>COUNTA(C11:C58)</f>
        <v>22</v>
      </c>
      <c r="C11" s="72" t="s">
        <v>34</v>
      </c>
      <c r="D11" s="73">
        <v>3</v>
      </c>
      <c r="E11" s="73"/>
      <c r="F11" s="73">
        <v>3</v>
      </c>
      <c r="G11" s="73">
        <v>3</v>
      </c>
      <c r="H11" s="73">
        <v>4</v>
      </c>
      <c r="I11" s="73">
        <v>3</v>
      </c>
      <c r="J11" s="38"/>
      <c r="K11" s="25" t="s">
        <v>451</v>
      </c>
      <c r="L11" s="25" t="s">
        <v>452</v>
      </c>
      <c r="M11" s="25" t="s">
        <v>453</v>
      </c>
      <c r="N11" s="25" t="s">
        <v>454</v>
      </c>
      <c r="O11" s="25" t="s">
        <v>455</v>
      </c>
    </row>
    <row r="12" spans="1:15" ht="75">
      <c r="A12" s="78" t="s">
        <v>35</v>
      </c>
      <c r="B12">
        <f>_xlfn.FLOOR.MATH(B11/5)</f>
        <v>4</v>
      </c>
      <c r="C12" s="72" t="s">
        <v>36</v>
      </c>
      <c r="D12" s="73">
        <v>3</v>
      </c>
      <c r="E12" s="73"/>
      <c r="F12" s="73">
        <v>3</v>
      </c>
      <c r="G12" s="73">
        <v>3</v>
      </c>
      <c r="H12" s="73">
        <v>3</v>
      </c>
      <c r="I12" s="73">
        <v>3</v>
      </c>
      <c r="J12" s="38"/>
      <c r="K12" s="25" t="s">
        <v>456</v>
      </c>
      <c r="L12" s="25" t="s">
        <v>457</v>
      </c>
      <c r="M12" s="25" t="s">
        <v>458</v>
      </c>
      <c r="N12" s="25" t="s">
        <v>459</v>
      </c>
      <c r="O12" s="25"/>
    </row>
    <row r="13" spans="1:15" ht="120">
      <c r="A13" s="78" t="s">
        <v>37</v>
      </c>
      <c r="B13">
        <f>MOD(B11,5)</f>
        <v>2</v>
      </c>
      <c r="C13" s="72" t="s">
        <v>38</v>
      </c>
      <c r="D13" s="73">
        <v>3</v>
      </c>
      <c r="E13" s="73"/>
      <c r="F13" s="73">
        <v>4</v>
      </c>
      <c r="G13" s="73">
        <v>3</v>
      </c>
      <c r="H13" s="73">
        <v>3</v>
      </c>
      <c r="I13" s="73">
        <v>3</v>
      </c>
      <c r="J13" s="38"/>
      <c r="K13" s="25" t="s">
        <v>460</v>
      </c>
      <c r="L13" s="25" t="s">
        <v>461</v>
      </c>
      <c r="M13" s="25" t="s">
        <v>462</v>
      </c>
      <c r="N13" s="25" t="s">
        <v>463</v>
      </c>
      <c r="O13" s="25" t="s">
        <v>464</v>
      </c>
    </row>
    <row r="14" spans="1:15" ht="45">
      <c r="A14" s="78" t="s">
        <v>39</v>
      </c>
      <c r="B14" s="31">
        <f ca="1">(B12*SUM($B$2:$B$6))+SUM($B$2:INDEX(B:B, $B$13+1))</f>
        <v>69</v>
      </c>
      <c r="C14" s="72" t="s">
        <v>40</v>
      </c>
      <c r="D14" s="73"/>
      <c r="E14" s="73"/>
      <c r="F14" s="73"/>
      <c r="G14" s="73"/>
      <c r="H14" s="73"/>
      <c r="I14" s="73"/>
      <c r="J14" s="38"/>
      <c r="K14" s="25" t="s">
        <v>465</v>
      </c>
      <c r="L14" s="25"/>
      <c r="M14" s="25"/>
      <c r="N14" s="25"/>
      <c r="O14" s="25"/>
    </row>
    <row r="15" spans="1:15">
      <c r="C15" s="72" t="s">
        <v>41</v>
      </c>
      <c r="D15" s="73"/>
      <c r="E15" s="73"/>
      <c r="F15" s="73"/>
      <c r="G15" s="73"/>
      <c r="H15" s="73"/>
      <c r="I15" s="73"/>
      <c r="J15" s="38"/>
      <c r="K15" s="25"/>
      <c r="L15" s="25"/>
      <c r="M15" s="25"/>
      <c r="N15" s="25"/>
      <c r="O15" s="25"/>
    </row>
    <row r="16" spans="1:15">
      <c r="C16" s="72" t="s">
        <v>42</v>
      </c>
      <c r="D16" s="73"/>
      <c r="E16" s="73"/>
      <c r="F16" s="73"/>
      <c r="G16" s="73"/>
      <c r="H16" s="73"/>
      <c r="I16" s="73"/>
      <c r="J16" s="38"/>
      <c r="K16" s="25"/>
      <c r="L16" s="25"/>
      <c r="M16" s="25"/>
      <c r="N16" s="25"/>
      <c r="O16" s="25"/>
    </row>
    <row r="17" spans="3:15" ht="75">
      <c r="C17" s="72" t="s">
        <v>43</v>
      </c>
      <c r="D17" s="73">
        <v>4</v>
      </c>
      <c r="E17" s="73"/>
      <c r="F17" s="73">
        <v>5</v>
      </c>
      <c r="G17" s="73">
        <v>5</v>
      </c>
      <c r="H17" s="73">
        <v>4</v>
      </c>
      <c r="I17" s="73">
        <v>4</v>
      </c>
      <c r="J17" s="38"/>
      <c r="K17" s="25" t="s">
        <v>466</v>
      </c>
      <c r="L17" s="25" t="s">
        <v>467</v>
      </c>
      <c r="M17" s="25" t="s">
        <v>468</v>
      </c>
      <c r="N17" s="95" t="s">
        <v>397</v>
      </c>
      <c r="O17" s="25" t="s">
        <v>383</v>
      </c>
    </row>
    <row r="18" spans="3:15" ht="118.35" customHeight="1">
      <c r="C18" s="72" t="s">
        <v>44</v>
      </c>
      <c r="D18" s="73">
        <v>3</v>
      </c>
      <c r="E18" s="73"/>
      <c r="F18" s="73">
        <v>4</v>
      </c>
      <c r="G18" s="73">
        <v>4</v>
      </c>
      <c r="H18" s="73">
        <v>4</v>
      </c>
      <c r="I18" s="73">
        <v>4</v>
      </c>
      <c r="J18" s="38"/>
      <c r="K18" s="25" t="s">
        <v>469</v>
      </c>
      <c r="L18" s="25" t="s">
        <v>385</v>
      </c>
      <c r="M18" s="25" t="s">
        <v>386</v>
      </c>
      <c r="N18" s="95" t="s">
        <v>397</v>
      </c>
      <c r="O18" s="25" t="s">
        <v>393</v>
      </c>
    </row>
    <row r="19" spans="3:15" ht="90">
      <c r="C19" s="72" t="s">
        <v>45</v>
      </c>
      <c r="D19" s="73">
        <v>2</v>
      </c>
      <c r="E19" s="73"/>
      <c r="F19" s="73">
        <v>3</v>
      </c>
      <c r="G19" s="73">
        <v>4</v>
      </c>
      <c r="H19" s="73">
        <v>4</v>
      </c>
      <c r="I19" s="73">
        <v>3</v>
      </c>
      <c r="J19" s="38"/>
      <c r="K19" s="25" t="s">
        <v>389</v>
      </c>
      <c r="L19" s="25" t="s">
        <v>390</v>
      </c>
      <c r="M19" s="25" t="s">
        <v>391</v>
      </c>
      <c r="N19" s="95" t="s">
        <v>397</v>
      </c>
      <c r="O19" s="25" t="s">
        <v>393</v>
      </c>
    </row>
    <row r="20" spans="3:15" ht="90">
      <c r="C20" s="72" t="s">
        <v>46</v>
      </c>
      <c r="D20" s="73">
        <v>3</v>
      </c>
      <c r="E20" s="73"/>
      <c r="F20" s="73">
        <v>4</v>
      </c>
      <c r="G20" s="73">
        <v>4</v>
      </c>
      <c r="H20" s="73">
        <v>4</v>
      </c>
      <c r="I20" s="73">
        <v>3</v>
      </c>
      <c r="J20" s="38"/>
      <c r="K20" s="25" t="s">
        <v>470</v>
      </c>
      <c r="L20" s="25" t="s">
        <v>395</v>
      </c>
      <c r="M20" s="25" t="s">
        <v>471</v>
      </c>
      <c r="N20" s="95" t="s">
        <v>397</v>
      </c>
      <c r="O20" s="25" t="s">
        <v>472</v>
      </c>
    </row>
    <row r="21" spans="3:15">
      <c r="C21" s="72" t="s">
        <v>47</v>
      </c>
      <c r="D21" s="73">
        <v>3</v>
      </c>
      <c r="E21" s="73"/>
      <c r="F21" s="73">
        <v>3</v>
      </c>
      <c r="G21" s="73">
        <v>3</v>
      </c>
      <c r="H21" s="73">
        <v>3</v>
      </c>
      <c r="I21" s="73">
        <v>3</v>
      </c>
      <c r="J21" s="38"/>
      <c r="K21" s="25"/>
      <c r="L21" s="25"/>
      <c r="M21" s="25"/>
      <c r="N21" s="25"/>
      <c r="O21" s="25"/>
    </row>
    <row r="22" spans="3:15" ht="147" customHeight="1">
      <c r="C22" s="72" t="s">
        <v>48</v>
      </c>
      <c r="D22" s="73">
        <v>2</v>
      </c>
      <c r="E22" s="73">
        <v>3</v>
      </c>
      <c r="F22" s="73">
        <v>3</v>
      </c>
      <c r="G22" s="73">
        <v>3</v>
      </c>
      <c r="H22" s="73">
        <v>3</v>
      </c>
      <c r="I22" s="73">
        <v>3</v>
      </c>
      <c r="J22" s="38"/>
      <c r="K22" s="25" t="s">
        <v>473</v>
      </c>
      <c r="L22" s="25" t="s">
        <v>474</v>
      </c>
      <c r="M22" s="25" t="s">
        <v>475</v>
      </c>
      <c r="N22" s="25" t="s">
        <v>476</v>
      </c>
      <c r="O22" s="25" t="s">
        <v>407</v>
      </c>
    </row>
    <row r="23" spans="3:15" ht="156" customHeight="1">
      <c r="C23" s="72" t="s">
        <v>49</v>
      </c>
      <c r="D23" s="73">
        <v>2</v>
      </c>
      <c r="E23" s="73">
        <v>3</v>
      </c>
      <c r="F23" s="73">
        <v>5</v>
      </c>
      <c r="G23" s="73">
        <v>5</v>
      </c>
      <c r="H23" s="73">
        <v>3</v>
      </c>
      <c r="I23" s="73">
        <v>5</v>
      </c>
      <c r="J23" s="38"/>
      <c r="K23" s="25" t="s">
        <v>477</v>
      </c>
      <c r="L23" s="25" t="s">
        <v>478</v>
      </c>
      <c r="M23" s="25" t="s">
        <v>479</v>
      </c>
      <c r="N23" s="25" t="s">
        <v>480</v>
      </c>
      <c r="O23" s="25" t="s">
        <v>412</v>
      </c>
    </row>
    <row r="24" spans="3:15" ht="121.35" customHeight="1">
      <c r="C24" s="72" t="s">
        <v>50</v>
      </c>
      <c r="D24" s="73">
        <v>2</v>
      </c>
      <c r="E24" s="73">
        <v>3</v>
      </c>
      <c r="F24" s="73">
        <v>5</v>
      </c>
      <c r="G24" s="73">
        <v>5</v>
      </c>
      <c r="H24" s="73">
        <v>3</v>
      </c>
      <c r="I24" s="73">
        <v>3</v>
      </c>
      <c r="J24" s="38"/>
      <c r="K24" s="25" t="s">
        <v>413</v>
      </c>
      <c r="L24" s="25" t="s">
        <v>414</v>
      </c>
      <c r="M24" s="25" t="s">
        <v>415</v>
      </c>
      <c r="N24" s="25" t="s">
        <v>349</v>
      </c>
      <c r="O24" s="25" t="s">
        <v>350</v>
      </c>
    </row>
    <row r="25" spans="3:15" ht="89.1" customHeight="1">
      <c r="C25" s="72" t="s">
        <v>51</v>
      </c>
      <c r="D25" s="73">
        <v>2</v>
      </c>
      <c r="E25" s="73">
        <v>3</v>
      </c>
      <c r="F25" s="73">
        <v>3</v>
      </c>
      <c r="G25" s="73">
        <v>3</v>
      </c>
      <c r="H25" s="73">
        <v>3</v>
      </c>
      <c r="I25" s="73">
        <v>3</v>
      </c>
      <c r="J25" s="38"/>
      <c r="K25" s="25" t="s">
        <v>416</v>
      </c>
      <c r="L25" s="25" t="s">
        <v>417</v>
      </c>
      <c r="M25" s="25" t="s">
        <v>418</v>
      </c>
      <c r="N25" s="25" t="s">
        <v>419</v>
      </c>
      <c r="O25" s="25" t="s">
        <v>355</v>
      </c>
    </row>
    <row r="26" spans="3:15" ht="93" customHeight="1">
      <c r="C26" s="72" t="s">
        <v>52</v>
      </c>
      <c r="D26" s="73">
        <v>2</v>
      </c>
      <c r="E26" s="73">
        <v>3</v>
      </c>
      <c r="F26" s="73">
        <v>2</v>
      </c>
      <c r="G26" s="73">
        <v>2</v>
      </c>
      <c r="H26" s="73">
        <v>3</v>
      </c>
      <c r="I26" s="73">
        <v>3</v>
      </c>
      <c r="J26" s="38"/>
      <c r="K26" s="25" t="s">
        <v>420</v>
      </c>
      <c r="L26" s="25" t="s">
        <v>421</v>
      </c>
      <c r="M26" s="25" t="s">
        <v>422</v>
      </c>
      <c r="N26" s="25" t="s">
        <v>423</v>
      </c>
      <c r="O26" s="25" t="s">
        <v>424</v>
      </c>
    </row>
    <row r="27" spans="3:15" ht="45">
      <c r="C27" s="25" t="s">
        <v>53</v>
      </c>
      <c r="D27" s="73"/>
      <c r="E27" s="73"/>
      <c r="F27" s="73"/>
      <c r="G27" s="73"/>
      <c r="H27" s="73"/>
      <c r="I27" s="73"/>
      <c r="J27" s="38"/>
      <c r="K27" s="25" t="s">
        <v>292</v>
      </c>
      <c r="L27" s="25" t="s">
        <v>292</v>
      </c>
      <c r="M27" s="25" t="s">
        <v>292</v>
      </c>
      <c r="N27" s="25" t="s">
        <v>292</v>
      </c>
      <c r="O27" s="25" t="s">
        <v>292</v>
      </c>
    </row>
    <row r="28" spans="3:15" ht="30">
      <c r="C28" s="72" t="s">
        <v>215</v>
      </c>
      <c r="D28" s="73">
        <v>3</v>
      </c>
      <c r="E28" s="73">
        <v>3</v>
      </c>
      <c r="F28" s="73">
        <v>3</v>
      </c>
      <c r="G28" s="73">
        <v>3</v>
      </c>
      <c r="H28" s="73">
        <v>3</v>
      </c>
      <c r="I28" s="73">
        <v>3</v>
      </c>
      <c r="J28" s="38"/>
      <c r="K28" s="25" t="s">
        <v>481</v>
      </c>
      <c r="L28" s="25" t="s">
        <v>482</v>
      </c>
      <c r="M28" s="25" t="s">
        <v>483</v>
      </c>
      <c r="N28" s="25" t="s">
        <v>219</v>
      </c>
      <c r="O28" s="25" t="s">
        <v>220</v>
      </c>
    </row>
    <row r="29" spans="3:15" ht="64.349999999999994" customHeight="1">
      <c r="C29" s="72" t="s">
        <v>55</v>
      </c>
      <c r="D29" s="73">
        <v>4</v>
      </c>
      <c r="E29" s="73">
        <v>4</v>
      </c>
      <c r="F29" s="73">
        <v>4</v>
      </c>
      <c r="G29" s="73">
        <v>4</v>
      </c>
      <c r="H29" s="73">
        <v>4</v>
      </c>
      <c r="I29" s="73">
        <v>4</v>
      </c>
      <c r="J29" s="38"/>
      <c r="K29" s="25" t="s">
        <v>484</v>
      </c>
      <c r="L29" s="25" t="s">
        <v>485</v>
      </c>
      <c r="M29" s="25" t="s">
        <v>486</v>
      </c>
      <c r="N29" s="25" t="s">
        <v>487</v>
      </c>
      <c r="O29" s="25" t="s">
        <v>488</v>
      </c>
    </row>
    <row r="30" spans="3:15" ht="60.6" customHeight="1">
      <c r="C30" s="72" t="s">
        <v>56</v>
      </c>
      <c r="D30" s="73">
        <v>3</v>
      </c>
      <c r="E30" s="73">
        <v>3</v>
      </c>
      <c r="F30" s="73">
        <v>3</v>
      </c>
      <c r="G30" s="73">
        <v>3</v>
      </c>
      <c r="H30" s="73">
        <v>3</v>
      </c>
      <c r="I30" s="73">
        <v>3</v>
      </c>
      <c r="J30" s="38"/>
      <c r="K30" s="25" t="s">
        <v>489</v>
      </c>
      <c r="L30" s="25" t="s">
        <v>490</v>
      </c>
      <c r="M30" s="25" t="s">
        <v>491</v>
      </c>
      <c r="N30" s="25" t="s">
        <v>492</v>
      </c>
      <c r="O30" s="25" t="s">
        <v>493</v>
      </c>
    </row>
    <row r="31" spans="3:15" ht="30">
      <c r="C31" s="72" t="s">
        <v>57</v>
      </c>
      <c r="D31" s="73">
        <v>2</v>
      </c>
      <c r="E31" s="73">
        <v>2</v>
      </c>
      <c r="F31" s="73">
        <v>2</v>
      </c>
      <c r="G31" s="73">
        <v>3</v>
      </c>
      <c r="H31" s="73">
        <v>3</v>
      </c>
      <c r="I31" s="73">
        <v>3</v>
      </c>
      <c r="J31" s="38"/>
      <c r="K31" s="25" t="s">
        <v>494</v>
      </c>
      <c r="L31" s="25" t="s">
        <v>495</v>
      </c>
      <c r="M31" s="25" t="s">
        <v>496</v>
      </c>
      <c r="N31" s="25" t="s">
        <v>492</v>
      </c>
      <c r="O31" s="25" t="s">
        <v>493</v>
      </c>
    </row>
    <row r="32" spans="3:15" ht="59.45" customHeight="1">
      <c r="C32" s="72" t="s">
        <v>58</v>
      </c>
      <c r="D32" s="73">
        <v>4</v>
      </c>
      <c r="E32" s="73">
        <v>4</v>
      </c>
      <c r="F32" s="73">
        <v>4</v>
      </c>
      <c r="G32" s="73">
        <v>4</v>
      </c>
      <c r="H32" s="73">
        <v>4</v>
      </c>
      <c r="I32" s="73">
        <v>4</v>
      </c>
      <c r="J32" s="38"/>
      <c r="K32" s="25" t="s">
        <v>497</v>
      </c>
      <c r="L32" s="25" t="s">
        <v>498</v>
      </c>
      <c r="M32" s="25" t="s">
        <v>499</v>
      </c>
      <c r="N32" s="25" t="s">
        <v>229</v>
      </c>
      <c r="O32" s="25" t="s">
        <v>500</v>
      </c>
    </row>
  </sheetData>
  <mergeCells count="5">
    <mergeCell ref="K8:K10"/>
    <mergeCell ref="L8:L10"/>
    <mergeCell ref="M8:M10"/>
    <mergeCell ref="N8:N10"/>
    <mergeCell ref="O8:O10"/>
  </mergeCells>
  <conditionalFormatting sqref="D3:I3">
    <cfRule type="cellIs" dxfId="0" priority="4" operator="greaterThan">
      <formula>$B$14</formula>
    </cfRule>
  </conditionalFormatting>
  <conditionalFormatting sqref="D11:I32">
    <cfRule type="colorScale" priority="64">
      <colorScale>
        <cfvo type="min"/>
        <cfvo type="percentile" val="50"/>
        <cfvo type="max"/>
        <color rgb="FFF8696B"/>
        <color rgb="FFFFEB84"/>
        <color rgb="FF63BE7B"/>
      </colorScale>
    </cfRule>
  </conditionalFormatting>
  <dataValidations count="1">
    <dataValidation type="whole" allowBlank="1" showInputMessage="1" showErrorMessage="1" sqref="D11:I32" xr:uid="{20E21BE6-1BA8-44AC-B621-712F42ECE009}">
      <formula1>1</formula1>
      <formula2>5</formula2>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7144C-8145-4F90-954B-F33ACD1542C9}">
  <dimension ref="A1:AM50"/>
  <sheetViews>
    <sheetView topLeftCell="A31" workbookViewId="0">
      <selection activeCell="C3" sqref="C3"/>
    </sheetView>
  </sheetViews>
  <sheetFormatPr defaultRowHeight="15"/>
  <sheetData>
    <row r="1" spans="1:39">
      <c r="A1" s="44" t="s">
        <v>501</v>
      </c>
      <c r="B1" s="43"/>
      <c r="C1" s="43"/>
      <c r="D1" s="43"/>
      <c r="E1" s="43"/>
      <c r="F1" s="43"/>
      <c r="G1" s="43"/>
      <c r="H1" s="43"/>
    </row>
    <row r="2" spans="1:39">
      <c r="A2" s="20" t="s">
        <v>502</v>
      </c>
      <c r="B2" s="19"/>
      <c r="C2" s="19"/>
      <c r="D2" s="19"/>
      <c r="E2" s="19"/>
      <c r="F2" s="19"/>
      <c r="G2" s="19"/>
      <c r="I2" s="20" t="s">
        <v>503</v>
      </c>
      <c r="J2" s="19"/>
      <c r="K2" s="19"/>
      <c r="L2" s="19"/>
      <c r="M2" s="19"/>
      <c r="N2" s="19"/>
      <c r="O2" s="19"/>
      <c r="Q2" s="20" t="s">
        <v>504</v>
      </c>
      <c r="R2" s="19"/>
      <c r="S2" s="19"/>
      <c r="T2" s="19"/>
      <c r="U2" s="19"/>
      <c r="V2" s="19"/>
      <c r="W2" s="19"/>
      <c r="Y2" s="20" t="s">
        <v>505</v>
      </c>
      <c r="Z2" s="19"/>
      <c r="AA2" s="19"/>
      <c r="AB2" s="19"/>
      <c r="AC2" s="19"/>
      <c r="AD2" s="19"/>
      <c r="AE2" s="19"/>
      <c r="AG2" s="20" t="s">
        <v>506</v>
      </c>
      <c r="AH2" s="19"/>
      <c r="AI2" s="19"/>
      <c r="AJ2" s="19"/>
      <c r="AK2" s="19"/>
      <c r="AL2" s="19"/>
      <c r="AM2" s="19"/>
    </row>
    <row r="3" spans="1:39" ht="18.75">
      <c r="A3" s="41" t="s">
        <v>108</v>
      </c>
      <c r="I3" s="41" t="s">
        <v>507</v>
      </c>
      <c r="Q3" s="41" t="s">
        <v>508</v>
      </c>
      <c r="Y3" s="41" t="s">
        <v>115</v>
      </c>
      <c r="AG3" s="41" t="s">
        <v>115</v>
      </c>
    </row>
    <row r="4" spans="1:39">
      <c r="A4" s="1" t="s">
        <v>509</v>
      </c>
      <c r="B4" t="s">
        <v>510</v>
      </c>
      <c r="I4" s="1" t="s">
        <v>509</v>
      </c>
      <c r="J4" t="s">
        <v>510</v>
      </c>
      <c r="Q4" s="1" t="s">
        <v>509</v>
      </c>
      <c r="R4" t="s">
        <v>510</v>
      </c>
      <c r="Y4" s="1" t="s">
        <v>509</v>
      </c>
      <c r="Z4" t="s">
        <v>510</v>
      </c>
      <c r="AG4" s="1" t="s">
        <v>509</v>
      </c>
      <c r="AH4" t="s">
        <v>510</v>
      </c>
    </row>
    <row r="5" spans="1:39">
      <c r="A5" s="1" t="s">
        <v>511</v>
      </c>
      <c r="B5" t="s">
        <v>512</v>
      </c>
      <c r="I5" s="1" t="s">
        <v>511</v>
      </c>
      <c r="J5" t="s">
        <v>513</v>
      </c>
      <c r="Q5" s="1" t="s">
        <v>511</v>
      </c>
      <c r="Y5" s="1" t="s">
        <v>511</v>
      </c>
      <c r="Z5" t="s">
        <v>514</v>
      </c>
      <c r="AG5" s="1" t="s">
        <v>511</v>
      </c>
      <c r="AH5" t="s">
        <v>514</v>
      </c>
    </row>
    <row r="6" spans="1:39">
      <c r="A6" s="1" t="s">
        <v>515</v>
      </c>
      <c r="B6" s="1">
        <v>2021</v>
      </c>
      <c r="C6" s="1">
        <v>2022</v>
      </c>
      <c r="D6" s="1">
        <v>2023</v>
      </c>
      <c r="E6" s="1">
        <v>2024</v>
      </c>
      <c r="F6" s="1">
        <v>2025</v>
      </c>
      <c r="I6" s="1" t="s">
        <v>515</v>
      </c>
      <c r="J6" s="1">
        <v>2021</v>
      </c>
      <c r="K6" s="1">
        <v>2022</v>
      </c>
      <c r="L6" s="1">
        <v>2023</v>
      </c>
      <c r="M6" s="1">
        <v>2024</v>
      </c>
      <c r="N6" s="1">
        <v>2025</v>
      </c>
      <c r="Q6" s="1" t="s">
        <v>515</v>
      </c>
      <c r="R6" s="1"/>
      <c r="S6" s="1"/>
      <c r="T6" s="1"/>
      <c r="U6" s="1"/>
      <c r="V6" s="1">
        <v>2022</v>
      </c>
      <c r="Y6" s="1" t="s">
        <v>515</v>
      </c>
      <c r="Z6" s="1">
        <v>2021</v>
      </c>
      <c r="AA6" s="1">
        <v>2022</v>
      </c>
      <c r="AB6" s="1">
        <v>2023</v>
      </c>
      <c r="AC6" s="1">
        <v>2024</v>
      </c>
      <c r="AD6" s="1">
        <v>2025</v>
      </c>
      <c r="AG6" s="1" t="s">
        <v>515</v>
      </c>
      <c r="AH6" s="1">
        <v>2021</v>
      </c>
      <c r="AI6" s="1">
        <v>2022</v>
      </c>
      <c r="AJ6" s="1">
        <v>2023</v>
      </c>
      <c r="AK6" s="1">
        <v>2024</v>
      </c>
      <c r="AL6" s="1">
        <v>2025</v>
      </c>
    </row>
    <row r="7" spans="1:39">
      <c r="A7" t="s">
        <v>516</v>
      </c>
      <c r="B7" s="42">
        <v>8.8427009443168973</v>
      </c>
      <c r="C7" s="42">
        <v>8.2286612637084851</v>
      </c>
      <c r="D7" s="42">
        <v>7.6489308979425008</v>
      </c>
      <c r="E7" s="42">
        <v>7.1031772129091495</v>
      </c>
      <c r="F7" s="42">
        <v>6.590867907874717</v>
      </c>
      <c r="I7" t="s">
        <v>516</v>
      </c>
      <c r="J7" s="42">
        <v>751.13725176057392</v>
      </c>
      <c r="K7" s="42">
        <v>737.74175018406561</v>
      </c>
      <c r="L7" s="42">
        <v>726.16697833626461</v>
      </c>
      <c r="M7" s="42">
        <v>716.37814045217931</v>
      </c>
      <c r="N7" s="42">
        <v>708.31417309219535</v>
      </c>
      <c r="R7" s="42"/>
      <c r="S7" s="42"/>
      <c r="T7" s="42"/>
      <c r="U7" s="42"/>
      <c r="V7" s="42"/>
      <c r="Z7" s="42"/>
      <c r="AA7" s="42"/>
      <c r="AB7" s="42"/>
      <c r="AC7" s="42"/>
      <c r="AD7" s="42"/>
      <c r="AH7" s="42"/>
      <c r="AI7" s="42"/>
      <c r="AJ7" s="42"/>
      <c r="AK7" s="42"/>
      <c r="AL7" s="42"/>
    </row>
    <row r="8" spans="1:39">
      <c r="A8" t="s">
        <v>5</v>
      </c>
      <c r="B8" s="42">
        <v>7.189257788334638</v>
      </c>
      <c r="C8" s="42">
        <v>6.6888900090578529</v>
      </c>
      <c r="D8" s="42">
        <v>6.2115265699456517</v>
      </c>
      <c r="E8" s="42">
        <v>5.7570393132760787</v>
      </c>
      <c r="F8" s="42">
        <v>5.3252328623979217</v>
      </c>
      <c r="H8" s="45" t="s">
        <v>5</v>
      </c>
      <c r="I8" t="s">
        <v>66</v>
      </c>
      <c r="J8" s="42">
        <v>31.202645027541003</v>
      </c>
      <c r="K8" s="42">
        <v>31.753594603374466</v>
      </c>
      <c r="L8" s="42">
        <v>32.307094515051269</v>
      </c>
      <c r="M8" s="42">
        <v>32.86288486263301</v>
      </c>
      <c r="N8" s="42">
        <v>33.420693634221806</v>
      </c>
      <c r="P8" s="45" t="s">
        <v>5</v>
      </c>
      <c r="Q8" t="s">
        <v>66</v>
      </c>
      <c r="R8" s="42"/>
      <c r="S8" s="42"/>
      <c r="T8" s="42"/>
      <c r="U8" s="42"/>
      <c r="V8" s="65">
        <v>0.37859999999999999</v>
      </c>
      <c r="X8" s="45" t="s">
        <v>5</v>
      </c>
      <c r="Y8" t="s">
        <v>66</v>
      </c>
      <c r="Z8" s="42">
        <v>1062.1580331999901</v>
      </c>
      <c r="AA8" s="42">
        <v>1066.28860098679</v>
      </c>
      <c r="AB8" s="42">
        <v>1070.46887931063</v>
      </c>
      <c r="AC8" s="42">
        <v>1074.6999178165199</v>
      </c>
      <c r="AD8" s="42">
        <v>1078.9827968055399</v>
      </c>
      <c r="AF8" s="45" t="s">
        <v>5</v>
      </c>
      <c r="AG8" t="s">
        <v>66</v>
      </c>
      <c r="AH8" s="42">
        <v>1062.1580331999901</v>
      </c>
      <c r="AI8" s="42">
        <v>1066.28860098679</v>
      </c>
      <c r="AJ8" s="42">
        <v>1070.46887931063</v>
      </c>
      <c r="AK8" s="42">
        <v>1074.6999178165199</v>
      </c>
      <c r="AL8" s="42">
        <v>1078.9827968055399</v>
      </c>
    </row>
    <row r="9" spans="1:39">
      <c r="A9" t="s">
        <v>6</v>
      </c>
      <c r="B9" s="42">
        <v>9.1504665426194762</v>
      </c>
      <c r="C9" s="42">
        <v>8.9091661920724032</v>
      </c>
      <c r="D9" s="42">
        <v>8.6634743137498393</v>
      </c>
      <c r="E9" s="42">
        <v>8.4138443636594769</v>
      </c>
      <c r="F9" s="42">
        <v>8.1607439588173118</v>
      </c>
      <c r="H9" s="45" t="s">
        <v>6</v>
      </c>
      <c r="I9" t="s">
        <v>67</v>
      </c>
      <c r="J9" s="42">
        <v>26.653278776238004</v>
      </c>
      <c r="K9" s="42">
        <v>25.96567738406975</v>
      </c>
      <c r="L9" s="42">
        <v>25.269419835568133</v>
      </c>
      <c r="M9" s="42">
        <v>24.565485383062249</v>
      </c>
      <c r="N9" s="42">
        <v>23.854887619882447</v>
      </c>
      <c r="P9" s="45" t="s">
        <v>6</v>
      </c>
      <c r="Q9" t="s">
        <v>67</v>
      </c>
      <c r="R9" s="42"/>
      <c r="S9" s="42"/>
      <c r="T9" s="42"/>
      <c r="U9" s="42"/>
      <c r="V9" s="65">
        <v>0.42020000000000002</v>
      </c>
      <c r="X9" s="45" t="s">
        <v>6</v>
      </c>
      <c r="Y9" t="s">
        <v>67</v>
      </c>
      <c r="Z9" s="42">
        <v>267.73907960000003</v>
      </c>
      <c r="AA9" s="42">
        <v>273.34463420968098</v>
      </c>
      <c r="AB9" s="42">
        <v>279.09723013930602</v>
      </c>
      <c r="AC9" s="42">
        <v>285.00085062601102</v>
      </c>
      <c r="AD9" s="42">
        <v>291.05959129262402</v>
      </c>
      <c r="AF9" s="45" t="s">
        <v>6</v>
      </c>
      <c r="AG9" t="s">
        <v>67</v>
      </c>
      <c r="AH9" s="42">
        <v>267.73907960000003</v>
      </c>
      <c r="AI9" s="42">
        <v>273.34463420968098</v>
      </c>
      <c r="AJ9" s="42">
        <v>279.09723013930602</v>
      </c>
      <c r="AK9" s="42">
        <v>285.00085062601102</v>
      </c>
      <c r="AL9" s="42">
        <v>291.05959129262402</v>
      </c>
    </row>
    <row r="10" spans="1:39">
      <c r="A10" t="s">
        <v>7</v>
      </c>
      <c r="B10" s="42">
        <v>18.912089683887856</v>
      </c>
      <c r="C10" s="42">
        <v>18.415277888436794</v>
      </c>
      <c r="D10" s="42">
        <v>17.911491722528627</v>
      </c>
      <c r="E10" s="42">
        <v>17.401678259623136</v>
      </c>
      <c r="F10" s="42">
        <v>16.886799251922032</v>
      </c>
      <c r="H10" s="45" t="s">
        <v>7</v>
      </c>
      <c r="I10" t="s">
        <v>68</v>
      </c>
      <c r="J10" s="42">
        <v>208.51838245259097</v>
      </c>
      <c r="K10" s="42">
        <v>213.67868332096438</v>
      </c>
      <c r="L10" s="42">
        <v>218.95233510307645</v>
      </c>
      <c r="M10" s="42">
        <v>224.34122586995986</v>
      </c>
      <c r="N10" s="42">
        <v>229.84724507706335</v>
      </c>
      <c r="P10" s="45" t="s">
        <v>7</v>
      </c>
      <c r="Q10" t="s">
        <v>68</v>
      </c>
      <c r="R10" s="42"/>
      <c r="S10" s="42"/>
      <c r="T10" s="42"/>
      <c r="U10" s="42"/>
      <c r="V10" s="65">
        <v>0.61539999999999995</v>
      </c>
      <c r="X10" s="45" t="s">
        <v>7</v>
      </c>
      <c r="Y10" t="s">
        <v>68</v>
      </c>
      <c r="Z10" s="42">
        <v>354.39023769999898</v>
      </c>
      <c r="AA10" s="42">
        <v>363.35389500703599</v>
      </c>
      <c r="AB10" s="42">
        <v>372.57065881653199</v>
      </c>
      <c r="AC10" s="42">
        <v>382.04803712420397</v>
      </c>
      <c r="AD10" s="42">
        <v>391.79377206257402</v>
      </c>
      <c r="AF10" s="45" t="s">
        <v>7</v>
      </c>
      <c r="AG10" t="s">
        <v>68</v>
      </c>
      <c r="AH10" s="42">
        <v>354.39023769999898</v>
      </c>
      <c r="AI10" s="42">
        <v>363.35389500703599</v>
      </c>
      <c r="AJ10" s="42">
        <v>372.57065881653199</v>
      </c>
      <c r="AK10" s="42">
        <v>382.04803712420397</v>
      </c>
      <c r="AL10" s="42">
        <v>391.79377206257402</v>
      </c>
    </row>
    <row r="11" spans="1:39">
      <c r="A11" t="s">
        <v>8</v>
      </c>
      <c r="B11" s="42">
        <v>22.510157496840979</v>
      </c>
      <c r="C11" s="42">
        <v>21.490211492056954</v>
      </c>
      <c r="D11" s="42">
        <v>20.474437042882101</v>
      </c>
      <c r="E11" s="42">
        <v>19.465188117849685</v>
      </c>
      <c r="F11" s="42">
        <v>18.464847171557157</v>
      </c>
      <c r="H11" s="45" t="s">
        <v>8</v>
      </c>
      <c r="I11" t="s">
        <v>69</v>
      </c>
      <c r="J11" s="42">
        <v>236.00367301078398</v>
      </c>
      <c r="K11" s="42">
        <v>241.91652112312005</v>
      </c>
      <c r="L11" s="42">
        <v>247.9683413098237</v>
      </c>
      <c r="M11" s="42">
        <v>254.16185965965454</v>
      </c>
      <c r="N11" s="42">
        <v>260.49981891812621</v>
      </c>
      <c r="P11" s="45" t="s">
        <v>8</v>
      </c>
      <c r="Q11" t="s">
        <v>69</v>
      </c>
      <c r="R11" s="42"/>
      <c r="S11" s="42"/>
      <c r="T11" s="42"/>
      <c r="U11" s="42"/>
      <c r="V11" s="65">
        <v>0.51</v>
      </c>
      <c r="X11" s="45" t="s">
        <v>8</v>
      </c>
      <c r="Y11" t="s">
        <v>69</v>
      </c>
      <c r="Z11" s="42">
        <v>505.23433779999903</v>
      </c>
      <c r="AA11" s="42">
        <v>525.74193172002697</v>
      </c>
      <c r="AB11" s="42">
        <v>547.25019877286104</v>
      </c>
      <c r="AC11" s="42">
        <v>569.81421939826498</v>
      </c>
      <c r="AD11" s="42">
        <v>593.49231856741903</v>
      </c>
      <c r="AF11" s="45" t="s">
        <v>8</v>
      </c>
      <c r="AG11" t="s">
        <v>69</v>
      </c>
      <c r="AH11" s="42">
        <v>505.23433779999903</v>
      </c>
      <c r="AI11" s="42">
        <v>525.74193172002697</v>
      </c>
      <c r="AJ11" s="42">
        <v>547.25019877286104</v>
      </c>
      <c r="AK11" s="42">
        <v>569.81421939826498</v>
      </c>
      <c r="AL11" s="42">
        <v>593.49231856741903</v>
      </c>
    </row>
    <row r="12" spans="1:39">
      <c r="A12" t="s">
        <v>9</v>
      </c>
      <c r="B12" s="42">
        <v>15.036351706564599</v>
      </c>
      <c r="C12" s="42">
        <v>13.50078028350624</v>
      </c>
      <c r="D12" s="42">
        <v>12.058387451156024</v>
      </c>
      <c r="E12" s="42">
        <v>10.711231438637608</v>
      </c>
      <c r="F12" s="42">
        <v>9.4604490055199957</v>
      </c>
      <c r="H12" s="45" t="s">
        <v>9</v>
      </c>
      <c r="I12" t="s">
        <v>70</v>
      </c>
      <c r="J12" s="42">
        <v>218.39156405784001</v>
      </c>
      <c r="K12" s="42">
        <v>201.5897722148423</v>
      </c>
      <c r="L12" s="42">
        <v>184.85463916050571</v>
      </c>
      <c r="M12" s="42">
        <v>168.30041581248173</v>
      </c>
      <c r="N12" s="42">
        <v>152.04615532444177</v>
      </c>
      <c r="P12" s="45" t="s">
        <v>9</v>
      </c>
      <c r="Q12" t="s">
        <v>70</v>
      </c>
      <c r="R12" s="42"/>
      <c r="S12" s="42"/>
      <c r="T12" s="42"/>
      <c r="U12" s="42"/>
      <c r="V12" s="65">
        <v>0.45419999999999999</v>
      </c>
      <c r="X12" s="45" t="s">
        <v>9</v>
      </c>
      <c r="Y12" t="s">
        <v>70</v>
      </c>
      <c r="Z12" s="42">
        <v>1147.9064971</v>
      </c>
      <c r="AA12" s="42">
        <v>1173.4687375036799</v>
      </c>
      <c r="AB12" s="42">
        <v>1199.89171130677</v>
      </c>
      <c r="AC12" s="42">
        <v>1227.21236255293</v>
      </c>
      <c r="AD12" s="42">
        <v>1255.4694063147499</v>
      </c>
      <c r="AF12" s="45" t="s">
        <v>9</v>
      </c>
      <c r="AG12" t="s">
        <v>70</v>
      </c>
      <c r="AH12" s="42">
        <v>1147.9064971</v>
      </c>
      <c r="AI12" s="42">
        <v>1173.4687375036799</v>
      </c>
      <c r="AJ12" s="42">
        <v>1199.89171130677</v>
      </c>
      <c r="AK12" s="42">
        <v>1227.21236255293</v>
      </c>
      <c r="AL12" s="42">
        <v>1255.4694063147499</v>
      </c>
    </row>
    <row r="13" spans="1:39">
      <c r="A13" t="s">
        <v>10</v>
      </c>
      <c r="B13" s="42">
        <v>2.9870488021794319</v>
      </c>
      <c r="C13" s="42">
        <v>2.5739841419947318</v>
      </c>
      <c r="D13" s="42">
        <v>2.2066180562943205</v>
      </c>
      <c r="E13" s="42">
        <v>1.8817104779205431</v>
      </c>
      <c r="F13" s="42">
        <v>1.5959853639845589</v>
      </c>
      <c r="H13" s="45" t="s">
        <v>10</v>
      </c>
      <c r="I13" t="s">
        <v>71</v>
      </c>
      <c r="J13" s="42">
        <v>26.133490986860004</v>
      </c>
      <c r="K13" s="42">
        <v>19.027453374174026</v>
      </c>
      <c r="L13" s="42">
        <v>13.39578296965856</v>
      </c>
      <c r="M13" s="42">
        <v>9.0857768127044309</v>
      </c>
      <c r="N13" s="42">
        <v>5.9136254183677561</v>
      </c>
      <c r="P13" s="45" t="s">
        <v>10</v>
      </c>
      <c r="Q13" t="s">
        <v>71</v>
      </c>
      <c r="R13" s="42"/>
      <c r="S13" s="42"/>
      <c r="T13" s="42"/>
      <c r="U13" s="42"/>
      <c r="V13" s="65">
        <v>0.24260000000000001</v>
      </c>
      <c r="X13" s="45" t="s">
        <v>10</v>
      </c>
      <c r="Y13" t="s">
        <v>71</v>
      </c>
      <c r="Z13" s="42">
        <v>1143.6131478</v>
      </c>
      <c r="AA13" s="42">
        <v>1149.66145638643</v>
      </c>
      <c r="AB13" s="42">
        <v>1155.8696368969599</v>
      </c>
      <c r="AC13" s="42">
        <v>1162.2410301637799</v>
      </c>
      <c r="AD13" s="42">
        <v>1168.7790565616399</v>
      </c>
      <c r="AF13" s="45" t="s">
        <v>10</v>
      </c>
      <c r="AG13" t="s">
        <v>71</v>
      </c>
      <c r="AH13" s="42">
        <v>1143.6131478</v>
      </c>
      <c r="AI13" s="42">
        <v>1149.66145638643</v>
      </c>
      <c r="AJ13" s="42">
        <v>1155.8696368969599</v>
      </c>
      <c r="AK13" s="42">
        <v>1162.2410301637799</v>
      </c>
      <c r="AL13" s="42">
        <v>1168.7790565616399</v>
      </c>
    </row>
    <row r="14" spans="1:39">
      <c r="A14" t="s">
        <v>517</v>
      </c>
      <c r="B14" s="42">
        <v>0.19396867700303067</v>
      </c>
      <c r="C14" s="42">
        <v>0.16222959464390801</v>
      </c>
      <c r="D14" s="42">
        <v>0.13500923981592319</v>
      </c>
      <c r="E14" s="42">
        <v>0.11178664942711797</v>
      </c>
      <c r="F14" s="42">
        <v>9.2080432363058851E-2</v>
      </c>
      <c r="I14" t="s">
        <v>517</v>
      </c>
      <c r="J14" s="42">
        <v>4.2342174487200008</v>
      </c>
      <c r="K14" s="42">
        <v>3.8100481635207495</v>
      </c>
      <c r="L14" s="42">
        <v>3.4193654425808968</v>
      </c>
      <c r="M14" s="42">
        <v>3.0604920516834158</v>
      </c>
      <c r="N14" s="42">
        <v>2.7317471000920599</v>
      </c>
      <c r="R14" s="42"/>
      <c r="S14" s="42"/>
      <c r="T14" s="42"/>
      <c r="U14" s="42"/>
      <c r="V14" s="42"/>
      <c r="Y14" t="s">
        <v>517</v>
      </c>
      <c r="Z14" s="42">
        <v>1235.3439584999901</v>
      </c>
      <c r="AA14" s="42">
        <v>1232.40275979129</v>
      </c>
      <c r="AB14" s="42">
        <v>1229.5572147294399</v>
      </c>
      <c r="AC14" s="42">
        <v>1226.8079964993999</v>
      </c>
      <c r="AD14" s="42">
        <v>1224.1558080457801</v>
      </c>
      <c r="AG14" t="s">
        <v>517</v>
      </c>
      <c r="AH14" s="42">
        <v>1235.3439584999901</v>
      </c>
      <c r="AI14" s="42">
        <v>1232.40275979129</v>
      </c>
      <c r="AJ14" s="42">
        <v>1229.5572147294399</v>
      </c>
      <c r="AK14" s="42">
        <v>1226.8079964993999</v>
      </c>
      <c r="AL14" s="42">
        <v>1224.1558080457801</v>
      </c>
    </row>
    <row r="16" spans="1:39" ht="18.75">
      <c r="A16" s="41" t="s">
        <v>518</v>
      </c>
    </row>
    <row r="17" spans="1:38">
      <c r="A17" s="1" t="s">
        <v>509</v>
      </c>
      <c r="B17" t="s">
        <v>510</v>
      </c>
    </row>
    <row r="18" spans="1:38">
      <c r="A18" s="1" t="s">
        <v>511</v>
      </c>
      <c r="B18" t="s">
        <v>519</v>
      </c>
      <c r="C18" s="1"/>
    </row>
    <row r="19" spans="1:38">
      <c r="A19" s="1" t="s">
        <v>515</v>
      </c>
      <c r="B19" s="1">
        <v>2021</v>
      </c>
      <c r="C19" s="1">
        <v>2022</v>
      </c>
      <c r="D19" s="1">
        <v>2023</v>
      </c>
      <c r="E19" s="1">
        <v>2024</v>
      </c>
      <c r="F19" s="1">
        <v>2025</v>
      </c>
    </row>
    <row r="20" spans="1:38">
      <c r="A20" t="s">
        <v>66</v>
      </c>
      <c r="B20" s="42">
        <v>0.62585913000000004</v>
      </c>
      <c r="C20" s="42">
        <v>0.63200592704091596</v>
      </c>
      <c r="D20" s="42">
        <v>0.63821309407893101</v>
      </c>
      <c r="E20" s="42">
        <v>0.64448122403040797</v>
      </c>
      <c r="F20" s="42">
        <v>0.65081091563496496</v>
      </c>
      <c r="H20" s="45" t="s">
        <v>5</v>
      </c>
      <c r="P20" s="45" t="s">
        <v>5</v>
      </c>
      <c r="X20" s="45" t="s">
        <v>5</v>
      </c>
      <c r="AF20" s="45" t="s">
        <v>5</v>
      </c>
    </row>
    <row r="21" spans="1:38">
      <c r="A21" t="s">
        <v>67</v>
      </c>
      <c r="B21" s="42">
        <v>0.57952241000000004</v>
      </c>
      <c r="C21" s="42">
        <v>0.58956460225483898</v>
      </c>
      <c r="D21" s="42">
        <v>0.59978080956680702</v>
      </c>
      <c r="E21" s="42">
        <v>0.610174047337255</v>
      </c>
      <c r="F21" s="42">
        <v>0.62074738321959699</v>
      </c>
      <c r="H21" s="45" t="s">
        <v>6</v>
      </c>
      <c r="P21" s="45" t="s">
        <v>6</v>
      </c>
      <c r="X21" s="45" t="s">
        <v>6</v>
      </c>
      <c r="AF21" s="45" t="s">
        <v>6</v>
      </c>
    </row>
    <row r="22" spans="1:38">
      <c r="A22" t="s">
        <v>68</v>
      </c>
      <c r="B22" s="42">
        <v>0.57430313</v>
      </c>
      <c r="C22" s="42">
        <v>0.59050323005799599</v>
      </c>
      <c r="D22" s="42">
        <v>0.60716030697747903</v>
      </c>
      <c r="E22" s="42">
        <v>0.62428725128697404</v>
      </c>
      <c r="F22" s="42">
        <v>0.64189731713456999</v>
      </c>
      <c r="H22" s="45" t="s">
        <v>7</v>
      </c>
      <c r="P22" s="45" t="s">
        <v>7</v>
      </c>
      <c r="X22" s="45" t="s">
        <v>7</v>
      </c>
      <c r="AF22" s="45" t="s">
        <v>7</v>
      </c>
    </row>
    <row r="23" spans="1:38">
      <c r="A23" t="s">
        <v>69</v>
      </c>
      <c r="B23" s="42">
        <v>0.60676063000000002</v>
      </c>
      <c r="C23" s="42">
        <v>0.622624200128016</v>
      </c>
      <c r="D23" s="42">
        <v>0.63890251841990997</v>
      </c>
      <c r="E23" s="42">
        <v>0.65560642833891702</v>
      </c>
      <c r="F23" s="42">
        <v>0.67274705684728398</v>
      </c>
      <c r="H23" s="45" t="s">
        <v>8</v>
      </c>
      <c r="P23" s="45" t="s">
        <v>8</v>
      </c>
      <c r="X23" s="45" t="s">
        <v>8</v>
      </c>
      <c r="AF23" s="45" t="s">
        <v>8</v>
      </c>
    </row>
    <row r="24" spans="1:38">
      <c r="A24" t="s">
        <v>70</v>
      </c>
      <c r="B24" s="42">
        <v>1.9019116</v>
      </c>
      <c r="C24" s="42">
        <v>1.92552185042086</v>
      </c>
      <c r="D24" s="42">
        <v>1.94942519749507</v>
      </c>
      <c r="E24" s="42">
        <v>1.9736252797121301</v>
      </c>
      <c r="F24" s="42">
        <v>1.9981257807296</v>
      </c>
      <c r="H24" s="45" t="s">
        <v>9</v>
      </c>
      <c r="P24" s="45" t="s">
        <v>9</v>
      </c>
      <c r="X24" s="45" t="s">
        <v>9</v>
      </c>
      <c r="AF24" s="45" t="s">
        <v>9</v>
      </c>
    </row>
    <row r="25" spans="1:38">
      <c r="A25" t="s">
        <v>71</v>
      </c>
      <c r="B25" s="42">
        <v>2.1236554000000001</v>
      </c>
      <c r="C25" s="42">
        <v>2.1382814767136402</v>
      </c>
      <c r="D25" s="42">
        <v>2.1530082863993201</v>
      </c>
      <c r="E25" s="42">
        <v>2.1678365228269301</v>
      </c>
      <c r="F25" s="42">
        <v>2.1827668845445101</v>
      </c>
      <c r="H25" s="45" t="s">
        <v>10</v>
      </c>
      <c r="P25" s="45" t="s">
        <v>10</v>
      </c>
      <c r="X25" s="45" t="s">
        <v>10</v>
      </c>
      <c r="AF25" s="45" t="s">
        <v>10</v>
      </c>
    </row>
    <row r="26" spans="1:38">
      <c r="A26" t="s">
        <v>517</v>
      </c>
      <c r="B26" s="42">
        <v>1.4526614</v>
      </c>
      <c r="C26" s="42">
        <v>1.45796043266939</v>
      </c>
      <c r="D26" s="42">
        <v>1.46327879520274</v>
      </c>
      <c r="E26" s="42">
        <v>1.4686165581117101</v>
      </c>
      <c r="F26" s="42">
        <v>1.4739737921651801</v>
      </c>
    </row>
    <row r="28" spans="1:38" ht="18.75">
      <c r="A28" s="41" t="s">
        <v>520</v>
      </c>
      <c r="I28" s="41" t="s">
        <v>521</v>
      </c>
      <c r="Q28" s="41" t="s">
        <v>522</v>
      </c>
      <c r="Y28" s="41" t="s">
        <v>523</v>
      </c>
      <c r="AG28" s="41" t="s">
        <v>523</v>
      </c>
    </row>
    <row r="29" spans="1:38">
      <c r="F29" s="1">
        <v>2025</v>
      </c>
      <c r="N29" s="1">
        <v>2025</v>
      </c>
      <c r="V29" s="1">
        <v>2022</v>
      </c>
      <c r="AD29" s="1">
        <v>2025</v>
      </c>
      <c r="AL29" s="1">
        <v>2025</v>
      </c>
    </row>
    <row r="30" spans="1:38">
      <c r="A30" s="45" t="s">
        <v>5</v>
      </c>
      <c r="F30" s="47">
        <f>F20*F8</f>
        <v>3.4657196751465968</v>
      </c>
      <c r="H30" s="45" t="s">
        <v>5</v>
      </c>
      <c r="N30" s="47">
        <f>N8</f>
        <v>33.420693634221806</v>
      </c>
      <c r="P30" s="45" t="s">
        <v>5</v>
      </c>
      <c r="V30" s="47">
        <f>V8</f>
        <v>0.37859999999999999</v>
      </c>
      <c r="X30" s="45" t="s">
        <v>5</v>
      </c>
      <c r="AD30" s="47">
        <f>AD8</f>
        <v>1078.9827968055399</v>
      </c>
      <c r="AF30" s="45" t="s">
        <v>5</v>
      </c>
      <c r="AL30" s="47">
        <f>AL8</f>
        <v>1078.9827968055399</v>
      </c>
    </row>
    <row r="31" spans="1:38">
      <c r="A31" s="45" t="s">
        <v>6</v>
      </c>
      <c r="F31" s="47">
        <f t="shared" ref="F31:F35" si="0">F21*F9</f>
        <v>5.0657604575609811</v>
      </c>
      <c r="H31" s="45" t="s">
        <v>6</v>
      </c>
      <c r="N31" s="47">
        <f t="shared" ref="N31:N35" si="1">N9</f>
        <v>23.854887619882447</v>
      </c>
      <c r="P31" s="45" t="s">
        <v>6</v>
      </c>
      <c r="V31" s="47">
        <f t="shared" ref="V31:V35" si="2">V9</f>
        <v>0.42020000000000002</v>
      </c>
      <c r="X31" s="45" t="s">
        <v>6</v>
      </c>
      <c r="AD31" s="47">
        <f t="shared" ref="AD31:AD35" si="3">AD9</f>
        <v>291.05959129262402</v>
      </c>
      <c r="AF31" s="45" t="s">
        <v>6</v>
      </c>
      <c r="AL31" s="47">
        <f t="shared" ref="AL31:AL35" si="4">AL9</f>
        <v>291.05959129262402</v>
      </c>
    </row>
    <row r="32" spans="1:38">
      <c r="A32" s="45" t="s">
        <v>7</v>
      </c>
      <c r="F32" s="47">
        <f t="shared" si="0"/>
        <v>10.839591134798816</v>
      </c>
      <c r="H32" s="45" t="s">
        <v>7</v>
      </c>
      <c r="N32" s="47">
        <f t="shared" si="1"/>
        <v>229.84724507706335</v>
      </c>
      <c r="P32" s="45" t="s">
        <v>7</v>
      </c>
      <c r="V32" s="47">
        <f t="shared" si="2"/>
        <v>0.61539999999999995</v>
      </c>
      <c r="X32" s="45" t="s">
        <v>7</v>
      </c>
      <c r="AD32" s="47">
        <f t="shared" si="3"/>
        <v>391.79377206257402</v>
      </c>
      <c r="AF32" s="45" t="s">
        <v>7</v>
      </c>
      <c r="AL32" s="47">
        <f t="shared" si="4"/>
        <v>391.79377206257402</v>
      </c>
    </row>
    <row r="33" spans="1:39">
      <c r="A33" s="45" t="s">
        <v>8</v>
      </c>
      <c r="F33" s="47">
        <f t="shared" si="0"/>
        <v>12.422171589799973</v>
      </c>
      <c r="H33" s="45" t="s">
        <v>8</v>
      </c>
      <c r="N33" s="47">
        <f t="shared" si="1"/>
        <v>260.49981891812621</v>
      </c>
      <c r="P33" s="45" t="s">
        <v>8</v>
      </c>
      <c r="V33" s="47">
        <f t="shared" si="2"/>
        <v>0.51</v>
      </c>
      <c r="X33" s="45" t="s">
        <v>8</v>
      </c>
      <c r="AD33" s="47">
        <f t="shared" si="3"/>
        <v>593.49231856741903</v>
      </c>
      <c r="AF33" s="45" t="s">
        <v>8</v>
      </c>
      <c r="AL33" s="47">
        <f t="shared" si="4"/>
        <v>593.49231856741903</v>
      </c>
    </row>
    <row r="34" spans="1:39">
      <c r="A34" s="45" t="s">
        <v>9</v>
      </c>
      <c r="F34" s="47">
        <f t="shared" si="0"/>
        <v>18.903167055207209</v>
      </c>
      <c r="H34" s="45" t="s">
        <v>9</v>
      </c>
      <c r="N34" s="47">
        <f t="shared" si="1"/>
        <v>152.04615532444177</v>
      </c>
      <c r="P34" s="45" t="s">
        <v>9</v>
      </c>
      <c r="V34" s="47">
        <f t="shared" si="2"/>
        <v>0.45419999999999999</v>
      </c>
      <c r="X34" s="45" t="s">
        <v>9</v>
      </c>
      <c r="AD34" s="47">
        <f t="shared" si="3"/>
        <v>1255.4694063147499</v>
      </c>
      <c r="AF34" s="45" t="s">
        <v>9</v>
      </c>
      <c r="AL34" s="47">
        <f t="shared" si="4"/>
        <v>1255.4694063147499</v>
      </c>
    </row>
    <row r="35" spans="1:39">
      <c r="A35" s="45" t="s">
        <v>10</v>
      </c>
      <c r="F35" s="47">
        <f t="shared" si="0"/>
        <v>3.4836640007232118</v>
      </c>
      <c r="H35" s="45" t="s">
        <v>10</v>
      </c>
      <c r="N35" s="47">
        <f t="shared" si="1"/>
        <v>5.9136254183677561</v>
      </c>
      <c r="P35" s="45" t="s">
        <v>10</v>
      </c>
      <c r="V35" s="47">
        <f t="shared" si="2"/>
        <v>0.24260000000000001</v>
      </c>
      <c r="X35" s="45" t="s">
        <v>10</v>
      </c>
      <c r="AD35" s="47">
        <f t="shared" si="3"/>
        <v>1168.7790565616399</v>
      </c>
      <c r="AF35" s="45" t="s">
        <v>10</v>
      </c>
      <c r="AL35" s="47">
        <f t="shared" si="4"/>
        <v>1168.7790565616399</v>
      </c>
    </row>
    <row r="37" spans="1:39" ht="18.75">
      <c r="A37" s="41" t="s">
        <v>524</v>
      </c>
    </row>
    <row r="38" spans="1:39">
      <c r="F38" s="1">
        <v>2025</v>
      </c>
      <c r="N38" s="1">
        <v>2025</v>
      </c>
      <c r="V38" s="1">
        <v>2022</v>
      </c>
      <c r="AD38" s="1">
        <v>2025</v>
      </c>
      <c r="AL38" s="1">
        <v>2025</v>
      </c>
    </row>
    <row r="39" spans="1:39">
      <c r="A39" s="45" t="s">
        <v>5</v>
      </c>
      <c r="F39" s="47">
        <f>F30/SUM($F$30:$F$35)</f>
        <v>6.3966684148429778E-2</v>
      </c>
      <c r="H39" s="45" t="s">
        <v>5</v>
      </c>
      <c r="N39" s="47">
        <f>N30/SUM($N$30:$N$35)</f>
        <v>4.73661083426642E-2</v>
      </c>
      <c r="P39" s="45" t="s">
        <v>5</v>
      </c>
      <c r="V39" s="47">
        <f>V30/SUM($V$30:$V$35)</f>
        <v>0.14444868370850819</v>
      </c>
      <c r="X39" s="45" t="s">
        <v>5</v>
      </c>
      <c r="AD39" s="47">
        <f>AD30/SUM($AD$30:$AD$35)</f>
        <v>0.22574859867060026</v>
      </c>
      <c r="AF39" s="45" t="s">
        <v>5</v>
      </c>
      <c r="AL39" s="47">
        <f>AL30/SUM($AL$30:$AL$35)</f>
        <v>0.22574859867060026</v>
      </c>
    </row>
    <row r="40" spans="1:39">
      <c r="A40" s="45" t="s">
        <v>6</v>
      </c>
      <c r="F40" s="47">
        <f t="shared" ref="F40:F44" si="5">F31/SUM($F$30:$F$35)</f>
        <v>9.3498588903241794E-2</v>
      </c>
      <c r="H40" s="45" t="s">
        <v>6</v>
      </c>
      <c r="N40" s="47">
        <f t="shared" ref="N40:N44" si="6">N31/SUM($N$30:$N$35)</f>
        <v>3.3808789364815371E-2</v>
      </c>
      <c r="P40" s="45" t="s">
        <v>6</v>
      </c>
      <c r="V40" s="47">
        <f t="shared" ref="V40:V44" si="7">V31/SUM($V$30:$V$35)</f>
        <v>0.16032048836322016</v>
      </c>
      <c r="X40" s="45" t="s">
        <v>6</v>
      </c>
      <c r="AD40" s="47">
        <f t="shared" ref="AD40:AD44" si="8">AD31/SUM($AD$30:$AD$35)</f>
        <v>6.0896517589046843E-2</v>
      </c>
      <c r="AF40" s="45" t="s">
        <v>6</v>
      </c>
      <c r="AL40" s="47">
        <f t="shared" ref="AL40:AL44" si="9">AL31/SUM($AL$30:$AL$35)</f>
        <v>6.0896517589046843E-2</v>
      </c>
    </row>
    <row r="41" spans="1:39">
      <c r="A41" s="45" t="s">
        <v>7</v>
      </c>
      <c r="F41" s="47">
        <f t="shared" si="5"/>
        <v>0.20006600862444718</v>
      </c>
      <c r="H41" s="45" t="s">
        <v>7</v>
      </c>
      <c r="N41" s="47">
        <f t="shared" si="6"/>
        <v>0.32575534283451069</v>
      </c>
      <c r="P41" s="45" t="s">
        <v>7</v>
      </c>
      <c r="V41" s="47">
        <f t="shared" si="7"/>
        <v>0.23479587943533001</v>
      </c>
      <c r="X41" s="45" t="s">
        <v>7</v>
      </c>
      <c r="AD41" s="47">
        <f t="shared" si="8"/>
        <v>8.1972479332249298E-2</v>
      </c>
      <c r="AF41" s="45" t="s">
        <v>7</v>
      </c>
      <c r="AL41" s="47">
        <f t="shared" si="9"/>
        <v>8.1972479332249298E-2</v>
      </c>
    </row>
    <row r="42" spans="1:39">
      <c r="A42" s="45" t="s">
        <v>8</v>
      </c>
      <c r="F42" s="47">
        <f t="shared" si="5"/>
        <v>0.22927564863962102</v>
      </c>
      <c r="H42" s="45" t="s">
        <v>8</v>
      </c>
      <c r="N42" s="47">
        <f t="shared" si="6"/>
        <v>0.36919828119562842</v>
      </c>
      <c r="P42" s="45" t="s">
        <v>8</v>
      </c>
      <c r="V42" s="47">
        <f t="shared" si="7"/>
        <v>0.19458222052651661</v>
      </c>
      <c r="X42" s="45" t="s">
        <v>8</v>
      </c>
      <c r="AD42" s="47">
        <f t="shared" si="8"/>
        <v>0.12417256293151718</v>
      </c>
      <c r="AF42" s="45" t="s">
        <v>8</v>
      </c>
      <c r="AL42" s="47">
        <f t="shared" si="9"/>
        <v>0.12417256293151718</v>
      </c>
    </row>
    <row r="43" spans="1:39">
      <c r="A43" s="45" t="s">
        <v>9</v>
      </c>
      <c r="F43" s="47">
        <f t="shared" si="5"/>
        <v>0.34889518765660005</v>
      </c>
      <c r="H43" s="45" t="s">
        <v>9</v>
      </c>
      <c r="N43" s="47">
        <f t="shared" si="6"/>
        <v>0.21549028111159821</v>
      </c>
      <c r="P43" s="45" t="s">
        <v>9</v>
      </c>
      <c r="V43" s="47">
        <f t="shared" si="7"/>
        <v>0.17329263639832124</v>
      </c>
      <c r="X43" s="45" t="s">
        <v>9</v>
      </c>
      <c r="AD43" s="47">
        <f t="shared" si="8"/>
        <v>0.26267375160055012</v>
      </c>
      <c r="AF43" s="45" t="s">
        <v>9</v>
      </c>
      <c r="AL43" s="47">
        <f t="shared" si="9"/>
        <v>0.26267375160055012</v>
      </c>
    </row>
    <row r="44" spans="1:39">
      <c r="A44" s="45" t="s">
        <v>10</v>
      </c>
      <c r="F44" s="47">
        <f t="shared" si="5"/>
        <v>6.4297882027660264E-2</v>
      </c>
      <c r="H44" s="45" t="s">
        <v>10</v>
      </c>
      <c r="N44" s="47">
        <f t="shared" si="6"/>
        <v>8.3811971507832591E-3</v>
      </c>
      <c r="P44" s="45" t="s">
        <v>10</v>
      </c>
      <c r="V44" s="47">
        <f t="shared" si="7"/>
        <v>9.2560091568103783E-2</v>
      </c>
      <c r="X44" s="45" t="s">
        <v>10</v>
      </c>
      <c r="AD44" s="47">
        <f t="shared" si="8"/>
        <v>0.24453608987603623</v>
      </c>
      <c r="AF44" s="45" t="s">
        <v>10</v>
      </c>
      <c r="AL44" s="47">
        <f t="shared" si="9"/>
        <v>0.24453608987603623</v>
      </c>
    </row>
    <row r="45" spans="1:39">
      <c r="F45" s="47"/>
    </row>
    <row r="46" spans="1:39" ht="18.75">
      <c r="A46" s="41" t="s">
        <v>525</v>
      </c>
    </row>
    <row r="47" spans="1:39">
      <c r="A47" s="20" t="s">
        <v>502</v>
      </c>
      <c r="B47" s="19"/>
      <c r="C47" s="19"/>
      <c r="D47" s="19"/>
      <c r="E47" s="19"/>
      <c r="F47" s="19"/>
      <c r="G47" s="19"/>
      <c r="I47" s="20" t="s">
        <v>503</v>
      </c>
      <c r="J47" s="19"/>
      <c r="K47" s="19"/>
      <c r="L47" s="19"/>
      <c r="M47" s="19"/>
      <c r="N47" s="19"/>
      <c r="O47" s="19"/>
      <c r="Q47" s="20" t="s">
        <v>504</v>
      </c>
      <c r="R47" s="19"/>
      <c r="S47" s="19"/>
      <c r="T47" s="19"/>
      <c r="U47" s="19"/>
      <c r="V47" s="19"/>
      <c r="W47" s="19"/>
      <c r="Y47" s="20" t="s">
        <v>505</v>
      </c>
      <c r="Z47" s="19"/>
      <c r="AA47" s="19"/>
      <c r="AB47" s="19"/>
      <c r="AC47" s="19"/>
      <c r="AD47" s="19"/>
      <c r="AE47" s="19"/>
      <c r="AG47" s="20" t="s">
        <v>506</v>
      </c>
      <c r="AH47" s="19"/>
      <c r="AI47" s="19"/>
      <c r="AJ47" s="19"/>
      <c r="AK47" s="19"/>
      <c r="AL47" s="19"/>
      <c r="AM47" s="19"/>
    </row>
    <row r="48" spans="1:39" ht="15.75" thickBot="1"/>
    <row r="49" spans="2:39" ht="15.75" thickBot="1">
      <c r="B49" s="6" t="s">
        <v>5</v>
      </c>
      <c r="C49" s="7" t="s">
        <v>6</v>
      </c>
      <c r="D49" s="7" t="s">
        <v>7</v>
      </c>
      <c r="E49" s="7" t="s">
        <v>8</v>
      </c>
      <c r="F49" s="7" t="s">
        <v>9</v>
      </c>
      <c r="G49" s="8" t="s">
        <v>10</v>
      </c>
      <c r="J49" s="6" t="s">
        <v>5</v>
      </c>
      <c r="K49" s="7" t="s">
        <v>6</v>
      </c>
      <c r="L49" s="7" t="s">
        <v>7</v>
      </c>
      <c r="M49" s="7" t="s">
        <v>8</v>
      </c>
      <c r="N49" s="7" t="s">
        <v>9</v>
      </c>
      <c r="O49" s="8" t="s">
        <v>10</v>
      </c>
      <c r="R49" s="6" t="s">
        <v>5</v>
      </c>
      <c r="S49" s="7" t="s">
        <v>6</v>
      </c>
      <c r="T49" s="7" t="s">
        <v>7</v>
      </c>
      <c r="U49" s="7" t="s">
        <v>8</v>
      </c>
      <c r="V49" s="7" t="s">
        <v>9</v>
      </c>
      <c r="W49" s="8" t="s">
        <v>10</v>
      </c>
      <c r="Z49" s="6" t="s">
        <v>5</v>
      </c>
      <c r="AA49" s="7" t="s">
        <v>6</v>
      </c>
      <c r="AB49" s="7" t="s">
        <v>7</v>
      </c>
      <c r="AC49" s="7" t="s">
        <v>8</v>
      </c>
      <c r="AD49" s="7" t="s">
        <v>9</v>
      </c>
      <c r="AE49" s="8" t="s">
        <v>10</v>
      </c>
      <c r="AH49" s="6" t="s">
        <v>5</v>
      </c>
      <c r="AI49" s="7" t="s">
        <v>6</v>
      </c>
      <c r="AJ49" s="7" t="s">
        <v>7</v>
      </c>
      <c r="AK49" s="7" t="s">
        <v>8</v>
      </c>
      <c r="AL49" s="7" t="s">
        <v>9</v>
      </c>
      <c r="AM49" s="8" t="s">
        <v>10</v>
      </c>
    </row>
    <row r="50" spans="2:39">
      <c r="B50" s="47">
        <f>F39</f>
        <v>6.3966684148429778E-2</v>
      </c>
      <c r="C50" s="47">
        <f>F40</f>
        <v>9.3498588903241794E-2</v>
      </c>
      <c r="D50" s="47">
        <f>F41</f>
        <v>0.20006600862444718</v>
      </c>
      <c r="E50" s="47">
        <f>F42</f>
        <v>0.22927564863962102</v>
      </c>
      <c r="F50" s="47">
        <f>F43</f>
        <v>0.34889518765660005</v>
      </c>
      <c r="G50" s="47">
        <f>F44</f>
        <v>6.4297882027660264E-2</v>
      </c>
      <c r="J50" s="47">
        <f>N39</f>
        <v>4.73661083426642E-2</v>
      </c>
      <c r="K50" s="47">
        <f>N40</f>
        <v>3.3808789364815371E-2</v>
      </c>
      <c r="L50" s="47">
        <f>N41</f>
        <v>0.32575534283451069</v>
      </c>
      <c r="M50" s="47">
        <f>N42</f>
        <v>0.36919828119562842</v>
      </c>
      <c r="N50" s="47">
        <f>N43</f>
        <v>0.21549028111159821</v>
      </c>
      <c r="O50" s="47">
        <f>N44</f>
        <v>8.3811971507832591E-3</v>
      </c>
      <c r="R50" s="47">
        <f>V39</f>
        <v>0.14444868370850819</v>
      </c>
      <c r="S50" s="47">
        <f>V40</f>
        <v>0.16032048836322016</v>
      </c>
      <c r="T50" s="47">
        <f>V41</f>
        <v>0.23479587943533001</v>
      </c>
      <c r="U50" s="47">
        <f>V42</f>
        <v>0.19458222052651661</v>
      </c>
      <c r="V50" s="47">
        <f>V43</f>
        <v>0.17329263639832124</v>
      </c>
      <c r="W50" s="47">
        <f>V44</f>
        <v>9.2560091568103783E-2</v>
      </c>
      <c r="Z50" s="47">
        <f>AD39</f>
        <v>0.22574859867060026</v>
      </c>
      <c r="AA50" s="47">
        <f>AD40</f>
        <v>6.0896517589046843E-2</v>
      </c>
      <c r="AB50" s="47">
        <f>AD41</f>
        <v>8.1972479332249298E-2</v>
      </c>
      <c r="AC50" s="47">
        <f>AD42</f>
        <v>0.12417256293151718</v>
      </c>
      <c r="AD50" s="47">
        <f>AD43</f>
        <v>0.26267375160055012</v>
      </c>
      <c r="AE50" s="47">
        <f>AD44</f>
        <v>0.24453608987603623</v>
      </c>
      <c r="AH50" s="47">
        <f>AL39</f>
        <v>0.22574859867060026</v>
      </c>
      <c r="AI50" s="47">
        <f>AL40</f>
        <v>6.0896517589046843E-2</v>
      </c>
      <c r="AJ50" s="47">
        <f>AL41</f>
        <v>8.1972479332249298E-2</v>
      </c>
      <c r="AK50" s="47">
        <f>AL42</f>
        <v>0.12417256293151718</v>
      </c>
      <c r="AL50" s="47">
        <f>AL43</f>
        <v>0.26267375160055012</v>
      </c>
      <c r="AM50" s="47">
        <f>AL44</f>
        <v>0.24453608987603623</v>
      </c>
    </row>
  </sheetData>
  <sheetProtection algorithmName="SHA-512" hashValue="qVJzz+GEha3UN/YusHZqRbPM/Ww9xITmNkIoTVzR3jICybsmOCnXoHq/OKidkCzDS/WtkRD7Fsm1BW5NWnRyhA==" saltValue="YVnjBvAVsijmrUgOAw44sQ==" spinCount="100000" sheet="1" objects="1" scenarios="1"/>
  <hyperlinks>
    <hyperlink ref="A1" r:id="rId1" display="../../../../../../../:x:/s/CGIARTransitionandInception-Generaldocsandinfo/EUrrNnmcbpxJp6h1nzB3aVoB2rjCi2V55kl0yLoR5PVrqA?e=1fWTnL" xr:uid="{CE7E3214-F671-4C6C-A01A-28682387FEA9}"/>
  </hyperlinks>
  <pageMargins left="0.7" right="0.7" top="0.75" bottom="0.75" header="0.3" footer="0.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DDC8B-FBA2-4892-B234-B5CF54AD636C}">
  <dimension ref="A1:AM31"/>
  <sheetViews>
    <sheetView workbookViewId="0">
      <selection sqref="A1:P1"/>
    </sheetView>
  </sheetViews>
  <sheetFormatPr defaultRowHeight="15"/>
  <cols>
    <col min="1" max="1" width="30.140625" customWidth="1"/>
    <col min="9" max="9" width="18.85546875" customWidth="1"/>
    <col min="16" max="16" width="6.42578125" customWidth="1"/>
    <col min="17" max="17" width="22.5703125" customWidth="1"/>
    <col min="24" max="24" width="3.5703125" customWidth="1"/>
    <col min="25" max="25" width="22.42578125" customWidth="1"/>
    <col min="31" max="31" width="8.85546875" customWidth="1"/>
    <col min="32" max="32" width="4.85546875" customWidth="1"/>
    <col min="33" max="33" width="24.85546875" customWidth="1"/>
  </cols>
  <sheetData>
    <row r="1" spans="1:39" s="36" customFormat="1" ht="26.45" customHeight="1" thickBot="1">
      <c r="A1" s="117" t="s">
        <v>526</v>
      </c>
      <c r="B1" s="117"/>
      <c r="C1" s="117"/>
      <c r="D1" s="117"/>
      <c r="E1" s="117"/>
      <c r="F1" s="117"/>
      <c r="G1" s="117"/>
      <c r="H1" s="117"/>
      <c r="I1" s="117"/>
      <c r="J1" s="117"/>
      <c r="K1" s="117"/>
      <c r="L1" s="117"/>
      <c r="M1" s="117"/>
      <c r="N1" s="117"/>
      <c r="O1" s="117"/>
      <c r="P1" s="117"/>
    </row>
    <row r="2" spans="1:39" ht="13.5" customHeight="1">
      <c r="A2" s="9" t="s">
        <v>26</v>
      </c>
      <c r="B2" s="63"/>
      <c r="C2" s="63"/>
      <c r="D2" s="63"/>
      <c r="E2" s="63"/>
      <c r="F2" s="63"/>
      <c r="G2" s="63"/>
      <c r="H2" s="63"/>
      <c r="I2" s="63"/>
      <c r="J2" s="63"/>
      <c r="K2" s="63"/>
      <c r="L2" s="63"/>
      <c r="M2" s="63"/>
      <c r="N2" s="63"/>
      <c r="O2" s="63"/>
      <c r="P2" s="63"/>
    </row>
    <row r="3" spans="1:39" ht="13.5" customHeight="1">
      <c r="A3" s="10" t="s">
        <v>27</v>
      </c>
      <c r="B3" s="63"/>
      <c r="C3" s="63"/>
      <c r="D3" s="63"/>
      <c r="E3" s="63"/>
      <c r="F3" s="63"/>
      <c r="G3" s="63"/>
      <c r="H3" s="63"/>
      <c r="I3" s="63"/>
      <c r="J3" s="63"/>
      <c r="K3" s="63"/>
      <c r="L3" s="63"/>
      <c r="M3" s="63"/>
      <c r="N3" s="63"/>
      <c r="O3" s="63"/>
      <c r="P3" s="63"/>
    </row>
    <row r="4" spans="1:39" ht="13.5" customHeight="1">
      <c r="A4" s="11" t="s">
        <v>28</v>
      </c>
      <c r="B4" s="63"/>
      <c r="C4" s="63"/>
      <c r="D4" s="63"/>
      <c r="E4" s="63"/>
      <c r="F4" s="63"/>
      <c r="G4" s="63"/>
      <c r="H4" s="63"/>
      <c r="I4" s="63"/>
      <c r="J4" s="63"/>
      <c r="K4" s="63"/>
      <c r="L4" s="63"/>
      <c r="M4" s="63"/>
      <c r="N4" s="63"/>
      <c r="O4" s="63"/>
      <c r="P4" s="63"/>
    </row>
    <row r="5" spans="1:39" ht="13.5" customHeight="1">
      <c r="A5" s="12" t="s">
        <v>29</v>
      </c>
      <c r="B5" s="63"/>
      <c r="C5" s="63"/>
      <c r="D5" s="63"/>
      <c r="E5" s="63"/>
      <c r="F5" s="63"/>
      <c r="G5" s="63"/>
      <c r="H5" s="63"/>
      <c r="I5" s="63"/>
      <c r="J5" s="63"/>
      <c r="K5" s="63"/>
      <c r="L5" s="63"/>
      <c r="M5" s="63"/>
      <c r="N5" s="63"/>
      <c r="O5" s="63"/>
      <c r="P5" s="63"/>
    </row>
    <row r="6" spans="1:39" ht="13.5" customHeight="1" thickBot="1">
      <c r="A6" s="13" t="s">
        <v>30</v>
      </c>
      <c r="B6" s="63"/>
      <c r="C6" s="63"/>
      <c r="D6" s="63"/>
      <c r="E6" s="63"/>
      <c r="F6" s="63"/>
      <c r="G6" s="63"/>
      <c r="H6" s="63"/>
      <c r="I6" s="63"/>
      <c r="J6" s="63"/>
      <c r="K6" s="63"/>
      <c r="L6" s="63"/>
      <c r="M6" s="63"/>
      <c r="N6" s="63"/>
      <c r="O6" s="63"/>
      <c r="P6" s="63"/>
    </row>
    <row r="7" spans="1:39" ht="13.5" customHeight="1">
      <c r="A7" s="63"/>
      <c r="B7" s="63"/>
      <c r="C7" s="63"/>
      <c r="D7" s="63"/>
      <c r="E7" s="63"/>
      <c r="F7" s="63"/>
      <c r="G7" s="63"/>
      <c r="H7" s="63"/>
      <c r="I7" s="63"/>
      <c r="J7" s="63"/>
      <c r="K7" s="63"/>
      <c r="L7" s="63"/>
      <c r="M7" s="63"/>
      <c r="N7" s="63"/>
      <c r="O7" s="63"/>
      <c r="P7" s="63"/>
    </row>
    <row r="8" spans="1:39" ht="15.75" thickBot="1">
      <c r="A8" s="20" t="s">
        <v>502</v>
      </c>
      <c r="B8" s="19"/>
      <c r="C8" s="19"/>
      <c r="D8" s="19"/>
      <c r="E8" s="19"/>
      <c r="F8" s="19"/>
      <c r="G8" s="19"/>
      <c r="I8" s="20" t="s">
        <v>503</v>
      </c>
      <c r="J8" s="19"/>
      <c r="K8" s="19"/>
      <c r="L8" s="19"/>
      <c r="M8" s="19"/>
      <c r="N8" s="19"/>
      <c r="O8" s="19"/>
      <c r="Q8" s="20" t="s">
        <v>504</v>
      </c>
      <c r="R8" s="19"/>
      <c r="S8" s="19"/>
      <c r="T8" s="19"/>
      <c r="U8" s="19"/>
      <c r="V8" s="19"/>
      <c r="W8" s="19"/>
      <c r="Y8" s="20" t="s">
        <v>505</v>
      </c>
      <c r="Z8" s="19"/>
      <c r="AA8" s="19"/>
      <c r="AB8" s="19"/>
      <c r="AC8" s="19"/>
      <c r="AD8" s="19"/>
      <c r="AE8" s="19"/>
      <c r="AG8" s="20" t="s">
        <v>506</v>
      </c>
      <c r="AH8" s="19"/>
      <c r="AI8" s="19"/>
      <c r="AJ8" s="19"/>
      <c r="AK8" s="19"/>
      <c r="AL8" s="19"/>
      <c r="AM8" s="19"/>
    </row>
    <row r="9" spans="1:39" ht="15.75" thickBot="1">
      <c r="A9" s="21" t="s">
        <v>135</v>
      </c>
      <c r="B9" s="6" t="s">
        <v>5</v>
      </c>
      <c r="C9" s="7" t="s">
        <v>6</v>
      </c>
      <c r="D9" s="7" t="s">
        <v>7</v>
      </c>
      <c r="E9" s="7" t="s">
        <v>8</v>
      </c>
      <c r="F9" s="7" t="s">
        <v>9</v>
      </c>
      <c r="G9" s="8" t="s">
        <v>10</v>
      </c>
      <c r="I9" s="21" t="s">
        <v>135</v>
      </c>
      <c r="J9" s="6" t="s">
        <v>5</v>
      </c>
      <c r="K9" s="7" t="s">
        <v>6</v>
      </c>
      <c r="L9" s="7" t="s">
        <v>7</v>
      </c>
      <c r="M9" s="7" t="s">
        <v>8</v>
      </c>
      <c r="N9" s="7" t="s">
        <v>9</v>
      </c>
      <c r="O9" s="8" t="s">
        <v>10</v>
      </c>
      <c r="Q9" s="21" t="s">
        <v>135</v>
      </c>
      <c r="R9" s="6" t="s">
        <v>5</v>
      </c>
      <c r="S9" s="7" t="s">
        <v>6</v>
      </c>
      <c r="T9" s="7" t="s">
        <v>7</v>
      </c>
      <c r="U9" s="7" t="s">
        <v>8</v>
      </c>
      <c r="V9" s="7" t="s">
        <v>9</v>
      </c>
      <c r="W9" s="8" t="s">
        <v>10</v>
      </c>
      <c r="Y9" s="21" t="s">
        <v>135</v>
      </c>
      <c r="Z9" s="6" t="s">
        <v>5</v>
      </c>
      <c r="AA9" s="7" t="s">
        <v>6</v>
      </c>
      <c r="AB9" s="7" t="s">
        <v>7</v>
      </c>
      <c r="AC9" s="7" t="s">
        <v>8</v>
      </c>
      <c r="AD9" s="7" t="s">
        <v>9</v>
      </c>
      <c r="AE9" s="8" t="s">
        <v>10</v>
      </c>
      <c r="AG9" s="21" t="s">
        <v>135</v>
      </c>
      <c r="AH9" s="6" t="s">
        <v>5</v>
      </c>
      <c r="AI9" s="7" t="s">
        <v>6</v>
      </c>
      <c r="AJ9" s="7" t="s">
        <v>7</v>
      </c>
      <c r="AK9" s="7" t="s">
        <v>8</v>
      </c>
      <c r="AL9" s="7" t="s">
        <v>9</v>
      </c>
      <c r="AM9" s="8" t="s">
        <v>10</v>
      </c>
    </row>
    <row r="10" spans="1:39">
      <c r="A10" s="30" t="str">
        <f>IF(NOT(ISBLANK(HLOs!D8)),HLOs!D8,"")</f>
        <v>AoW1-Suite of solutions focused on consumers that promote consumption of sustainable heathy diets co-developed, tested, and scaled with technical support and country engagement</v>
      </c>
      <c r="B10" s="5">
        <f>'1.Food_security'!D11*'Step B weights'!B$50</f>
        <v>0.19190005244528935</v>
      </c>
      <c r="C10" s="5">
        <f>'1.Food_security'!E11*'Step B weights'!C$50</f>
        <v>0</v>
      </c>
      <c r="D10" s="5">
        <f>'1.Food_security'!F11*'Step B weights'!D$50</f>
        <v>0.80026403449778871</v>
      </c>
      <c r="E10" s="5">
        <f>'1.Food_security'!G11*'Step B weights'!E$50</f>
        <v>0.91710259455848409</v>
      </c>
      <c r="F10" s="5">
        <f>'1.Food_security'!H11*'Step B weights'!F$50</f>
        <v>1.3955807506264002</v>
      </c>
      <c r="G10" s="5">
        <f>'1.Food_security'!I11*'Step B weights'!G$50</f>
        <v>0.19289364608298079</v>
      </c>
      <c r="I10" s="29" t="str">
        <f>A10</f>
        <v>AoW1-Suite of solutions focused on consumers that promote consumption of sustainable heathy diets co-developed, tested, and scaled with technical support and country engagement</v>
      </c>
      <c r="J10" s="5">
        <f>'2.Poverty_reduction'!D11*'Step B weights'!J$50</f>
        <v>4.73661083426642E-2</v>
      </c>
      <c r="K10" s="5">
        <f>'2.Poverty_reduction'!E11*'Step B weights'!K$50</f>
        <v>0</v>
      </c>
      <c r="L10" s="5">
        <f>'2.Poverty_reduction'!F11*'Step B weights'!L$50</f>
        <v>0.32575534283451069</v>
      </c>
      <c r="M10" s="5">
        <f>'2.Poverty_reduction'!G11*'Step B weights'!M$50</f>
        <v>0.36919828119562842</v>
      </c>
      <c r="N10" s="5">
        <f>'2.Poverty_reduction'!H11*'Step B weights'!N$50</f>
        <v>0.21549028111159821</v>
      </c>
      <c r="O10" s="5">
        <f>'2.Poverty_reduction'!I11*'Step B weights'!O$50</f>
        <v>8.3811971507832591E-3</v>
      </c>
      <c r="Q10" s="29" t="str">
        <f>A10</f>
        <v>AoW1-Suite of solutions focused on consumers that promote consumption of sustainable heathy diets co-developed, tested, and scaled with technical support and country engagement</v>
      </c>
      <c r="R10" s="5">
        <f>'3.Social_inclusion'!D11*'Step B weights'!R$50</f>
        <v>0.72224341854254093</v>
      </c>
      <c r="S10" s="5">
        <f>'3.Social_inclusion'!E11*'Step B weights'!S$50</f>
        <v>0</v>
      </c>
      <c r="T10" s="5">
        <f>'3.Social_inclusion'!F11*'Step B weights'!T$50</f>
        <v>0.70438763830599005</v>
      </c>
      <c r="U10" s="5">
        <f>'3.Social_inclusion'!G11*'Step B weights'!U$50</f>
        <v>0.5837466615795498</v>
      </c>
      <c r="V10" s="5">
        <f>'3.Social_inclusion'!H11*'Step B weights'!V$50</f>
        <v>0.69317054559328495</v>
      </c>
      <c r="W10" s="5">
        <f>'3.Social_inclusion'!I11*'Step B weights'!W$50</f>
        <v>0.37024036627241513</v>
      </c>
      <c r="Y10" s="29" t="str">
        <f>A10</f>
        <v>AoW1-Suite of solutions focused on consumers that promote consumption of sustainable heathy diets co-developed, tested, and scaled with technical support and country engagement</v>
      </c>
      <c r="Z10" s="5">
        <f>'4.Climate_adaptation'!D11*'Step B weights'!Z$50</f>
        <v>0.67724579601180079</v>
      </c>
      <c r="AA10" s="5">
        <f>'4.Climate_adaptation'!E11*'Step B weights'!AA$50</f>
        <v>0</v>
      </c>
      <c r="AB10" s="5">
        <f>'4.Climate_adaptation'!F11*'Step B weights'!AB$50</f>
        <v>0.2459174379967479</v>
      </c>
      <c r="AC10" s="5">
        <f>'4.Climate_adaptation'!G11*'Step B weights'!AC$50</f>
        <v>0.37251768879455155</v>
      </c>
      <c r="AD10" s="5">
        <f>'4.Climate_adaptation'!H11*'Step B weights'!AD$50</f>
        <v>0.78802125480165031</v>
      </c>
      <c r="AE10" s="5">
        <f>'4.Climate_adaptation'!I11*'Step B weights'!AE$50</f>
        <v>0</v>
      </c>
      <c r="AG10" s="29" t="str">
        <f>A10</f>
        <v>AoW1-Suite of solutions focused on consumers that promote consumption of sustainable heathy diets co-developed, tested, and scaled with technical support and country engagement</v>
      </c>
      <c r="AH10" s="5">
        <f>'5.Environmental_health'!D11*'Step B weights'!AH$50</f>
        <v>0.67724579601180079</v>
      </c>
      <c r="AI10" s="5">
        <f>'5.Environmental_health'!E11*'Step B weights'!AI$50</f>
        <v>0</v>
      </c>
      <c r="AJ10" s="5">
        <f>'5.Environmental_health'!F11*'Step B weights'!AJ$50</f>
        <v>0.2459174379967479</v>
      </c>
      <c r="AK10" s="5">
        <f>'5.Environmental_health'!G11*'Step B weights'!AK$50</f>
        <v>0.37251768879455155</v>
      </c>
      <c r="AL10" s="5">
        <f>'5.Environmental_health'!H11*'Step B weights'!AL$50</f>
        <v>1.0506950064022005</v>
      </c>
      <c r="AM10" s="5">
        <f>'5.Environmental_health'!I11*'Step B weights'!AM$50</f>
        <v>0.73360826962810866</v>
      </c>
    </row>
    <row r="11" spans="1:39">
      <c r="A11" s="30" t="str">
        <f>IF(NOT(ISBLANK(HLOs!D9)),HLOs!D9,"")</f>
        <v>AoW1-Suite of solutions focused on vendors that promote employment opportunities and the sale of sustainable nutritious foods co-developed, tested, and scaled with technical support and country engagement</v>
      </c>
      <c r="B11" s="5">
        <f>'1.Food_security'!D12*'Step B weights'!B$50</f>
        <v>0.19190005244528935</v>
      </c>
      <c r="C11" s="5">
        <f>'1.Food_security'!E12*'Step B weights'!C$50</f>
        <v>0</v>
      </c>
      <c r="D11" s="5">
        <f>'1.Food_security'!F12*'Step B weights'!D$50</f>
        <v>0.60019802587334148</v>
      </c>
      <c r="E11" s="5">
        <f>'1.Food_security'!G12*'Step B weights'!E$50</f>
        <v>0.68782694591886306</v>
      </c>
      <c r="F11" s="5">
        <f>'1.Food_security'!H12*'Step B weights'!F$50</f>
        <v>1.0466855629698002</v>
      </c>
      <c r="G11" s="5">
        <f>'1.Food_security'!I12*'Step B weights'!G$50</f>
        <v>0.25719152811064105</v>
      </c>
      <c r="I11" s="29" t="str">
        <f t="shared" ref="I11:I25" si="0">A11</f>
        <v>AoW1-Suite of solutions focused on vendors that promote employment opportunities and the sale of sustainable nutritious foods co-developed, tested, and scaled with technical support and country engagement</v>
      </c>
      <c r="J11" s="5">
        <f>'2.Poverty_reduction'!D12*'Step B weights'!J$50</f>
        <v>0.23683054171332099</v>
      </c>
      <c r="K11" s="5">
        <f>'2.Poverty_reduction'!E12*'Step B weights'!K$50</f>
        <v>0</v>
      </c>
      <c r="L11" s="5">
        <f>'2.Poverty_reduction'!F12*'Step B weights'!L$50</f>
        <v>1.6287767141725533</v>
      </c>
      <c r="M11" s="5">
        <f>'2.Poverty_reduction'!G12*'Step B weights'!M$50</f>
        <v>1.8459914059781422</v>
      </c>
      <c r="N11" s="5">
        <f>'2.Poverty_reduction'!H12*'Step B weights'!N$50</f>
        <v>1.0774514055579911</v>
      </c>
      <c r="O11" s="5">
        <f>'2.Poverty_reduction'!I12*'Step B weights'!O$50</f>
        <v>4.1905985753916297E-2</v>
      </c>
      <c r="Q11" s="29" t="str">
        <f t="shared" ref="Q11:Q25" si="1">A11</f>
        <v>AoW1-Suite of solutions focused on vendors that promote employment opportunities and the sale of sustainable nutritious foods co-developed, tested, and scaled with technical support and country engagement</v>
      </c>
      <c r="R11" s="5">
        <f>'3.Social_inclusion'!D12*'Step B weights'!R$50</f>
        <v>0.28889736741701638</v>
      </c>
      <c r="S11" s="5">
        <f>'3.Social_inclusion'!E12*'Step B weights'!S$50</f>
        <v>0</v>
      </c>
      <c r="T11" s="5">
        <f>'3.Social_inclusion'!F12*'Step B weights'!T$50</f>
        <v>1.1739793971766501</v>
      </c>
      <c r="U11" s="5">
        <f>'3.Social_inclusion'!G12*'Step B weights'!U$50</f>
        <v>0.97291110263258307</v>
      </c>
      <c r="V11" s="5">
        <f>'3.Social_inclusion'!H12*'Step B weights'!V$50</f>
        <v>0.34658527279664247</v>
      </c>
      <c r="W11" s="5">
        <f>'3.Social_inclusion'!I12*'Step B weights'!W$50</f>
        <v>0.37024036627241513</v>
      </c>
      <c r="Y11" s="29" t="str">
        <f t="shared" ref="Y11:Y25" si="2">A11</f>
        <v>AoW1-Suite of solutions focused on vendors that promote employment opportunities and the sale of sustainable nutritious foods co-developed, tested, and scaled with technical support and country engagement</v>
      </c>
      <c r="Z11" s="5">
        <f>'4.Climate_adaptation'!D12*'Step B weights'!Z$50</f>
        <v>0.45149719734120053</v>
      </c>
      <c r="AA11" s="5">
        <f>'4.Climate_adaptation'!E12*'Step B weights'!AA$50</f>
        <v>0</v>
      </c>
      <c r="AB11" s="5">
        <f>'4.Climate_adaptation'!F12*'Step B weights'!AB$50</f>
        <v>0.1639449586644986</v>
      </c>
      <c r="AC11" s="5">
        <f>'4.Climate_adaptation'!G12*'Step B weights'!AC$50</f>
        <v>0.24834512586303437</v>
      </c>
      <c r="AD11" s="5">
        <f>'4.Climate_adaptation'!H12*'Step B weights'!AD$50</f>
        <v>0.52534750320110024</v>
      </c>
      <c r="AE11" s="5">
        <f>'4.Climate_adaptation'!I12*'Step B weights'!AE$50</f>
        <v>0</v>
      </c>
      <c r="AG11" s="29" t="str">
        <f t="shared" ref="AG11:AG25" si="3">A11</f>
        <v>AoW1-Suite of solutions focused on vendors that promote employment opportunities and the sale of sustainable nutritious foods co-developed, tested, and scaled with technical support and country engagement</v>
      </c>
      <c r="AH11" s="5">
        <f>'5.Environmental_health'!D12*'Step B weights'!AH$50</f>
        <v>0.67724579601180079</v>
      </c>
      <c r="AI11" s="5">
        <f>'5.Environmental_health'!E12*'Step B weights'!AI$50</f>
        <v>0</v>
      </c>
      <c r="AJ11" s="5">
        <f>'5.Environmental_health'!F12*'Step B weights'!AJ$50</f>
        <v>0.2459174379967479</v>
      </c>
      <c r="AK11" s="5">
        <f>'5.Environmental_health'!G12*'Step B weights'!AK$50</f>
        <v>0.37251768879455155</v>
      </c>
      <c r="AL11" s="5">
        <f>'5.Environmental_health'!H12*'Step B weights'!AL$50</f>
        <v>0.78802125480165031</v>
      </c>
      <c r="AM11" s="5">
        <f>'5.Environmental_health'!I12*'Step B weights'!AM$50</f>
        <v>0.73360826962810866</v>
      </c>
    </row>
    <row r="12" spans="1:39">
      <c r="A12" s="30" t="str">
        <f>IF(NOT(ISBLANK(HLOs!D10)),HLOs!D10,"")</f>
        <v>AoW1-Policy options and engagement that support effective management of national action plans and other policy processes, for food systems transformation in support of sustainable healthy diets</v>
      </c>
      <c r="B12" s="5">
        <f>'1.Food_security'!D13*'Step B weights'!B$50</f>
        <v>0.31983342074214888</v>
      </c>
      <c r="C12" s="5">
        <f>'1.Food_security'!E13*'Step B weights'!C$50</f>
        <v>0</v>
      </c>
      <c r="D12" s="5">
        <f>'1.Food_security'!F13*'Step B weights'!D$50</f>
        <v>0.40013201724889436</v>
      </c>
      <c r="E12" s="5">
        <f>'1.Food_security'!G13*'Step B weights'!E$50</f>
        <v>0.68782694591886306</v>
      </c>
      <c r="F12" s="5">
        <f>'1.Food_security'!H13*'Step B weights'!F$50</f>
        <v>0.6977903753132001</v>
      </c>
      <c r="G12" s="5">
        <f>'1.Food_security'!I13*'Step B weights'!G$50</f>
        <v>0.32148941013830135</v>
      </c>
      <c r="I12" s="29" t="str">
        <f t="shared" si="0"/>
        <v>AoW1-Policy options and engagement that support effective management of national action plans and other policy processes, for food systems transformation in support of sustainable healthy diets</v>
      </c>
      <c r="J12" s="5">
        <f>'2.Poverty_reduction'!D13*'Step B weights'!J$50</f>
        <v>0.14209832502799261</v>
      </c>
      <c r="K12" s="5">
        <f>'2.Poverty_reduction'!E13*'Step B weights'!K$50</f>
        <v>0</v>
      </c>
      <c r="L12" s="5">
        <f>'2.Poverty_reduction'!F13*'Step B weights'!L$50</f>
        <v>0.97726602850353206</v>
      </c>
      <c r="M12" s="5">
        <f>'2.Poverty_reduction'!G13*'Step B weights'!M$50</f>
        <v>1.1075948435868852</v>
      </c>
      <c r="N12" s="5">
        <f>'2.Poverty_reduction'!H13*'Step B weights'!N$50</f>
        <v>0.64647084333479465</v>
      </c>
      <c r="O12" s="5">
        <f>'2.Poverty_reduction'!I13*'Step B weights'!O$50</f>
        <v>2.5143591452349776E-2</v>
      </c>
      <c r="Q12" s="29" t="str">
        <f t="shared" si="1"/>
        <v>AoW1-Policy options and engagement that support effective management of national action plans and other policy processes, for food systems transformation in support of sustainable healthy diets</v>
      </c>
      <c r="R12" s="5">
        <f>'3.Social_inclusion'!D13*'Step B weights'!R$50</f>
        <v>0.72224341854254093</v>
      </c>
      <c r="S12" s="5">
        <f>'3.Social_inclusion'!E13*'Step B weights'!S$50</f>
        <v>0</v>
      </c>
      <c r="T12" s="5">
        <f>'3.Social_inclusion'!F13*'Step B weights'!T$50</f>
        <v>0.93918351774132003</v>
      </c>
      <c r="U12" s="5">
        <f>'3.Social_inclusion'!G13*'Step B weights'!U$50</f>
        <v>0.77832888210606643</v>
      </c>
      <c r="V12" s="5">
        <f>'3.Social_inclusion'!H13*'Step B weights'!V$50</f>
        <v>0.17329263639832124</v>
      </c>
      <c r="W12" s="5">
        <f>'3.Social_inclusion'!I13*'Step B weights'!W$50</f>
        <v>0.37024036627241513</v>
      </c>
      <c r="Y12" s="29" t="str">
        <f t="shared" si="2"/>
        <v>AoW1-Policy options and engagement that support effective management of national action plans and other policy processes, for food systems transformation in support of sustainable healthy diets</v>
      </c>
      <c r="Z12" s="5">
        <f>'4.Climate_adaptation'!D13*'Step B weights'!Z$50</f>
        <v>0.67724579601180079</v>
      </c>
      <c r="AA12" s="5">
        <f>'4.Climate_adaptation'!E13*'Step B weights'!AA$50</f>
        <v>0</v>
      </c>
      <c r="AB12" s="5">
        <f>'4.Climate_adaptation'!F13*'Step B weights'!AB$50</f>
        <v>0.2459174379967479</v>
      </c>
      <c r="AC12" s="5">
        <f>'4.Climate_adaptation'!G13*'Step B weights'!AC$50</f>
        <v>0.37251768879455155</v>
      </c>
      <c r="AD12" s="5">
        <f>'4.Climate_adaptation'!H13*'Step B weights'!AD$50</f>
        <v>0.78802125480165031</v>
      </c>
      <c r="AE12" s="5">
        <f>'4.Climate_adaptation'!I13*'Step B weights'!AE$50</f>
        <v>0</v>
      </c>
      <c r="AG12" s="29" t="str">
        <f t="shared" si="3"/>
        <v>AoW1-Policy options and engagement that support effective management of national action plans and other policy processes, for food systems transformation in support of sustainable healthy diets</v>
      </c>
      <c r="AH12" s="5">
        <f>'5.Environmental_health'!D13*'Step B weights'!AH$50</f>
        <v>0.67724579601180079</v>
      </c>
      <c r="AI12" s="5">
        <f>'5.Environmental_health'!E13*'Step B weights'!AI$50</f>
        <v>0</v>
      </c>
      <c r="AJ12" s="5">
        <f>'5.Environmental_health'!F13*'Step B weights'!AJ$50</f>
        <v>0.32788991732899719</v>
      </c>
      <c r="AK12" s="5">
        <f>'5.Environmental_health'!G13*'Step B weights'!AK$50</f>
        <v>0.37251768879455155</v>
      </c>
      <c r="AL12" s="5">
        <f>'5.Environmental_health'!H13*'Step B weights'!AL$50</f>
        <v>0.78802125480165031</v>
      </c>
      <c r="AM12" s="5">
        <f>'5.Environmental_health'!I13*'Step B weights'!AM$50</f>
        <v>0.73360826962810866</v>
      </c>
    </row>
    <row r="13" spans="1:39">
      <c r="A13" s="30" t="str">
        <f>IF(NOT(ISBLANK(HLOs!D11)),HLOs!D11,"")</f>
        <v>AoW2-Suite of Solutions to lower transaction costs</v>
      </c>
      <c r="B13" s="5">
        <f>'1.Food_security'!D14*'Step B weights'!B$50</f>
        <v>0.31983342074214888</v>
      </c>
      <c r="C13" s="5">
        <f>'1.Food_security'!E14*'Step B weights'!C$50</f>
        <v>0</v>
      </c>
      <c r="D13" s="5">
        <f>'1.Food_security'!F14*'Step B weights'!D$50</f>
        <v>0.40013201724889436</v>
      </c>
      <c r="E13" s="5">
        <f>'1.Food_security'!G14*'Step B weights'!E$50</f>
        <v>0.91710259455848409</v>
      </c>
      <c r="F13" s="5">
        <f>'1.Food_security'!H14*'Step B weights'!F$50</f>
        <v>1.0466855629698002</v>
      </c>
      <c r="G13" s="5">
        <f>'1.Food_security'!I14*'Step B weights'!G$50</f>
        <v>0</v>
      </c>
      <c r="I13" s="29" t="str">
        <f t="shared" si="0"/>
        <v>AoW2-Suite of Solutions to lower transaction costs</v>
      </c>
      <c r="J13" s="5">
        <f>'2.Poverty_reduction'!D14*'Step B weights'!J$50</f>
        <v>0.23683054171332099</v>
      </c>
      <c r="K13" s="5">
        <f>'2.Poverty_reduction'!E14*'Step B weights'!K$50</f>
        <v>0</v>
      </c>
      <c r="L13" s="5">
        <f>'2.Poverty_reduction'!F14*'Step B weights'!L$50</f>
        <v>1.3030213713380427</v>
      </c>
      <c r="M13" s="5">
        <f>'2.Poverty_reduction'!G14*'Step B weights'!M$50</f>
        <v>1.4767931247825137</v>
      </c>
      <c r="N13" s="5">
        <f>'2.Poverty_reduction'!H14*'Step B weights'!N$50</f>
        <v>0.86196112444639283</v>
      </c>
      <c r="O13" s="5">
        <f>'2.Poverty_reduction'!I14*'Step B weights'!O$50</f>
        <v>0</v>
      </c>
      <c r="Q13" s="29" t="str">
        <f t="shared" si="1"/>
        <v>AoW2-Suite of Solutions to lower transaction costs</v>
      </c>
      <c r="R13" s="5">
        <f>'3.Social_inclusion'!D14*'Step B weights'!R$50</f>
        <v>0.72224341854254093</v>
      </c>
      <c r="S13" s="5">
        <f>'3.Social_inclusion'!E14*'Step B weights'!S$50</f>
        <v>0</v>
      </c>
      <c r="T13" s="5">
        <f>'3.Social_inclusion'!F14*'Step B weights'!T$50</f>
        <v>0.93918351774132003</v>
      </c>
      <c r="U13" s="5">
        <f>'3.Social_inclusion'!G14*'Step B weights'!U$50</f>
        <v>0.77832888210606643</v>
      </c>
      <c r="V13" s="5">
        <f>'3.Social_inclusion'!H14*'Step B weights'!V$50</f>
        <v>0.51987790919496368</v>
      </c>
      <c r="W13" s="5">
        <f>'3.Social_inclusion'!I14*'Step B weights'!W$50</f>
        <v>0</v>
      </c>
      <c r="Y13" s="29" t="str">
        <f t="shared" si="2"/>
        <v>AoW2-Suite of Solutions to lower transaction costs</v>
      </c>
      <c r="Z13" s="5">
        <f>'4.Climate_adaptation'!D14*'Step B weights'!Z$50</f>
        <v>1.1287429933530013</v>
      </c>
      <c r="AA13" s="5">
        <f>'4.Climate_adaptation'!E14*'Step B weights'!AA$50</f>
        <v>0</v>
      </c>
      <c r="AB13" s="5">
        <f>'4.Climate_adaptation'!F14*'Step B weights'!AB$50</f>
        <v>0.40986239666124646</v>
      </c>
      <c r="AC13" s="5">
        <f>'4.Climate_adaptation'!G14*'Step B weights'!AC$50</f>
        <v>0.62086281465758586</v>
      </c>
      <c r="AD13" s="5">
        <f>'4.Climate_adaptation'!H14*'Step B weights'!AD$50</f>
        <v>1.3133687580027507</v>
      </c>
      <c r="AE13" s="5">
        <f>'4.Climate_adaptation'!I14*'Step B weights'!AE$50</f>
        <v>0</v>
      </c>
      <c r="AG13" s="29" t="str">
        <f t="shared" si="3"/>
        <v>AoW2-Suite of Solutions to lower transaction costs</v>
      </c>
      <c r="AH13" s="5">
        <f>'5.Environmental_health'!D14*'Step B weights'!AH$50</f>
        <v>0</v>
      </c>
      <c r="AI13" s="5">
        <f>'5.Environmental_health'!E14*'Step B weights'!AI$50</f>
        <v>0</v>
      </c>
      <c r="AJ13" s="5">
        <f>'5.Environmental_health'!F14*'Step B weights'!AJ$50</f>
        <v>0</v>
      </c>
      <c r="AK13" s="5">
        <f>'5.Environmental_health'!G14*'Step B weights'!AK$50</f>
        <v>0</v>
      </c>
      <c r="AL13" s="5">
        <f>'5.Environmental_health'!H14*'Step B weights'!AL$50</f>
        <v>0</v>
      </c>
      <c r="AM13" s="5">
        <f>'5.Environmental_health'!I14*'Step B weights'!AM$50</f>
        <v>0</v>
      </c>
    </row>
    <row r="14" spans="1:39">
      <c r="A14" s="30" t="str">
        <f>IF(NOT(ISBLANK(HLOs!D12)),HLOs!D12,"")</f>
        <v>AoW2-Suite of Solutions to catalyze business growth</v>
      </c>
      <c r="B14" s="5">
        <f>'1.Food_security'!D15*'Step B weights'!B$50</f>
        <v>6.3966684148429778E-2</v>
      </c>
      <c r="C14" s="5">
        <f>'1.Food_security'!E15*'Step B weights'!C$50</f>
        <v>0</v>
      </c>
      <c r="D14" s="5">
        <f>'1.Food_security'!F15*'Step B weights'!D$50</f>
        <v>0.60019802587334148</v>
      </c>
      <c r="E14" s="5">
        <f>'1.Food_security'!G15*'Step B weights'!E$50</f>
        <v>0.68782694591886306</v>
      </c>
      <c r="F14" s="5">
        <f>'1.Food_security'!H15*'Step B weights'!F$50</f>
        <v>1.3955807506264002</v>
      </c>
      <c r="G14" s="5">
        <f>'1.Food_security'!I15*'Step B weights'!G$50</f>
        <v>0</v>
      </c>
      <c r="I14" s="29" t="str">
        <f t="shared" si="0"/>
        <v>AoW2-Suite of Solutions to catalyze business growth</v>
      </c>
      <c r="J14" s="5">
        <f>'2.Poverty_reduction'!D15*'Step B weights'!J$50</f>
        <v>4.73661083426642E-2</v>
      </c>
      <c r="K14" s="5">
        <f>'2.Poverty_reduction'!E15*'Step B weights'!K$50</f>
        <v>0</v>
      </c>
      <c r="L14" s="5">
        <f>'2.Poverty_reduction'!F15*'Step B weights'!L$50</f>
        <v>1.6287767141725533</v>
      </c>
      <c r="M14" s="5">
        <f>'2.Poverty_reduction'!G15*'Step B weights'!M$50</f>
        <v>1.8459914059781422</v>
      </c>
      <c r="N14" s="5">
        <f>'2.Poverty_reduction'!H15*'Step B weights'!N$50</f>
        <v>1.0774514055579911</v>
      </c>
      <c r="O14" s="5">
        <f>'2.Poverty_reduction'!I15*'Step B weights'!O$50</f>
        <v>0</v>
      </c>
      <c r="Q14" s="29" t="str">
        <f t="shared" si="1"/>
        <v>AoW2-Suite of Solutions to catalyze business growth</v>
      </c>
      <c r="R14" s="5">
        <f>'3.Social_inclusion'!D15*'Step B weights'!R$50</f>
        <v>0.14444868370850819</v>
      </c>
      <c r="S14" s="5">
        <f>'3.Social_inclusion'!E15*'Step B weights'!S$50</f>
        <v>0</v>
      </c>
      <c r="T14" s="5">
        <f>'3.Social_inclusion'!F15*'Step B weights'!T$50</f>
        <v>1.1739793971766501</v>
      </c>
      <c r="U14" s="5">
        <f>'3.Social_inclusion'!G15*'Step B weights'!U$50</f>
        <v>0.97291110263258307</v>
      </c>
      <c r="V14" s="5">
        <f>'3.Social_inclusion'!H15*'Step B weights'!V$50</f>
        <v>0.69317054559328495</v>
      </c>
      <c r="W14" s="5">
        <f>'3.Social_inclusion'!I15*'Step B weights'!W$50</f>
        <v>0</v>
      </c>
      <c r="Y14" s="29" t="str">
        <f t="shared" si="2"/>
        <v>AoW2-Suite of Solutions to catalyze business growth</v>
      </c>
      <c r="Z14" s="5">
        <f>'4.Climate_adaptation'!D15*'Step B weights'!Z$50</f>
        <v>0.22574859867060026</v>
      </c>
      <c r="AA14" s="5">
        <f>'4.Climate_adaptation'!E15*'Step B weights'!AA$50</f>
        <v>0</v>
      </c>
      <c r="AB14" s="5">
        <f>'4.Climate_adaptation'!F15*'Step B weights'!AB$50</f>
        <v>8.1972479332249298E-2</v>
      </c>
      <c r="AC14" s="5">
        <f>'4.Climate_adaptation'!G15*'Step B weights'!AC$50</f>
        <v>0.12417256293151718</v>
      </c>
      <c r="AD14" s="5">
        <f>'4.Climate_adaptation'!H15*'Step B weights'!AD$50</f>
        <v>0.26267375160055012</v>
      </c>
      <c r="AE14" s="5">
        <f>'4.Climate_adaptation'!I15*'Step B weights'!AE$50</f>
        <v>0</v>
      </c>
      <c r="AG14" s="29" t="str">
        <f t="shared" si="3"/>
        <v>AoW2-Suite of Solutions to catalyze business growth</v>
      </c>
      <c r="AH14" s="5">
        <f>'5.Environmental_health'!D15*'Step B weights'!AH$50</f>
        <v>0</v>
      </c>
      <c r="AI14" s="5">
        <f>'5.Environmental_health'!E15*'Step B weights'!AI$50</f>
        <v>0</v>
      </c>
      <c r="AJ14" s="5">
        <f>'5.Environmental_health'!F15*'Step B weights'!AJ$50</f>
        <v>0</v>
      </c>
      <c r="AK14" s="5">
        <f>'5.Environmental_health'!G15*'Step B weights'!AK$50</f>
        <v>0</v>
      </c>
      <c r="AL14" s="5">
        <f>'5.Environmental_health'!H15*'Step B weights'!AL$50</f>
        <v>0</v>
      </c>
      <c r="AM14" s="5">
        <f>'5.Environmental_health'!I15*'Step B weights'!AM$50</f>
        <v>0</v>
      </c>
    </row>
    <row r="15" spans="1:39">
      <c r="A15" s="30" t="str">
        <f>IF(NOT(ISBLANK(HLOs!D13)),HLOs!D13,"")</f>
        <v>AoW2-Trade and Limiting UPC Consumption</v>
      </c>
      <c r="B15" s="5">
        <f>'1.Food_security'!D16*'Step B weights'!B$50</f>
        <v>0.19190005244528935</v>
      </c>
      <c r="C15" s="5">
        <f>'1.Food_security'!E16*'Step B weights'!C$50</f>
        <v>0</v>
      </c>
      <c r="D15" s="5">
        <f>'1.Food_security'!F16*'Step B weights'!D$50</f>
        <v>0.80026403449778871</v>
      </c>
      <c r="E15" s="5">
        <f>'1.Food_security'!G16*'Step B weights'!E$50</f>
        <v>0.45855129727924204</v>
      </c>
      <c r="F15" s="5">
        <f>'1.Food_security'!H16*'Step B weights'!F$50</f>
        <v>0.6977903753132001</v>
      </c>
      <c r="G15" s="5">
        <f>'1.Food_security'!I16*'Step B weights'!G$50</f>
        <v>0</v>
      </c>
      <c r="I15" s="29" t="str">
        <f t="shared" si="0"/>
        <v>AoW2-Trade and Limiting UPC Consumption</v>
      </c>
      <c r="J15" s="5">
        <f>'2.Poverty_reduction'!D16*'Step B weights'!J$50</f>
        <v>4.73661083426642E-2</v>
      </c>
      <c r="K15" s="5">
        <f>'2.Poverty_reduction'!E16*'Step B weights'!K$50</f>
        <v>0</v>
      </c>
      <c r="L15" s="5">
        <f>'2.Poverty_reduction'!F16*'Step B weights'!L$50</f>
        <v>0.97726602850353206</v>
      </c>
      <c r="M15" s="5">
        <f>'2.Poverty_reduction'!G16*'Step B weights'!M$50</f>
        <v>1.1075948435868852</v>
      </c>
      <c r="N15" s="5">
        <f>'2.Poverty_reduction'!H16*'Step B weights'!N$50</f>
        <v>0.64647084333479465</v>
      </c>
      <c r="O15" s="5">
        <f>'2.Poverty_reduction'!I16*'Step B weights'!O$50</f>
        <v>0</v>
      </c>
      <c r="Q15" s="29" t="str">
        <f t="shared" si="1"/>
        <v>AoW2-Trade and Limiting UPC Consumption</v>
      </c>
      <c r="R15" s="5">
        <f>'3.Social_inclusion'!D16*'Step B weights'!R$50</f>
        <v>0.14444868370850819</v>
      </c>
      <c r="S15" s="5">
        <f>'3.Social_inclusion'!E16*'Step B weights'!S$50</f>
        <v>0</v>
      </c>
      <c r="T15" s="5">
        <f>'3.Social_inclusion'!F16*'Step B weights'!T$50</f>
        <v>0.70438763830599005</v>
      </c>
      <c r="U15" s="5">
        <f>'3.Social_inclusion'!G16*'Step B weights'!U$50</f>
        <v>0.5837466615795498</v>
      </c>
      <c r="V15" s="5">
        <f>'3.Social_inclusion'!H16*'Step B weights'!V$50</f>
        <v>0.86646318199160621</v>
      </c>
      <c r="W15" s="5">
        <f>'3.Social_inclusion'!I16*'Step B weights'!W$50</f>
        <v>0</v>
      </c>
      <c r="Y15" s="29" t="str">
        <f t="shared" si="2"/>
        <v>AoW2-Trade and Limiting UPC Consumption</v>
      </c>
      <c r="Z15" s="5">
        <f>'4.Climate_adaptation'!D16*'Step B weights'!Z$50</f>
        <v>0.22574859867060026</v>
      </c>
      <c r="AA15" s="5">
        <f>'4.Climate_adaptation'!E16*'Step B weights'!AA$50</f>
        <v>0</v>
      </c>
      <c r="AB15" s="5">
        <f>'4.Climate_adaptation'!F16*'Step B weights'!AB$50</f>
        <v>8.1972479332249298E-2</v>
      </c>
      <c r="AC15" s="5">
        <f>'4.Climate_adaptation'!G16*'Step B weights'!AC$50</f>
        <v>0.12417256293151718</v>
      </c>
      <c r="AD15" s="5">
        <f>'4.Climate_adaptation'!H16*'Step B weights'!AD$50</f>
        <v>0.26267375160055012</v>
      </c>
      <c r="AE15" s="5">
        <f>'4.Climate_adaptation'!I16*'Step B weights'!AE$50</f>
        <v>0</v>
      </c>
      <c r="AG15" s="29" t="str">
        <f t="shared" si="3"/>
        <v>AoW2-Trade and Limiting UPC Consumption</v>
      </c>
      <c r="AH15" s="5">
        <f>'5.Environmental_health'!D16*'Step B weights'!AH$50</f>
        <v>0</v>
      </c>
      <c r="AI15" s="5">
        <f>'5.Environmental_health'!E16*'Step B weights'!AI$50</f>
        <v>0</v>
      </c>
      <c r="AJ15" s="5">
        <f>'5.Environmental_health'!F16*'Step B weights'!AJ$50</f>
        <v>0</v>
      </c>
      <c r="AK15" s="5">
        <f>'5.Environmental_health'!G16*'Step B weights'!AK$50</f>
        <v>0</v>
      </c>
      <c r="AL15" s="5">
        <f>'5.Environmental_health'!H16*'Step B weights'!AL$50</f>
        <v>0</v>
      </c>
      <c r="AM15" s="5">
        <f>'5.Environmental_health'!I16*'Step B weights'!AM$50</f>
        <v>0</v>
      </c>
    </row>
    <row r="16" spans="1:39">
      <c r="A16" s="30" t="str">
        <f>IF(NOT(ISBLANK(HLOs!D14)),HLOs!D14,"")</f>
        <v>AoW3-Suite of tested end-to-end solutions for health and agriculture extension agents, fruit and vegetable vendors/retailers, processors, traders and producers that promote healthy food choice behaviors of consumers, healthy food environments, food quality and safety, reduce food loss, and increase profits co-developed, tested, and scaled.</v>
      </c>
      <c r="B16" s="5">
        <f>'1.Food_security'!D17*'Step B weights'!B$50</f>
        <v>0.19190005244528935</v>
      </c>
      <c r="C16" s="5">
        <f>'1.Food_security'!E17*'Step B weights'!C$50</f>
        <v>0</v>
      </c>
      <c r="D16" s="5">
        <f>'1.Food_security'!F17*'Step B weights'!D$50</f>
        <v>0.60019802587334148</v>
      </c>
      <c r="E16" s="5">
        <f>'1.Food_security'!G17*'Step B weights'!E$50</f>
        <v>1.1463782431981051</v>
      </c>
      <c r="F16" s="5">
        <f>'1.Food_security'!H17*'Step B weights'!F$50</f>
        <v>1.7444759382830002</v>
      </c>
      <c r="G16" s="5">
        <f>'1.Food_security'!I17*'Step B weights'!G$50</f>
        <v>0.19289364608298079</v>
      </c>
      <c r="I16" s="29" t="str">
        <f t="shared" si="0"/>
        <v>AoW3-Suite of tested end-to-end solutions for health and agriculture extension agents, fruit and vegetable vendors/retailers, processors, traders and producers that promote healthy food choice behaviors of consumers, healthy food environments, food quality and safety, reduce food loss, and increase profits co-developed, tested, and scaled.</v>
      </c>
      <c r="J16" s="5">
        <f>'2.Poverty_reduction'!D17*'Step B weights'!J$50</f>
        <v>0.1894644333706568</v>
      </c>
      <c r="K16" s="5">
        <f>'2.Poverty_reduction'!E17*'Step B weights'!K$50</f>
        <v>0</v>
      </c>
      <c r="L16" s="5">
        <f>'2.Poverty_reduction'!F17*'Step B weights'!L$50</f>
        <v>0.97726602850353206</v>
      </c>
      <c r="M16" s="5">
        <f>'2.Poverty_reduction'!G17*'Step B weights'!M$50</f>
        <v>1.1075948435868852</v>
      </c>
      <c r="N16" s="5">
        <f>'2.Poverty_reduction'!H17*'Step B weights'!N$50</f>
        <v>1.0774514055579911</v>
      </c>
      <c r="O16" s="5">
        <f>'2.Poverty_reduction'!I17*'Step B weights'!O$50</f>
        <v>4.1905985753916297E-2</v>
      </c>
      <c r="Q16" s="29" t="str">
        <f t="shared" si="1"/>
        <v>AoW3-Suite of tested end-to-end solutions for health and agriculture extension agents, fruit and vegetable vendors/retailers, processors, traders and producers that promote healthy food choice behaviors of consumers, healthy food environments, food quality and safety, reduce food loss, and increase profits co-developed, tested, and scaled.</v>
      </c>
      <c r="R16" s="5">
        <f>'3.Social_inclusion'!D17*'Step B weights'!R$50</f>
        <v>0.57779473483403276</v>
      </c>
      <c r="S16" s="5">
        <f>'3.Social_inclusion'!E17*'Step B weights'!S$50</f>
        <v>0</v>
      </c>
      <c r="T16" s="5">
        <f>'3.Social_inclusion'!F17*'Step B weights'!T$50</f>
        <v>0.93918351774132003</v>
      </c>
      <c r="U16" s="5">
        <f>'3.Social_inclusion'!G17*'Step B weights'!U$50</f>
        <v>0.77832888210606643</v>
      </c>
      <c r="V16" s="5">
        <f>'3.Social_inclusion'!H17*'Step B weights'!V$50</f>
        <v>0.86646318199160621</v>
      </c>
      <c r="W16" s="5">
        <f>'3.Social_inclusion'!I17*'Step B weights'!W$50</f>
        <v>0.46280045784051893</v>
      </c>
      <c r="Y16" s="29" t="str">
        <f t="shared" si="2"/>
        <v>AoW3-Suite of tested end-to-end solutions for health and agriculture extension agents, fruit and vegetable vendors/retailers, processors, traders and producers that promote healthy food choice behaviors of consumers, healthy food environments, food quality and safety, reduce food loss, and increase profits co-developed, tested, and scaled.</v>
      </c>
      <c r="Z16" s="5">
        <f>'4.Climate_adaptation'!D17*'Step B weights'!Z$50</f>
        <v>0.90299439468240106</v>
      </c>
      <c r="AA16" s="5">
        <f>'4.Climate_adaptation'!E17*'Step B weights'!AA$50</f>
        <v>0</v>
      </c>
      <c r="AB16" s="5">
        <f>'4.Climate_adaptation'!F17*'Step B weights'!AB$50</f>
        <v>0.40986239666124646</v>
      </c>
      <c r="AC16" s="5">
        <f>'4.Climate_adaptation'!G17*'Step B weights'!AC$50</f>
        <v>0.49669025172606873</v>
      </c>
      <c r="AD16" s="5">
        <f>'4.Climate_adaptation'!H17*'Step B weights'!AD$50</f>
        <v>1.0506950064022005</v>
      </c>
      <c r="AE16" s="5">
        <f>'4.Climate_adaptation'!I17*'Step B weights'!AE$50</f>
        <v>0.97814435950414491</v>
      </c>
      <c r="AG16" s="29" t="str">
        <f t="shared" si="3"/>
        <v>AoW3-Suite of tested end-to-end solutions for health and agriculture extension agents, fruit and vegetable vendors/retailers, processors, traders and producers that promote healthy food choice behaviors of consumers, healthy food environments, food quality and safety, reduce food loss, and increase profits co-developed, tested, and scaled.</v>
      </c>
      <c r="AH16" s="5">
        <f>'5.Environmental_health'!D17*'Step B weights'!AH$50</f>
        <v>0.90299439468240106</v>
      </c>
      <c r="AI16" s="5">
        <f>'5.Environmental_health'!E17*'Step B weights'!AI$50</f>
        <v>0</v>
      </c>
      <c r="AJ16" s="5">
        <f>'5.Environmental_health'!F17*'Step B weights'!AJ$50</f>
        <v>0.40986239666124646</v>
      </c>
      <c r="AK16" s="5">
        <f>'5.Environmental_health'!G17*'Step B weights'!AK$50</f>
        <v>0.62086281465758586</v>
      </c>
      <c r="AL16" s="5">
        <f>'5.Environmental_health'!H17*'Step B weights'!AL$50</f>
        <v>1.0506950064022005</v>
      </c>
      <c r="AM16" s="5">
        <f>'5.Environmental_health'!I17*'Step B weights'!AM$50</f>
        <v>0.97814435950414491</v>
      </c>
    </row>
    <row r="17" spans="1:39">
      <c r="A17" s="30" t="str">
        <f>IF(NOT(ISBLANK(HLOs!D15)),HLOs!D15,"")</f>
        <v>AoW3-Suite of end-to-end solutions for health and agriculture extension agents, aquatic food vendors/retailers processors, and traders that promote healthy food choice behaviors of consumers, healthy food environments, food quality and safety, reduce food loss, and increase profits co-developed, tested, and scaled.</v>
      </c>
      <c r="B17" s="5">
        <f>'1.Food_security'!D18*'Step B weights'!B$50</f>
        <v>0.19190005244528935</v>
      </c>
      <c r="C17" s="5">
        <f>'1.Food_security'!E18*'Step B weights'!C$50</f>
        <v>0</v>
      </c>
      <c r="D17" s="5">
        <f>'1.Food_security'!F18*'Step B weights'!D$50</f>
        <v>0.80026403449778871</v>
      </c>
      <c r="E17" s="5">
        <f>'1.Food_security'!G18*'Step B weights'!E$50</f>
        <v>0.91710259455848409</v>
      </c>
      <c r="F17" s="5">
        <f>'1.Food_security'!H18*'Step B weights'!F$50</f>
        <v>1.0466855629698002</v>
      </c>
      <c r="G17" s="5">
        <f>'1.Food_security'!I18*'Step B weights'!G$50</f>
        <v>0.25719152811064105</v>
      </c>
      <c r="I17" s="29" t="str">
        <f t="shared" si="0"/>
        <v>AoW3-Suite of end-to-end solutions for health and agriculture extension agents, aquatic food vendors/retailers processors, and traders that promote healthy food choice behaviors of consumers, healthy food environments, food quality and safety, reduce food loss, and increase profits co-developed, tested, and scaled.</v>
      </c>
      <c r="J17" s="5">
        <f>'2.Poverty_reduction'!D18*'Step B weights'!J$50</f>
        <v>0.1894644333706568</v>
      </c>
      <c r="K17" s="5">
        <f>'2.Poverty_reduction'!E18*'Step B weights'!K$50</f>
        <v>0</v>
      </c>
      <c r="L17" s="5">
        <f>'2.Poverty_reduction'!F18*'Step B weights'!L$50</f>
        <v>0.65151068566902137</v>
      </c>
      <c r="M17" s="5">
        <f>'2.Poverty_reduction'!G18*'Step B weights'!M$50</f>
        <v>1.1075948435868852</v>
      </c>
      <c r="N17" s="5">
        <f>'2.Poverty_reduction'!H18*'Step B weights'!N$50</f>
        <v>1.0774514055579911</v>
      </c>
      <c r="O17" s="5">
        <f>'2.Poverty_reduction'!I18*'Step B weights'!O$50</f>
        <v>4.1905985753916297E-2</v>
      </c>
      <c r="Q17" s="29" t="str">
        <f t="shared" si="1"/>
        <v>AoW3-Suite of end-to-end solutions for health and agriculture extension agents, aquatic food vendors/retailers processors, and traders that promote healthy food choice behaviors of consumers, healthy food environments, food quality and safety, reduce food loss, and increase profits co-developed, tested, and scaled.</v>
      </c>
      <c r="R17" s="5">
        <f>'3.Social_inclusion'!D18*'Step B weights'!R$50</f>
        <v>0.57779473483403276</v>
      </c>
      <c r="S17" s="5">
        <f>'3.Social_inclusion'!E18*'Step B weights'!S$50</f>
        <v>0</v>
      </c>
      <c r="T17" s="5">
        <f>'3.Social_inclusion'!F18*'Step B weights'!T$50</f>
        <v>0.93918351774132003</v>
      </c>
      <c r="U17" s="5">
        <f>'3.Social_inclusion'!G18*'Step B weights'!U$50</f>
        <v>0.77832888210606643</v>
      </c>
      <c r="V17" s="5">
        <f>'3.Social_inclusion'!H18*'Step B weights'!V$50</f>
        <v>0.86646318199160621</v>
      </c>
      <c r="W17" s="5">
        <f>'3.Social_inclusion'!I18*'Step B weights'!W$50</f>
        <v>0.46280045784051893</v>
      </c>
      <c r="Y17" s="29" t="str">
        <f t="shared" si="2"/>
        <v>AoW3-Suite of end-to-end solutions for health and agriculture extension agents, aquatic food vendors/retailers processors, and traders that promote healthy food choice behaviors of consumers, healthy food environments, food quality and safety, reduce food loss, and increase profits co-developed, tested, and scaled.</v>
      </c>
      <c r="Z17" s="5">
        <f>'4.Climate_adaptation'!D18*'Step B weights'!Z$50</f>
        <v>0.90299439468240106</v>
      </c>
      <c r="AA17" s="5">
        <f>'4.Climate_adaptation'!E18*'Step B weights'!AA$50</f>
        <v>0</v>
      </c>
      <c r="AB17" s="5">
        <f>'4.Climate_adaptation'!F18*'Step B weights'!AB$50</f>
        <v>0.32788991732899719</v>
      </c>
      <c r="AC17" s="5">
        <f>'4.Climate_adaptation'!G18*'Step B weights'!AC$50</f>
        <v>0.62086281465758586</v>
      </c>
      <c r="AD17" s="5">
        <f>'4.Climate_adaptation'!H18*'Step B weights'!AD$50</f>
        <v>0.78802125480165031</v>
      </c>
      <c r="AE17" s="5">
        <f>'4.Climate_adaptation'!I18*'Step B weights'!AE$50</f>
        <v>0.73360826962810866</v>
      </c>
      <c r="AG17" s="29" t="str">
        <f t="shared" si="3"/>
        <v>AoW3-Suite of end-to-end solutions for health and agriculture extension agents, aquatic food vendors/retailers processors, and traders that promote healthy food choice behaviors of consumers, healthy food environments, food quality and safety, reduce food loss, and increase profits co-developed, tested, and scaled.</v>
      </c>
      <c r="AH17" s="5">
        <f>'5.Environmental_health'!D18*'Step B weights'!AH$50</f>
        <v>0.67724579601180079</v>
      </c>
      <c r="AI17" s="5">
        <f>'5.Environmental_health'!E18*'Step B weights'!AI$50</f>
        <v>0</v>
      </c>
      <c r="AJ17" s="5">
        <f>'5.Environmental_health'!F18*'Step B weights'!AJ$50</f>
        <v>0.32788991732899719</v>
      </c>
      <c r="AK17" s="5">
        <f>'5.Environmental_health'!G18*'Step B weights'!AK$50</f>
        <v>0.49669025172606873</v>
      </c>
      <c r="AL17" s="5">
        <f>'5.Environmental_health'!H18*'Step B weights'!AL$50</f>
        <v>1.0506950064022005</v>
      </c>
      <c r="AM17" s="5">
        <f>'5.Environmental_health'!I18*'Step B weights'!AM$50</f>
        <v>0.97814435950414491</v>
      </c>
    </row>
    <row r="18" spans="1:39">
      <c r="A18" s="30" t="str">
        <f>IF(NOT(ISBLANK(HLOs!D16)),HLOs!D16,"")</f>
        <v>AoW3-Suite of end-to-end solutions for health and agriculture extension agents, terrestrial animal-source vendors/retailers processors, and traders that promote healthy food choice behaviors of consumers, healthy food environments, food quality and safety, reduce food loss, and increase profits co-developed, tested, and scaled.</v>
      </c>
      <c r="B18" s="5">
        <f>'1.Food_security'!D19*'Step B weights'!B$50</f>
        <v>0.12793336829685956</v>
      </c>
      <c r="C18" s="5">
        <f>'1.Food_security'!E19*'Step B weights'!C$50</f>
        <v>0</v>
      </c>
      <c r="D18" s="5">
        <f>'1.Food_security'!F19*'Step B weights'!D$50</f>
        <v>0.60019802587334148</v>
      </c>
      <c r="E18" s="5">
        <f>'1.Food_security'!G19*'Step B weights'!E$50</f>
        <v>0.68782694591886306</v>
      </c>
      <c r="F18" s="5">
        <f>'1.Food_security'!H19*'Step B weights'!F$50</f>
        <v>1.3955807506264002</v>
      </c>
      <c r="G18" s="5">
        <f>'1.Food_security'!I19*'Step B weights'!G$50</f>
        <v>0.19289364608298079</v>
      </c>
      <c r="I18" s="29" t="str">
        <f t="shared" si="0"/>
        <v>AoW3-Suite of end-to-end solutions for health and agriculture extension agents, terrestrial animal-source vendors/retailers processors, and traders that promote healthy food choice behaviors of consumers, healthy food environments, food quality and safety, reduce food loss, and increase profits co-developed, tested, and scaled.</v>
      </c>
      <c r="J18" s="5">
        <f>'2.Poverty_reduction'!D19*'Step B weights'!J$50</f>
        <v>0.14209832502799261</v>
      </c>
      <c r="K18" s="5">
        <f>'2.Poverty_reduction'!E19*'Step B weights'!K$50</f>
        <v>0</v>
      </c>
      <c r="L18" s="5">
        <f>'2.Poverty_reduction'!F19*'Step B weights'!L$50</f>
        <v>0.97726602850353206</v>
      </c>
      <c r="M18" s="5">
        <f>'2.Poverty_reduction'!G19*'Step B weights'!M$50</f>
        <v>0.73839656239125684</v>
      </c>
      <c r="N18" s="5">
        <f>'2.Poverty_reduction'!H19*'Step B weights'!N$50</f>
        <v>0.86196112444639283</v>
      </c>
      <c r="O18" s="5">
        <f>'2.Poverty_reduction'!I19*'Step B weights'!O$50</f>
        <v>2.5143591452349776E-2</v>
      </c>
      <c r="Q18" s="29" t="str">
        <f t="shared" si="1"/>
        <v>AoW3-Suite of end-to-end solutions for health and agriculture extension agents, terrestrial animal-source vendors/retailers processors, and traders that promote healthy food choice behaviors of consumers, healthy food environments, food quality and safety, reduce food loss, and increase profits co-developed, tested, and scaled.</v>
      </c>
      <c r="R18" s="5">
        <f>'3.Social_inclusion'!D19*'Step B weights'!R$50</f>
        <v>0.4333460511255246</v>
      </c>
      <c r="S18" s="5">
        <f>'3.Social_inclusion'!E19*'Step B weights'!S$50</f>
        <v>0</v>
      </c>
      <c r="T18" s="5">
        <f>'3.Social_inclusion'!F19*'Step B weights'!T$50</f>
        <v>0.70438763830599005</v>
      </c>
      <c r="U18" s="5">
        <f>'3.Social_inclusion'!G19*'Step B weights'!U$50</f>
        <v>0.38916444105303322</v>
      </c>
      <c r="V18" s="5">
        <f>'3.Social_inclusion'!H19*'Step B weights'!V$50</f>
        <v>0.51987790919496368</v>
      </c>
      <c r="W18" s="5">
        <f>'3.Social_inclusion'!I19*'Step B weights'!W$50</f>
        <v>0.27768027470431134</v>
      </c>
      <c r="Y18" s="29" t="str">
        <f t="shared" si="2"/>
        <v>AoW3-Suite of end-to-end solutions for health and agriculture extension agents, terrestrial animal-source vendors/retailers processors, and traders that promote healthy food choice behaviors of consumers, healthy food environments, food quality and safety, reduce food loss, and increase profits co-developed, tested, and scaled.</v>
      </c>
      <c r="Z18" s="5">
        <f>'4.Climate_adaptation'!D19*'Step B weights'!Z$50</f>
        <v>0.90299439468240106</v>
      </c>
      <c r="AA18" s="5">
        <f>'4.Climate_adaptation'!E19*'Step B weights'!AA$50</f>
        <v>0</v>
      </c>
      <c r="AB18" s="5">
        <f>'4.Climate_adaptation'!F19*'Step B weights'!AB$50</f>
        <v>0.1639449586644986</v>
      </c>
      <c r="AC18" s="5">
        <f>'4.Climate_adaptation'!G19*'Step B weights'!AC$50</f>
        <v>0.24834512586303437</v>
      </c>
      <c r="AD18" s="5">
        <f>'4.Climate_adaptation'!H19*'Step B weights'!AD$50</f>
        <v>0.78802125480165031</v>
      </c>
      <c r="AE18" s="5">
        <f>'4.Climate_adaptation'!I19*'Step B weights'!AE$50</f>
        <v>0.73360826962810866</v>
      </c>
      <c r="AG18" s="29" t="str">
        <f t="shared" si="3"/>
        <v>AoW3-Suite of end-to-end solutions for health and agriculture extension agents, terrestrial animal-source vendors/retailers processors, and traders that promote healthy food choice behaviors of consumers, healthy food environments, food quality and safety, reduce food loss, and increase profits co-developed, tested, and scaled.</v>
      </c>
      <c r="AH18" s="5">
        <f>'5.Environmental_health'!D19*'Step B weights'!AH$50</f>
        <v>0.45149719734120053</v>
      </c>
      <c r="AI18" s="5">
        <f>'5.Environmental_health'!E19*'Step B weights'!AI$50</f>
        <v>0</v>
      </c>
      <c r="AJ18" s="5">
        <f>'5.Environmental_health'!F19*'Step B weights'!AJ$50</f>
        <v>0.2459174379967479</v>
      </c>
      <c r="AK18" s="5">
        <f>'5.Environmental_health'!G19*'Step B weights'!AK$50</f>
        <v>0.49669025172606873</v>
      </c>
      <c r="AL18" s="5">
        <f>'5.Environmental_health'!H19*'Step B weights'!AL$50</f>
        <v>1.0506950064022005</v>
      </c>
      <c r="AM18" s="5">
        <f>'5.Environmental_health'!I19*'Step B weights'!AM$50</f>
        <v>0.73360826962810866</v>
      </c>
    </row>
    <row r="19" spans="1:39">
      <c r="A19" s="30" t="str">
        <f>IF(NOT(ISBLANK(HLOs!D17)),HLOs!D17,"")</f>
        <v>AoW3-Suite of integrated end-to-end solutions for health and agriculture extension agents, perishable nutrient-rich food vendors/retailers, processors, traders and producers that promote healthy food choice behaviors of consumers, healthy food environments, food quality and safety, reduce food loss,and increase profits co-developed, tested, and scaled.</v>
      </c>
      <c r="B19" s="5">
        <f>'1.Food_security'!D20*'Step B weights'!B$50</f>
        <v>0.19190005244528935</v>
      </c>
      <c r="C19" s="5">
        <f>'1.Food_security'!E20*'Step B weights'!C$50</f>
        <v>0</v>
      </c>
      <c r="D19" s="5">
        <f>'1.Food_security'!F20*'Step B weights'!D$50</f>
        <v>0.60019802587334148</v>
      </c>
      <c r="E19" s="5">
        <f>'1.Food_security'!G20*'Step B weights'!E$50</f>
        <v>0.68782694591886306</v>
      </c>
      <c r="F19" s="5">
        <f>'1.Food_security'!H20*'Step B weights'!F$50</f>
        <v>1.3955807506264002</v>
      </c>
      <c r="G19" s="5">
        <f>'1.Food_security'!I20*'Step B weights'!G$50</f>
        <v>0.19289364608298079</v>
      </c>
      <c r="I19" s="29" t="str">
        <f t="shared" si="0"/>
        <v>AoW3-Suite of integrated end-to-end solutions for health and agriculture extension agents, perishable nutrient-rich food vendors/retailers, processors, traders and producers that promote healthy food choice behaviors of consumers, healthy food environments, food quality and safety, reduce food loss,and increase profits co-developed, tested, and scaled.</v>
      </c>
      <c r="J19" s="5">
        <f>'2.Poverty_reduction'!D20*'Step B weights'!J$50</f>
        <v>0.1894644333706568</v>
      </c>
      <c r="K19" s="5">
        <f>'2.Poverty_reduction'!E20*'Step B weights'!K$50</f>
        <v>0</v>
      </c>
      <c r="L19" s="5">
        <f>'2.Poverty_reduction'!F20*'Step B weights'!L$50</f>
        <v>0.65151068566902137</v>
      </c>
      <c r="M19" s="5">
        <f>'2.Poverty_reduction'!G20*'Step B weights'!M$50</f>
        <v>0.73839656239125684</v>
      </c>
      <c r="N19" s="5">
        <f>'2.Poverty_reduction'!H20*'Step B weights'!N$50</f>
        <v>0.86196112444639283</v>
      </c>
      <c r="O19" s="5">
        <f>'2.Poverty_reduction'!I20*'Step B weights'!O$50</f>
        <v>4.1905985753916297E-2</v>
      </c>
      <c r="Q19" s="29" t="str">
        <f t="shared" si="1"/>
        <v>AoW3-Suite of integrated end-to-end solutions for health and agriculture extension agents, perishable nutrient-rich food vendors/retailers, processors, traders and producers that promote healthy food choice behaviors of consumers, healthy food environments, food quality and safety, reduce food loss,and increase profits co-developed, tested, and scaled.</v>
      </c>
      <c r="R19" s="5">
        <f>'3.Social_inclusion'!D20*'Step B weights'!R$50</f>
        <v>0.57779473483403276</v>
      </c>
      <c r="S19" s="5">
        <f>'3.Social_inclusion'!E20*'Step B weights'!S$50</f>
        <v>0</v>
      </c>
      <c r="T19" s="5">
        <f>'3.Social_inclusion'!F20*'Step B weights'!T$50</f>
        <v>0.70438763830599005</v>
      </c>
      <c r="U19" s="5">
        <f>'3.Social_inclusion'!G20*'Step B weights'!U$50</f>
        <v>0.38916444105303322</v>
      </c>
      <c r="V19" s="5">
        <f>'3.Social_inclusion'!H20*'Step B weights'!V$50</f>
        <v>0.51987790919496368</v>
      </c>
      <c r="W19" s="5">
        <f>'3.Social_inclusion'!I20*'Step B weights'!W$50</f>
        <v>0.37024036627241513</v>
      </c>
      <c r="Y19" s="29" t="str">
        <f t="shared" si="2"/>
        <v>AoW3-Suite of integrated end-to-end solutions for health and agriculture extension agents, perishable nutrient-rich food vendors/retailers, processors, traders and producers that promote healthy food choice behaviors of consumers, healthy food environments, food quality and safety, reduce food loss,and increase profits co-developed, tested, and scaled.</v>
      </c>
      <c r="Z19" s="5">
        <f>'4.Climate_adaptation'!D20*'Step B weights'!Z$50</f>
        <v>0.67724579601180079</v>
      </c>
      <c r="AA19" s="5">
        <f>'4.Climate_adaptation'!E20*'Step B weights'!AA$50</f>
        <v>0</v>
      </c>
      <c r="AB19" s="5">
        <f>'4.Climate_adaptation'!F20*'Step B weights'!AB$50</f>
        <v>0.2459174379967479</v>
      </c>
      <c r="AC19" s="5">
        <f>'4.Climate_adaptation'!G20*'Step B weights'!AC$50</f>
        <v>0.37251768879455155</v>
      </c>
      <c r="AD19" s="5">
        <f>'4.Climate_adaptation'!H20*'Step B weights'!AD$50</f>
        <v>0.78802125480165031</v>
      </c>
      <c r="AE19" s="5">
        <f>'4.Climate_adaptation'!I20*'Step B weights'!AE$50</f>
        <v>0.73360826962810866</v>
      </c>
      <c r="AG19" s="29" t="str">
        <f t="shared" si="3"/>
        <v>AoW3-Suite of integrated end-to-end solutions for health and agriculture extension agents, perishable nutrient-rich food vendors/retailers, processors, traders and producers that promote healthy food choice behaviors of consumers, healthy food environments, food quality and safety, reduce food loss,and increase profits co-developed, tested, and scaled.</v>
      </c>
      <c r="AH19" s="5">
        <f>'5.Environmental_health'!D20*'Step B weights'!AH$50</f>
        <v>0.67724579601180079</v>
      </c>
      <c r="AI19" s="5">
        <f>'5.Environmental_health'!E20*'Step B weights'!AI$50</f>
        <v>0</v>
      </c>
      <c r="AJ19" s="5">
        <f>'5.Environmental_health'!F20*'Step B weights'!AJ$50</f>
        <v>0.32788991732899719</v>
      </c>
      <c r="AK19" s="5">
        <f>'5.Environmental_health'!G20*'Step B weights'!AK$50</f>
        <v>0.49669025172606873</v>
      </c>
      <c r="AL19" s="5">
        <f>'5.Environmental_health'!H20*'Step B weights'!AL$50</f>
        <v>1.0506950064022005</v>
      </c>
      <c r="AM19" s="5">
        <f>'5.Environmental_health'!I20*'Step B weights'!AM$50</f>
        <v>0.73360826962810866</v>
      </c>
    </row>
    <row r="20" spans="1:39">
      <c r="A20" s="30" t="str">
        <f>IF(NOT(ISBLANK(HLOs!D18)),HLOs!D18,"")</f>
        <v>AoW3-Policy options that address constraints to sustainable healthy diets</v>
      </c>
      <c r="B20" s="5">
        <f>'1.Food_security'!D21*'Step B weights'!B$50</f>
        <v>0.25586673659371911</v>
      </c>
      <c r="C20" s="5">
        <f>'1.Food_security'!E21*'Step B weights'!C$50</f>
        <v>0</v>
      </c>
      <c r="D20" s="5">
        <f>'1.Food_security'!F21*'Step B weights'!D$50</f>
        <v>0.60019802587334148</v>
      </c>
      <c r="E20" s="5">
        <f>'1.Food_security'!G21*'Step B weights'!E$50</f>
        <v>0.45855129727924204</v>
      </c>
      <c r="F20" s="5">
        <f>'1.Food_security'!H21*'Step B weights'!F$50</f>
        <v>1.0466855629698002</v>
      </c>
      <c r="G20" s="5">
        <f>'1.Food_security'!I21*'Step B weights'!G$50</f>
        <v>0.25719152811064105</v>
      </c>
      <c r="I20" s="29" t="str">
        <f t="shared" si="0"/>
        <v>AoW3-Policy options that address constraints to sustainable healthy diets</v>
      </c>
      <c r="J20" s="5">
        <f>'2.Poverty_reduction'!D21*'Step B weights'!J$50</f>
        <v>0.1894644333706568</v>
      </c>
      <c r="K20" s="5">
        <f>'2.Poverty_reduction'!E21*'Step B weights'!K$50</f>
        <v>0</v>
      </c>
      <c r="L20" s="5">
        <f>'2.Poverty_reduction'!F21*'Step B weights'!L$50</f>
        <v>0.65151068566902137</v>
      </c>
      <c r="M20" s="5">
        <f>'2.Poverty_reduction'!G21*'Step B weights'!M$50</f>
        <v>0.73839656239125684</v>
      </c>
      <c r="N20" s="5">
        <f>'2.Poverty_reduction'!H21*'Step B weights'!N$50</f>
        <v>0.43098056222319642</v>
      </c>
      <c r="O20" s="5">
        <f>'2.Poverty_reduction'!I21*'Step B weights'!O$50</f>
        <v>3.3524788603133036E-2</v>
      </c>
      <c r="Q20" s="29" t="str">
        <f t="shared" si="1"/>
        <v>AoW3-Policy options that address constraints to sustainable healthy diets</v>
      </c>
      <c r="R20" s="5">
        <f>'3.Social_inclusion'!D21*'Step B weights'!R$50</f>
        <v>0.57779473483403276</v>
      </c>
      <c r="S20" s="5">
        <f>'3.Social_inclusion'!E21*'Step B weights'!S$50</f>
        <v>0</v>
      </c>
      <c r="T20" s="5">
        <f>'3.Social_inclusion'!F21*'Step B weights'!T$50</f>
        <v>0.46959175887066001</v>
      </c>
      <c r="U20" s="5">
        <f>'3.Social_inclusion'!G21*'Step B weights'!U$50</f>
        <v>0.38916444105303322</v>
      </c>
      <c r="V20" s="5">
        <f>'3.Social_inclusion'!H21*'Step B weights'!V$50</f>
        <v>0.34658527279664247</v>
      </c>
      <c r="W20" s="5">
        <f>'3.Social_inclusion'!I21*'Step B weights'!W$50</f>
        <v>0.37024036627241513</v>
      </c>
      <c r="Y20" s="29" t="str">
        <f t="shared" si="2"/>
        <v>AoW3-Policy options that address constraints to sustainable healthy diets</v>
      </c>
      <c r="Z20" s="5">
        <f>'4.Climate_adaptation'!D21*'Step B weights'!Z$50</f>
        <v>0.67724579601180079</v>
      </c>
      <c r="AA20" s="5">
        <f>'4.Climate_adaptation'!E21*'Step B weights'!AA$50</f>
        <v>0</v>
      </c>
      <c r="AB20" s="5">
        <f>'4.Climate_adaptation'!F21*'Step B weights'!AB$50</f>
        <v>0.1639449586644986</v>
      </c>
      <c r="AC20" s="5">
        <f>'4.Climate_adaptation'!G21*'Step B weights'!AC$50</f>
        <v>0.24834512586303437</v>
      </c>
      <c r="AD20" s="5">
        <f>'4.Climate_adaptation'!H21*'Step B weights'!AD$50</f>
        <v>0.52534750320110024</v>
      </c>
      <c r="AE20" s="5">
        <f>'4.Climate_adaptation'!I21*'Step B weights'!AE$50</f>
        <v>0.73360826962810866</v>
      </c>
      <c r="AG20" s="29" t="str">
        <f t="shared" si="3"/>
        <v>AoW3-Policy options that address constraints to sustainable healthy diets</v>
      </c>
      <c r="AH20" s="5">
        <f>'5.Environmental_health'!D21*'Step B weights'!AH$50</f>
        <v>0.67724579601180079</v>
      </c>
      <c r="AI20" s="5">
        <f>'5.Environmental_health'!E21*'Step B weights'!AI$50</f>
        <v>0</v>
      </c>
      <c r="AJ20" s="5">
        <f>'5.Environmental_health'!F21*'Step B weights'!AJ$50</f>
        <v>0.2459174379967479</v>
      </c>
      <c r="AK20" s="5">
        <f>'5.Environmental_health'!G21*'Step B weights'!AK$50</f>
        <v>0.37251768879455155</v>
      </c>
      <c r="AL20" s="5">
        <f>'5.Environmental_health'!H21*'Step B weights'!AL$50</f>
        <v>0.78802125480165031</v>
      </c>
      <c r="AM20" s="5">
        <f>'5.Environmental_health'!I21*'Step B weights'!AM$50</f>
        <v>0.73360826962810866</v>
      </c>
    </row>
    <row r="21" spans="1:39">
      <c r="A21" s="30" t="str">
        <f>IF(NOT(ISBLANK(HLOs!D19)),HLOs!D19,"")</f>
        <v>AoW4-Suite of solutions for producers and processors that address constraints to sustainable healthy diets co-developed, tested, and scaled with technical support and country engagement.</v>
      </c>
      <c r="B21" s="5">
        <f>'1.Food_security'!D22*'Step B weights'!B$50</f>
        <v>0.12793336829685956</v>
      </c>
      <c r="C21" s="5">
        <f>'1.Food_security'!E22*'Step B weights'!C$50</f>
        <v>0.28049576670972537</v>
      </c>
      <c r="D21" s="5">
        <f>'1.Food_security'!F22*'Step B weights'!D$50</f>
        <v>0.40013201724889436</v>
      </c>
      <c r="E21" s="5">
        <f>'1.Food_security'!G22*'Step B weights'!E$50</f>
        <v>0.45855129727924204</v>
      </c>
      <c r="F21" s="5">
        <f>'1.Food_security'!H22*'Step B weights'!F$50</f>
        <v>0.6977903753132001</v>
      </c>
      <c r="G21" s="5">
        <f>'1.Food_security'!I22*'Step B weights'!G$50</f>
        <v>0.19289364608298079</v>
      </c>
      <c r="I21" s="29" t="str">
        <f t="shared" si="0"/>
        <v>AoW4-Suite of solutions for producers and processors that address constraints to sustainable healthy diets co-developed, tested, and scaled with technical support and country engagement.</v>
      </c>
      <c r="J21" s="5">
        <f>'2.Poverty_reduction'!D22*'Step B weights'!J$50</f>
        <v>9.4732216685328399E-2</v>
      </c>
      <c r="K21" s="5">
        <f>'2.Poverty_reduction'!E22*'Step B weights'!K$50</f>
        <v>0.10142636809444611</v>
      </c>
      <c r="L21" s="5">
        <f>'2.Poverty_reduction'!F22*'Step B weights'!L$50</f>
        <v>0.97726602850353206</v>
      </c>
      <c r="M21" s="5">
        <f>'2.Poverty_reduction'!G22*'Step B weights'!M$50</f>
        <v>1.1075948435868852</v>
      </c>
      <c r="N21" s="5">
        <f>'2.Poverty_reduction'!H22*'Step B weights'!N$50</f>
        <v>0.64647084333479465</v>
      </c>
      <c r="O21" s="5">
        <f>'2.Poverty_reduction'!I22*'Step B weights'!O$50</f>
        <v>2.5143591452349776E-2</v>
      </c>
      <c r="Q21" s="29" t="str">
        <f t="shared" si="1"/>
        <v>AoW4-Suite of solutions for producers and processors that address constraints to sustainable healthy diets co-developed, tested, and scaled with technical support and country engagement.</v>
      </c>
      <c r="R21" s="5">
        <f>'3.Social_inclusion'!D22*'Step B weights'!R$50</f>
        <v>0.28889736741701638</v>
      </c>
      <c r="S21" s="5">
        <f>'3.Social_inclusion'!E22*'Step B weights'!S$50</f>
        <v>0.48096146508966048</v>
      </c>
      <c r="T21" s="5">
        <f>'3.Social_inclusion'!F22*'Step B weights'!T$50</f>
        <v>0.70438763830599005</v>
      </c>
      <c r="U21" s="5">
        <f>'3.Social_inclusion'!G22*'Step B weights'!U$50</f>
        <v>0.5837466615795498</v>
      </c>
      <c r="V21" s="5">
        <f>'3.Social_inclusion'!H22*'Step B weights'!V$50</f>
        <v>0.51987790919496368</v>
      </c>
      <c r="W21" s="5">
        <f>'3.Social_inclusion'!I22*'Step B weights'!W$50</f>
        <v>0.18512018313620757</v>
      </c>
      <c r="Y21" s="29" t="str">
        <f t="shared" si="2"/>
        <v>AoW4-Suite of solutions for producers and processors that address constraints to sustainable healthy diets co-developed, tested, and scaled with technical support and country engagement.</v>
      </c>
      <c r="Z21" s="5">
        <f>'4.Climate_adaptation'!D22*'Step B weights'!Z$50</f>
        <v>0.45149719734120053</v>
      </c>
      <c r="AA21" s="5">
        <f>'4.Climate_adaptation'!E22*'Step B weights'!AA$50</f>
        <v>0.18268955276714052</v>
      </c>
      <c r="AB21" s="5">
        <f>'4.Climate_adaptation'!F22*'Step B weights'!AB$50</f>
        <v>0.2459174379967479</v>
      </c>
      <c r="AC21" s="5">
        <f>'4.Climate_adaptation'!G22*'Step B weights'!AC$50</f>
        <v>0.37251768879455155</v>
      </c>
      <c r="AD21" s="5">
        <f>'4.Climate_adaptation'!H22*'Step B weights'!AD$50</f>
        <v>0.78802125480165031</v>
      </c>
      <c r="AE21" s="5">
        <f>'4.Climate_adaptation'!I22*'Step B weights'!AE$50</f>
        <v>0.73360826962810866</v>
      </c>
      <c r="AG21" s="29" t="str">
        <f t="shared" si="3"/>
        <v>AoW4-Suite of solutions for producers and processors that address constraints to sustainable healthy diets co-developed, tested, and scaled with technical support and country engagement.</v>
      </c>
      <c r="AH21" s="5">
        <f>'5.Environmental_health'!D22*'Step B weights'!AH$50</f>
        <v>0.45149719734120053</v>
      </c>
      <c r="AI21" s="5">
        <f>'5.Environmental_health'!E22*'Step B weights'!AI$50</f>
        <v>0.18268955276714052</v>
      </c>
      <c r="AJ21" s="5">
        <f>'5.Environmental_health'!F22*'Step B weights'!AJ$50</f>
        <v>0.2459174379967479</v>
      </c>
      <c r="AK21" s="5">
        <f>'5.Environmental_health'!G22*'Step B weights'!AK$50</f>
        <v>0.37251768879455155</v>
      </c>
      <c r="AL21" s="5">
        <f>'5.Environmental_health'!H22*'Step B weights'!AL$50</f>
        <v>0.78802125480165031</v>
      </c>
      <c r="AM21" s="5">
        <f>'5.Environmental_health'!I22*'Step B weights'!AM$50</f>
        <v>0.73360826962810866</v>
      </c>
    </row>
    <row r="22" spans="1:39">
      <c r="A22" s="30" t="str">
        <f>IF(NOT(ISBLANK(HLOs!D20)),HLOs!D20,"")</f>
        <v>AoW4-Policy options and engagement that address constraints to sustainable healthy diets.</v>
      </c>
      <c r="B22" s="5">
        <f>'1.Food_security'!D23*'Step B weights'!B$50</f>
        <v>0.12793336829685956</v>
      </c>
      <c r="C22" s="5">
        <f>'1.Food_security'!E23*'Step B weights'!C$50</f>
        <v>0.28049576670972537</v>
      </c>
      <c r="D22" s="5">
        <f>'1.Food_security'!F23*'Step B weights'!D$50</f>
        <v>1.0003300431222359</v>
      </c>
      <c r="E22" s="5">
        <f>'1.Food_security'!G23*'Step B weights'!E$50</f>
        <v>1.1463782431981051</v>
      </c>
      <c r="F22" s="5">
        <f>'1.Food_security'!H23*'Step B weights'!F$50</f>
        <v>1.3955807506264002</v>
      </c>
      <c r="G22" s="5">
        <f>'1.Food_security'!I23*'Step B weights'!G$50</f>
        <v>0.25719152811064105</v>
      </c>
      <c r="I22" s="29" t="str">
        <f t="shared" si="0"/>
        <v>AoW4-Policy options and engagement that address constraints to sustainable healthy diets.</v>
      </c>
      <c r="J22" s="5">
        <f>'2.Poverty_reduction'!D23*'Step B weights'!J$50</f>
        <v>9.4732216685328399E-2</v>
      </c>
      <c r="K22" s="5">
        <f>'2.Poverty_reduction'!E23*'Step B weights'!K$50</f>
        <v>0.10142636809444611</v>
      </c>
      <c r="L22" s="5">
        <f>'2.Poverty_reduction'!F23*'Step B weights'!L$50</f>
        <v>1.6287767141725533</v>
      </c>
      <c r="M22" s="5">
        <f>'2.Poverty_reduction'!G23*'Step B weights'!M$50</f>
        <v>1.8459914059781422</v>
      </c>
      <c r="N22" s="5">
        <f>'2.Poverty_reduction'!H23*'Step B weights'!N$50</f>
        <v>0.64647084333479465</v>
      </c>
      <c r="O22" s="5">
        <f>'2.Poverty_reduction'!I23*'Step B weights'!O$50</f>
        <v>3.3524788603133036E-2</v>
      </c>
      <c r="Q22" s="29" t="str">
        <f t="shared" si="1"/>
        <v>AoW4-Policy options and engagement that address constraints to sustainable healthy diets.</v>
      </c>
      <c r="R22" s="5">
        <f>'3.Social_inclusion'!D23*'Step B weights'!R$50</f>
        <v>0.28889736741701638</v>
      </c>
      <c r="S22" s="5">
        <f>'3.Social_inclusion'!E23*'Step B weights'!S$50</f>
        <v>0.48096146508966048</v>
      </c>
      <c r="T22" s="5">
        <f>'3.Social_inclusion'!F23*'Step B weights'!T$50</f>
        <v>1.1739793971766501</v>
      </c>
      <c r="U22" s="5">
        <f>'3.Social_inclusion'!G23*'Step B weights'!U$50</f>
        <v>0.97291110263258307</v>
      </c>
      <c r="V22" s="5">
        <f>'3.Social_inclusion'!H23*'Step B weights'!V$50</f>
        <v>0.69317054559328495</v>
      </c>
      <c r="W22" s="5">
        <f>'3.Social_inclusion'!I23*'Step B weights'!W$50</f>
        <v>0.27768027470431134</v>
      </c>
      <c r="Y22" s="29" t="str">
        <f t="shared" si="2"/>
        <v>AoW4-Policy options and engagement that address constraints to sustainable healthy diets.</v>
      </c>
      <c r="Z22" s="5">
        <f>'4.Climate_adaptation'!D23*'Step B weights'!Z$50</f>
        <v>0.45149719734120053</v>
      </c>
      <c r="AA22" s="5">
        <f>'4.Climate_adaptation'!E23*'Step B weights'!AA$50</f>
        <v>0.18268955276714052</v>
      </c>
      <c r="AB22" s="5">
        <f>'4.Climate_adaptation'!F23*'Step B weights'!AB$50</f>
        <v>0.40986239666124646</v>
      </c>
      <c r="AC22" s="5">
        <f>'4.Climate_adaptation'!G23*'Step B weights'!AC$50</f>
        <v>0.62086281465758586</v>
      </c>
      <c r="AD22" s="5">
        <f>'4.Climate_adaptation'!H23*'Step B weights'!AD$50</f>
        <v>0.78802125480165031</v>
      </c>
      <c r="AE22" s="5">
        <f>'4.Climate_adaptation'!I23*'Step B weights'!AE$50</f>
        <v>1.2226804493801811</v>
      </c>
      <c r="AG22" s="29" t="str">
        <f t="shared" si="3"/>
        <v>AoW4-Policy options and engagement that address constraints to sustainable healthy diets.</v>
      </c>
      <c r="AH22" s="5">
        <f>'5.Environmental_health'!D23*'Step B weights'!AH$50</f>
        <v>0.45149719734120053</v>
      </c>
      <c r="AI22" s="5">
        <f>'5.Environmental_health'!E23*'Step B weights'!AI$50</f>
        <v>0.18268955276714052</v>
      </c>
      <c r="AJ22" s="5">
        <f>'5.Environmental_health'!F23*'Step B weights'!AJ$50</f>
        <v>0.40986239666124646</v>
      </c>
      <c r="AK22" s="5">
        <f>'5.Environmental_health'!G23*'Step B weights'!AK$50</f>
        <v>0.62086281465758586</v>
      </c>
      <c r="AL22" s="5">
        <f>'5.Environmental_health'!H23*'Step B weights'!AL$50</f>
        <v>0.78802125480165031</v>
      </c>
      <c r="AM22" s="5">
        <f>'5.Environmental_health'!I23*'Step B weights'!AM$50</f>
        <v>1.2226804493801811</v>
      </c>
    </row>
    <row r="23" spans="1:39">
      <c r="A23" s="30" t="str">
        <f>IF(NOT(ISBLANK(HLOs!D21)),HLOs!D21,"")</f>
        <v>AoW4-Framework for embedding nutrition into breeding pipelines and processes.</v>
      </c>
      <c r="B23" s="5">
        <f>'1.Food_security'!D24*'Step B weights'!B$50</f>
        <v>0.12793336829685956</v>
      </c>
      <c r="C23" s="5">
        <f>'1.Food_security'!E24*'Step B weights'!C$50</f>
        <v>0.28049576670972537</v>
      </c>
      <c r="D23" s="5">
        <f>'1.Food_security'!F24*'Step B weights'!D$50</f>
        <v>0.80026403449778871</v>
      </c>
      <c r="E23" s="5">
        <f>'1.Food_security'!G24*'Step B weights'!E$50</f>
        <v>0.91710259455848409</v>
      </c>
      <c r="F23" s="5">
        <f>'1.Food_security'!H24*'Step B weights'!F$50</f>
        <v>1.3955807506264002</v>
      </c>
      <c r="G23" s="5">
        <f>'1.Food_security'!I24*'Step B weights'!G$50</f>
        <v>0.25719152811064105</v>
      </c>
      <c r="I23" s="29" t="str">
        <f t="shared" si="0"/>
        <v>AoW4-Framework for embedding nutrition into breeding pipelines and processes.</v>
      </c>
      <c r="J23" s="5">
        <f>'2.Poverty_reduction'!D24*'Step B weights'!J$50</f>
        <v>9.4732216685328399E-2</v>
      </c>
      <c r="K23" s="5">
        <f>'2.Poverty_reduction'!E24*'Step B weights'!K$50</f>
        <v>0.10142636809444611</v>
      </c>
      <c r="L23" s="5">
        <f>'2.Poverty_reduction'!F24*'Step B weights'!L$50</f>
        <v>1.6287767141725533</v>
      </c>
      <c r="M23" s="5">
        <f>'2.Poverty_reduction'!G24*'Step B weights'!M$50</f>
        <v>1.8459914059781422</v>
      </c>
      <c r="N23" s="5">
        <f>'2.Poverty_reduction'!H24*'Step B weights'!N$50</f>
        <v>0.64647084333479465</v>
      </c>
      <c r="O23" s="5">
        <f>'2.Poverty_reduction'!I24*'Step B weights'!O$50</f>
        <v>2.5143591452349776E-2</v>
      </c>
      <c r="Q23" s="29" t="str">
        <f t="shared" si="1"/>
        <v>AoW4-Framework for embedding nutrition into breeding pipelines and processes.</v>
      </c>
      <c r="R23" s="5">
        <f>'3.Social_inclusion'!D24*'Step B weights'!R$50</f>
        <v>0.28889736741701638</v>
      </c>
      <c r="S23" s="5">
        <f>'3.Social_inclusion'!E24*'Step B weights'!S$50</f>
        <v>0.48096146508966048</v>
      </c>
      <c r="T23" s="5">
        <f>'3.Social_inclusion'!F24*'Step B weights'!T$50</f>
        <v>1.1739793971766501</v>
      </c>
      <c r="U23" s="5">
        <f>'3.Social_inclusion'!G24*'Step B weights'!U$50</f>
        <v>0.97291110263258307</v>
      </c>
      <c r="V23" s="5">
        <f>'3.Social_inclusion'!H24*'Step B weights'!V$50</f>
        <v>0.51987790919496368</v>
      </c>
      <c r="W23" s="5">
        <f>'3.Social_inclusion'!I24*'Step B weights'!W$50</f>
        <v>0.27768027470431134</v>
      </c>
      <c r="Y23" s="29" t="str">
        <f t="shared" si="2"/>
        <v>AoW4-Framework for embedding nutrition into breeding pipelines and processes.</v>
      </c>
      <c r="Z23" s="5">
        <f>'4.Climate_adaptation'!D24*'Step B weights'!Z$50</f>
        <v>0.45149719734120053</v>
      </c>
      <c r="AA23" s="5">
        <f>'4.Climate_adaptation'!E24*'Step B weights'!AA$50</f>
        <v>0.18268955276714052</v>
      </c>
      <c r="AB23" s="5">
        <f>'4.Climate_adaptation'!F24*'Step B weights'!AB$50</f>
        <v>0.40986239666124646</v>
      </c>
      <c r="AC23" s="5">
        <f>'4.Climate_adaptation'!G24*'Step B weights'!AC$50</f>
        <v>0.62086281465758586</v>
      </c>
      <c r="AD23" s="5">
        <f>'4.Climate_adaptation'!H24*'Step B weights'!AD$50</f>
        <v>0.78802125480165031</v>
      </c>
      <c r="AE23" s="5">
        <f>'4.Climate_adaptation'!I24*'Step B weights'!AE$50</f>
        <v>0.97814435950414491</v>
      </c>
      <c r="AG23" s="29" t="str">
        <f t="shared" si="3"/>
        <v>AoW4-Framework for embedding nutrition into breeding pipelines and processes.</v>
      </c>
      <c r="AH23" s="5">
        <f>'5.Environmental_health'!D24*'Step B weights'!AH$50</f>
        <v>0.45149719734120053</v>
      </c>
      <c r="AI23" s="5">
        <f>'5.Environmental_health'!E24*'Step B weights'!AI$50</f>
        <v>0.18268955276714052</v>
      </c>
      <c r="AJ23" s="5">
        <f>'5.Environmental_health'!F24*'Step B weights'!AJ$50</f>
        <v>0.40986239666124646</v>
      </c>
      <c r="AK23" s="5">
        <f>'5.Environmental_health'!G24*'Step B weights'!AK$50</f>
        <v>0.62086281465758586</v>
      </c>
      <c r="AL23" s="5">
        <f>'5.Environmental_health'!H24*'Step B weights'!AL$50</f>
        <v>0.78802125480165031</v>
      </c>
      <c r="AM23" s="5">
        <f>'5.Environmental_health'!I24*'Step B weights'!AM$50</f>
        <v>0.73360826962810866</v>
      </c>
    </row>
    <row r="24" spans="1:39">
      <c r="A24" s="30" t="str">
        <f>IF(NOT(ISBLANK(HLOs!D22)),HLOs!D22,"")</f>
        <v>AoW4-Suite of solutions for traders and vendors that address constraints to sustainable healthy diets co-developed, tested, and scaled with technical support and country engagement.</v>
      </c>
      <c r="B24" s="5">
        <f>'1.Food_security'!D25*'Step B weights'!B$50</f>
        <v>0.12793336829685956</v>
      </c>
      <c r="C24" s="5">
        <f>'1.Food_security'!E25*'Step B weights'!C$50</f>
        <v>0.28049576670972537</v>
      </c>
      <c r="D24" s="5">
        <f>'1.Food_security'!F25*'Step B weights'!D$50</f>
        <v>0.40013201724889436</v>
      </c>
      <c r="E24" s="5">
        <f>'1.Food_security'!G25*'Step B weights'!E$50</f>
        <v>0.45855129727924204</v>
      </c>
      <c r="F24" s="5">
        <f>'1.Food_security'!H25*'Step B weights'!F$50</f>
        <v>0.6977903753132001</v>
      </c>
      <c r="G24" s="5">
        <f>'1.Food_security'!I25*'Step B weights'!G$50</f>
        <v>0.12859576405532053</v>
      </c>
      <c r="I24" s="29" t="str">
        <f t="shared" si="0"/>
        <v>AoW4-Suite of solutions for traders and vendors that address constraints to sustainable healthy diets co-developed, tested, and scaled with technical support and country engagement.</v>
      </c>
      <c r="J24" s="5">
        <f>'2.Poverty_reduction'!D25*'Step B weights'!J$50</f>
        <v>9.4732216685328399E-2</v>
      </c>
      <c r="K24" s="5">
        <f>'2.Poverty_reduction'!E25*'Step B weights'!K$50</f>
        <v>0.10142636809444611</v>
      </c>
      <c r="L24" s="5">
        <f>'2.Poverty_reduction'!F25*'Step B weights'!L$50</f>
        <v>0.97726602850353206</v>
      </c>
      <c r="M24" s="5">
        <f>'2.Poverty_reduction'!G25*'Step B weights'!M$50</f>
        <v>1.1075948435868852</v>
      </c>
      <c r="N24" s="5">
        <f>'2.Poverty_reduction'!H25*'Step B weights'!N$50</f>
        <v>0.64647084333479465</v>
      </c>
      <c r="O24" s="5">
        <f>'2.Poverty_reduction'!I25*'Step B weights'!O$50</f>
        <v>2.5143591452349776E-2</v>
      </c>
      <c r="Q24" s="29" t="str">
        <f t="shared" si="1"/>
        <v>AoW4-Suite of solutions for traders and vendors that address constraints to sustainable healthy diets co-developed, tested, and scaled with technical support and country engagement.</v>
      </c>
      <c r="R24" s="5">
        <f>'3.Social_inclusion'!D25*'Step B weights'!R$50</f>
        <v>0.28889736741701638</v>
      </c>
      <c r="S24" s="5">
        <f>'3.Social_inclusion'!E25*'Step B weights'!S$50</f>
        <v>0.48096146508966048</v>
      </c>
      <c r="T24" s="5">
        <f>'3.Social_inclusion'!F25*'Step B weights'!T$50</f>
        <v>0.70438763830599005</v>
      </c>
      <c r="U24" s="5">
        <f>'3.Social_inclusion'!G25*'Step B weights'!U$50</f>
        <v>0.5837466615795498</v>
      </c>
      <c r="V24" s="5">
        <f>'3.Social_inclusion'!H25*'Step B weights'!V$50</f>
        <v>0.51987790919496368</v>
      </c>
      <c r="W24" s="5">
        <f>'3.Social_inclusion'!I25*'Step B weights'!W$50</f>
        <v>0.27768027470431134</v>
      </c>
      <c r="Y24" s="29" t="str">
        <f t="shared" si="2"/>
        <v>AoW4-Suite of solutions for traders and vendors that address constraints to sustainable healthy diets co-developed, tested, and scaled with technical support and country engagement.</v>
      </c>
      <c r="Z24" s="5">
        <f>'4.Climate_adaptation'!D25*'Step B weights'!Z$50</f>
        <v>0.45149719734120053</v>
      </c>
      <c r="AA24" s="5">
        <f>'4.Climate_adaptation'!E25*'Step B weights'!AA$50</f>
        <v>0.18268955276714052</v>
      </c>
      <c r="AB24" s="5">
        <f>'4.Climate_adaptation'!F25*'Step B weights'!AB$50</f>
        <v>0.2459174379967479</v>
      </c>
      <c r="AC24" s="5">
        <f>'4.Climate_adaptation'!G25*'Step B weights'!AC$50</f>
        <v>0.37251768879455155</v>
      </c>
      <c r="AD24" s="5">
        <f>'4.Climate_adaptation'!H25*'Step B weights'!AD$50</f>
        <v>0.78802125480165031</v>
      </c>
      <c r="AE24" s="5">
        <f>'4.Climate_adaptation'!I25*'Step B weights'!AE$50</f>
        <v>0.73360826962810866</v>
      </c>
      <c r="AG24" s="29" t="str">
        <f t="shared" si="3"/>
        <v>AoW4-Suite of solutions for traders and vendors that address constraints to sustainable healthy diets co-developed, tested, and scaled with technical support and country engagement.</v>
      </c>
      <c r="AH24" s="5">
        <f>'5.Environmental_health'!D25*'Step B weights'!AH$50</f>
        <v>0.45149719734120053</v>
      </c>
      <c r="AI24" s="5">
        <f>'5.Environmental_health'!E25*'Step B weights'!AI$50</f>
        <v>0.18268955276714052</v>
      </c>
      <c r="AJ24" s="5">
        <f>'5.Environmental_health'!F25*'Step B weights'!AJ$50</f>
        <v>0.2459174379967479</v>
      </c>
      <c r="AK24" s="5">
        <f>'5.Environmental_health'!G25*'Step B weights'!AK$50</f>
        <v>0.37251768879455155</v>
      </c>
      <c r="AL24" s="5">
        <f>'5.Environmental_health'!H25*'Step B weights'!AL$50</f>
        <v>0.78802125480165031</v>
      </c>
      <c r="AM24" s="5">
        <f>'5.Environmental_health'!I25*'Step B weights'!AM$50</f>
        <v>0.73360826962810866</v>
      </c>
    </row>
    <row r="25" spans="1:39">
      <c r="A25" s="30" t="str">
        <f>IF(NOT(ISBLANK(HLOs!D23)),HLOs!D23,"")</f>
        <v>AoW4-Suite of solutions to support consumers awareness, preference, affordability, and utilization of biofortified and health-enhancing crops in their diets.</v>
      </c>
      <c r="B25" s="5">
        <f>'1.Food_security'!D26*'Step B weights'!B$50</f>
        <v>0.12793336829685956</v>
      </c>
      <c r="C25" s="5">
        <f>'1.Food_security'!E26*'Step B weights'!C$50</f>
        <v>0.28049576670972537</v>
      </c>
      <c r="D25" s="5">
        <f>'1.Food_security'!F26*'Step B weights'!D$50</f>
        <v>0.60019802587334148</v>
      </c>
      <c r="E25" s="5">
        <f>'1.Food_security'!G26*'Step B weights'!E$50</f>
        <v>0.45855129727924204</v>
      </c>
      <c r="F25" s="5">
        <f>'1.Food_security'!H26*'Step B weights'!F$50</f>
        <v>0.6977903753132001</v>
      </c>
      <c r="G25" s="5">
        <f>'1.Food_security'!I26*'Step B weights'!G$50</f>
        <v>0.12859576405532053</v>
      </c>
      <c r="I25" s="29" t="str">
        <f t="shared" si="0"/>
        <v>AoW4-Suite of solutions to support consumers awareness, preference, affordability, and utilization of biofortified and health-enhancing crops in their diets.</v>
      </c>
      <c r="J25" s="5">
        <f>'2.Poverty_reduction'!D26*'Step B weights'!J$50</f>
        <v>9.4732216685328399E-2</v>
      </c>
      <c r="K25" s="5">
        <f>'2.Poverty_reduction'!E26*'Step B weights'!K$50</f>
        <v>0.10142636809444611</v>
      </c>
      <c r="L25" s="5">
        <f>'2.Poverty_reduction'!F26*'Step B weights'!L$50</f>
        <v>0.65151068566902137</v>
      </c>
      <c r="M25" s="5">
        <f>'2.Poverty_reduction'!G26*'Step B weights'!M$50</f>
        <v>0.73839656239125684</v>
      </c>
      <c r="N25" s="5">
        <f>'2.Poverty_reduction'!H26*'Step B weights'!N$50</f>
        <v>0.64647084333479465</v>
      </c>
      <c r="O25" s="5">
        <f>'2.Poverty_reduction'!I26*'Step B weights'!O$50</f>
        <v>2.5143591452349776E-2</v>
      </c>
      <c r="Q25" s="29" t="str">
        <f t="shared" si="1"/>
        <v>AoW4-Suite of solutions to support consumers awareness, preference, affordability, and utilization of biofortified and health-enhancing crops in their diets.</v>
      </c>
      <c r="R25" s="5">
        <f>'3.Social_inclusion'!D26*'Step B weights'!R$50</f>
        <v>0.28889736741701638</v>
      </c>
      <c r="S25" s="5">
        <f>'3.Social_inclusion'!E26*'Step B weights'!S$50</f>
        <v>0.48096146508966048</v>
      </c>
      <c r="T25" s="5">
        <f>'3.Social_inclusion'!F26*'Step B weights'!T$50</f>
        <v>0.46959175887066001</v>
      </c>
      <c r="U25" s="5">
        <f>'3.Social_inclusion'!G26*'Step B weights'!U$50</f>
        <v>0.38916444105303322</v>
      </c>
      <c r="V25" s="5">
        <f>'3.Social_inclusion'!H26*'Step B weights'!V$50</f>
        <v>0.34658527279664247</v>
      </c>
      <c r="W25" s="5">
        <f>'3.Social_inclusion'!I26*'Step B weights'!W$50</f>
        <v>0.18512018313620757</v>
      </c>
      <c r="Y25" s="29" t="str">
        <f t="shared" si="2"/>
        <v>AoW4-Suite of solutions to support consumers awareness, preference, affordability, and utilization of biofortified and health-enhancing crops in their diets.</v>
      </c>
      <c r="Z25" s="5">
        <f>'4.Climate_adaptation'!D26*'Step B weights'!Z$50</f>
        <v>0.45149719734120053</v>
      </c>
      <c r="AA25" s="5">
        <f>'4.Climate_adaptation'!E26*'Step B weights'!AA$50</f>
        <v>0.18268955276714052</v>
      </c>
      <c r="AB25" s="5">
        <f>'4.Climate_adaptation'!F26*'Step B weights'!AB$50</f>
        <v>0.1639449586644986</v>
      </c>
      <c r="AC25" s="5">
        <f>'4.Climate_adaptation'!G26*'Step B weights'!AC$50</f>
        <v>0.24834512586303437</v>
      </c>
      <c r="AD25" s="5">
        <f>'4.Climate_adaptation'!H26*'Step B weights'!AD$50</f>
        <v>0.78802125480165031</v>
      </c>
      <c r="AE25" s="5">
        <f>'4.Climate_adaptation'!I26*'Step B weights'!AE$50</f>
        <v>0.48907217975207246</v>
      </c>
      <c r="AG25" s="29" t="str">
        <f t="shared" si="3"/>
        <v>AoW4-Suite of solutions to support consumers awareness, preference, affordability, and utilization of biofortified and health-enhancing crops in their diets.</v>
      </c>
      <c r="AH25" s="5">
        <f>'5.Environmental_health'!D26*'Step B weights'!AH$50</f>
        <v>0.45149719734120053</v>
      </c>
      <c r="AI25" s="5">
        <f>'5.Environmental_health'!E26*'Step B weights'!AI$50</f>
        <v>0.18268955276714052</v>
      </c>
      <c r="AJ25" s="5">
        <f>'5.Environmental_health'!F26*'Step B weights'!AJ$50</f>
        <v>0.1639449586644986</v>
      </c>
      <c r="AK25" s="5">
        <f>'5.Environmental_health'!G26*'Step B weights'!AK$50</f>
        <v>0.24834512586303437</v>
      </c>
      <c r="AL25" s="5">
        <f>'5.Environmental_health'!H26*'Step B weights'!AL$50</f>
        <v>0.78802125480165031</v>
      </c>
      <c r="AM25" s="5">
        <f>'5.Environmental_health'!I26*'Step B weights'!AM$50</f>
        <v>0.73360826962810866</v>
      </c>
    </row>
    <row r="26" spans="1:39">
      <c r="A26" s="30" t="str">
        <f>IF(NOT(ISBLANK(HLOs!D24)),HLOs!D24,"")</f>
        <v>AoW5-Suite of multisectoral solutions for government and non-government organizations that address constraints to sustainable healthy diets co-developed, tested, and scaled with technical support and country engagement</v>
      </c>
      <c r="B26" s="5">
        <f>'1.Food_security'!D27*'Step B weights'!B$50</f>
        <v>0.12793336829685956</v>
      </c>
      <c r="C26" s="5">
        <f>'1.Food_security'!E27*'Step B weights'!C$50</f>
        <v>0</v>
      </c>
      <c r="D26" s="5">
        <f>'1.Food_security'!F27*'Step B weights'!D$50</f>
        <v>0.80026403449778871</v>
      </c>
      <c r="E26" s="5">
        <f>'1.Food_security'!G27*'Step B weights'!E$50</f>
        <v>0.91710259455848409</v>
      </c>
      <c r="F26" s="5">
        <f>'1.Food_security'!H27*'Step B weights'!F$50</f>
        <v>1.3955807506264002</v>
      </c>
      <c r="G26" s="5">
        <f>'1.Food_security'!I27*'Step B weights'!G$50</f>
        <v>0.25719152811064105</v>
      </c>
      <c r="I26" s="29" t="str">
        <f t="shared" ref="I26:I31" si="4">A26</f>
        <v>AoW5-Suite of multisectoral solutions for government and non-government organizations that address constraints to sustainable healthy diets co-developed, tested, and scaled with technical support and country engagement</v>
      </c>
      <c r="J26" s="5">
        <f>'2.Poverty_reduction'!D27*'Step B weights'!J$50</f>
        <v>4.73661083426642E-2</v>
      </c>
      <c r="K26" s="5">
        <f>'2.Poverty_reduction'!E27*'Step B weights'!K$50</f>
        <v>3.3808789364815371E-2</v>
      </c>
      <c r="L26" s="5">
        <f>'2.Poverty_reduction'!F27*'Step B weights'!L$50</f>
        <v>0.65151068566902137</v>
      </c>
      <c r="M26" s="5">
        <f>'2.Poverty_reduction'!G27*'Step B weights'!M$50</f>
        <v>0.73839656239125684</v>
      </c>
      <c r="N26" s="5">
        <f>'2.Poverty_reduction'!H27*'Step B weights'!N$50</f>
        <v>0.43098056222319642</v>
      </c>
      <c r="O26" s="5">
        <f>'2.Poverty_reduction'!I27*'Step B weights'!O$50</f>
        <v>1.6762394301566518E-2</v>
      </c>
      <c r="Q26" s="29" t="str">
        <f t="shared" ref="Q26:Q31" si="5">A26</f>
        <v>AoW5-Suite of multisectoral solutions for government and non-government organizations that address constraints to sustainable healthy diets co-developed, tested, and scaled with technical support and country engagement</v>
      </c>
      <c r="R26" s="5">
        <f>'3.Social_inclusion'!D27*'Step B weights'!R$50</f>
        <v>0.28889736741701638</v>
      </c>
      <c r="S26" s="5">
        <f>'3.Social_inclusion'!E27*'Step B weights'!S$50</f>
        <v>0</v>
      </c>
      <c r="T26" s="5">
        <f>'3.Social_inclusion'!F27*'Step B weights'!T$50</f>
        <v>0.70438763830599005</v>
      </c>
      <c r="U26" s="5">
        <f>'3.Social_inclusion'!G27*'Step B weights'!U$50</f>
        <v>0.77832888210606643</v>
      </c>
      <c r="V26" s="5">
        <f>'3.Social_inclusion'!H27*'Step B weights'!V$50</f>
        <v>0.69317054559328495</v>
      </c>
      <c r="W26" s="5">
        <f>'3.Social_inclusion'!I27*'Step B weights'!W$50</f>
        <v>0.27768027470431134</v>
      </c>
      <c r="Y26" s="29" t="str">
        <f t="shared" ref="Y26:Y31" si="6">A26</f>
        <v>AoW5-Suite of multisectoral solutions for government and non-government organizations that address constraints to sustainable healthy diets co-developed, tested, and scaled with technical support and country engagement</v>
      </c>
      <c r="Z26" s="5">
        <f>'4.Climate_adaptation'!D27*'Step B weights'!Z$50</f>
        <v>0</v>
      </c>
      <c r="AA26" s="5">
        <f>'4.Climate_adaptation'!E27*'Step B weights'!AA$50</f>
        <v>0</v>
      </c>
      <c r="AB26" s="5">
        <f>'4.Climate_adaptation'!F27*'Step B weights'!AB$50</f>
        <v>0</v>
      </c>
      <c r="AC26" s="5">
        <f>'4.Climate_adaptation'!G27*'Step B weights'!AC$50</f>
        <v>0</v>
      </c>
      <c r="AD26" s="5">
        <f>'4.Climate_adaptation'!H27*'Step B weights'!AD$50</f>
        <v>0</v>
      </c>
      <c r="AE26" s="5">
        <f>'4.Climate_adaptation'!I27*'Step B weights'!AE$50</f>
        <v>0</v>
      </c>
      <c r="AG26" s="29" t="str">
        <f t="shared" ref="AG26:AG31" si="7">A26</f>
        <v>AoW5-Suite of multisectoral solutions for government and non-government organizations that address constraints to sustainable healthy diets co-developed, tested, and scaled with technical support and country engagement</v>
      </c>
      <c r="AH26" s="5">
        <f>'5.Environmental_health'!D27*'Step B weights'!AH$50</f>
        <v>0</v>
      </c>
      <c r="AI26" s="5">
        <f>'5.Environmental_health'!E27*'Step B weights'!AI$50</f>
        <v>0</v>
      </c>
      <c r="AJ26" s="5">
        <f>'5.Environmental_health'!F27*'Step B weights'!AJ$50</f>
        <v>0</v>
      </c>
      <c r="AK26" s="5">
        <f>'5.Environmental_health'!G27*'Step B weights'!AK$50</f>
        <v>0</v>
      </c>
      <c r="AL26" s="5">
        <f>'5.Environmental_health'!H27*'Step B weights'!AL$50</f>
        <v>0</v>
      </c>
      <c r="AM26" s="5">
        <f>'5.Environmental_health'!I27*'Step B weights'!AM$50</f>
        <v>0</v>
      </c>
    </row>
    <row r="27" spans="1:39">
      <c r="A27" s="30" t="str">
        <f>IF(NOT(ISBLANK(HLOs!D25)),HLOs!D25,"")</f>
        <v>AoW6-Synthesized knowledge products across AoWs and disseminated</v>
      </c>
      <c r="B27" s="5">
        <f>'1.Food_security'!D28*'Step B weights'!B$50</f>
        <v>0.12793336829685956</v>
      </c>
      <c r="C27" s="5">
        <f>'1.Food_security'!E28*'Step B weights'!C$50</f>
        <v>0.18699717780648359</v>
      </c>
      <c r="D27" s="5">
        <f>'1.Food_security'!F28*'Step B weights'!D$50</f>
        <v>0.60019802587334148</v>
      </c>
      <c r="E27" s="5">
        <f>'1.Food_security'!G28*'Step B weights'!E$50</f>
        <v>0.68782694591886306</v>
      </c>
      <c r="F27" s="5">
        <f>'1.Food_security'!H28*'Step B weights'!F$50</f>
        <v>1.0466855629698002</v>
      </c>
      <c r="G27" s="5">
        <f>'1.Food_security'!I28*'Step B weights'!G$50</f>
        <v>0.12859576405532053</v>
      </c>
      <c r="I27" s="29" t="str">
        <f t="shared" si="4"/>
        <v>AoW6-Synthesized knowledge products across AoWs and disseminated</v>
      </c>
      <c r="J27" s="5">
        <f>'2.Poverty_reduction'!D28*'Step B weights'!J$50</f>
        <v>0</v>
      </c>
      <c r="K27" s="5">
        <f>'2.Poverty_reduction'!E28*'Step B weights'!K$50</f>
        <v>0</v>
      </c>
      <c r="L27" s="5">
        <f>'2.Poverty_reduction'!F28*'Step B weights'!L$50</f>
        <v>0.97726602850353206</v>
      </c>
      <c r="M27" s="5">
        <f>'2.Poverty_reduction'!G28*'Step B weights'!M$50</f>
        <v>1.1075948435868852</v>
      </c>
      <c r="N27" s="5">
        <f>'2.Poverty_reduction'!H28*'Step B weights'!N$50</f>
        <v>0.43098056222319642</v>
      </c>
      <c r="O27" s="5">
        <f>'2.Poverty_reduction'!I28*'Step B weights'!O$50</f>
        <v>1.6762394301566518E-2</v>
      </c>
      <c r="Q27" s="29" t="str">
        <f t="shared" si="5"/>
        <v>AoW6-Synthesized knowledge products across AoWs and disseminated</v>
      </c>
      <c r="R27" s="5">
        <f>'3.Social_inclusion'!D28*'Step B weights'!R$50</f>
        <v>0</v>
      </c>
      <c r="S27" s="5">
        <f>'3.Social_inclusion'!E28*'Step B weights'!S$50</f>
        <v>0</v>
      </c>
      <c r="T27" s="5">
        <f>'3.Social_inclusion'!F28*'Step B weights'!T$50</f>
        <v>0.70438763830599005</v>
      </c>
      <c r="U27" s="5">
        <f>'3.Social_inclusion'!G28*'Step B weights'!U$50</f>
        <v>0.5837466615795498</v>
      </c>
      <c r="V27" s="5">
        <f>'3.Social_inclusion'!H28*'Step B weights'!V$50</f>
        <v>0.51987790919496368</v>
      </c>
      <c r="W27" s="5">
        <f>'3.Social_inclusion'!I28*'Step B weights'!W$50</f>
        <v>0.27768027470431134</v>
      </c>
      <c r="Y27" s="29" t="str">
        <f t="shared" si="6"/>
        <v>AoW6-Synthesized knowledge products across AoWs and disseminated</v>
      </c>
      <c r="Z27" s="5">
        <f>'4.Climate_adaptation'!D28*'Step B weights'!Z$50</f>
        <v>0.45149719734120053</v>
      </c>
      <c r="AA27" s="5">
        <f>'4.Climate_adaptation'!E28*'Step B weights'!AA$50</f>
        <v>0.12179303517809369</v>
      </c>
      <c r="AB27" s="5">
        <f>'4.Climate_adaptation'!F28*'Step B weights'!AB$50</f>
        <v>0.2459174379967479</v>
      </c>
      <c r="AC27" s="5">
        <f>'4.Climate_adaptation'!G28*'Step B weights'!AC$50</f>
        <v>0.37251768879455155</v>
      </c>
      <c r="AD27" s="5">
        <f>'4.Climate_adaptation'!H28*'Step B weights'!AD$50</f>
        <v>0.78802125480165031</v>
      </c>
      <c r="AE27" s="5">
        <f>'4.Climate_adaptation'!I28*'Step B weights'!AE$50</f>
        <v>0.48907217975207246</v>
      </c>
      <c r="AG27" s="29" t="str">
        <f t="shared" si="7"/>
        <v>AoW6-Synthesized knowledge products across AoWs and disseminated</v>
      </c>
      <c r="AH27" s="5">
        <f>'5.Environmental_health'!D28*'Step B weights'!AH$50</f>
        <v>0.67724579601180079</v>
      </c>
      <c r="AI27" s="5">
        <f>'5.Environmental_health'!E28*'Step B weights'!AI$50</f>
        <v>0.18268955276714052</v>
      </c>
      <c r="AJ27" s="5">
        <f>'5.Environmental_health'!F28*'Step B weights'!AJ$50</f>
        <v>0.2459174379967479</v>
      </c>
      <c r="AK27" s="5">
        <f>'5.Environmental_health'!G28*'Step B weights'!AK$50</f>
        <v>0.37251768879455155</v>
      </c>
      <c r="AL27" s="5">
        <f>'5.Environmental_health'!H28*'Step B weights'!AL$50</f>
        <v>0.78802125480165031</v>
      </c>
      <c r="AM27" s="5">
        <f>'5.Environmental_health'!I28*'Step B weights'!AM$50</f>
        <v>0.73360826962810866</v>
      </c>
    </row>
    <row r="28" spans="1:39">
      <c r="A28" s="30" t="str">
        <f>IF(NOT(ISBLANK(HLOs!D26)),HLOs!D26,"")</f>
        <v>AoW6-Regional food systems transformation coordination mechanisms disseminated</v>
      </c>
      <c r="B28" s="5">
        <f>'1.Food_security'!D29*'Step B weights'!B$50</f>
        <v>0.19190005244528935</v>
      </c>
      <c r="C28" s="5">
        <f>'1.Food_security'!E29*'Step B weights'!C$50</f>
        <v>0.28049576670972537</v>
      </c>
      <c r="D28" s="5">
        <f>'1.Food_security'!F29*'Step B weights'!D$50</f>
        <v>0.80026403449778871</v>
      </c>
      <c r="E28" s="5">
        <f>'1.Food_security'!G29*'Step B weights'!E$50</f>
        <v>0.91710259455848409</v>
      </c>
      <c r="F28" s="5">
        <f>'1.Food_security'!H29*'Step B weights'!F$50</f>
        <v>1.3955807506264002</v>
      </c>
      <c r="G28" s="5">
        <f>'1.Food_security'!I29*'Step B weights'!G$50</f>
        <v>0.25719152811064105</v>
      </c>
      <c r="I28" s="29" t="str">
        <f t="shared" si="4"/>
        <v>AoW6-Regional food systems transformation coordination mechanisms disseminated</v>
      </c>
      <c r="J28" s="5">
        <f>'2.Poverty_reduction'!D29*'Step B weights'!J$50</f>
        <v>0</v>
      </c>
      <c r="K28" s="5">
        <f>'2.Poverty_reduction'!E29*'Step B weights'!K$50</f>
        <v>0</v>
      </c>
      <c r="L28" s="5">
        <f>'2.Poverty_reduction'!F29*'Step B weights'!L$50</f>
        <v>0.97726602850353206</v>
      </c>
      <c r="M28" s="5">
        <f>'2.Poverty_reduction'!G29*'Step B weights'!M$50</f>
        <v>1.1075948435868852</v>
      </c>
      <c r="N28" s="5">
        <f>'2.Poverty_reduction'!H29*'Step B weights'!N$50</f>
        <v>0.43098056222319642</v>
      </c>
      <c r="O28" s="5">
        <f>'2.Poverty_reduction'!I29*'Step B weights'!O$50</f>
        <v>1.6762394301566518E-2</v>
      </c>
      <c r="Q28" s="29" t="str">
        <f t="shared" si="5"/>
        <v>AoW6-Regional food systems transformation coordination mechanisms disseminated</v>
      </c>
      <c r="R28" s="5">
        <f>'3.Social_inclusion'!D29*'Step B weights'!R$50</f>
        <v>0</v>
      </c>
      <c r="S28" s="5">
        <f>'3.Social_inclusion'!E29*'Step B weights'!S$50</f>
        <v>0</v>
      </c>
      <c r="T28" s="5">
        <f>'3.Social_inclusion'!F29*'Step B weights'!T$50</f>
        <v>0.46959175887066001</v>
      </c>
      <c r="U28" s="5">
        <f>'3.Social_inclusion'!G29*'Step B weights'!U$50</f>
        <v>0.38916444105303322</v>
      </c>
      <c r="V28" s="5">
        <f>'3.Social_inclusion'!H29*'Step B weights'!V$50</f>
        <v>0.34658527279664247</v>
      </c>
      <c r="W28" s="5">
        <f>'3.Social_inclusion'!I29*'Step B weights'!W$50</f>
        <v>0.18512018313620757</v>
      </c>
      <c r="Y28" s="29" t="str">
        <f t="shared" si="6"/>
        <v>AoW6-Regional food systems transformation coordination mechanisms disseminated</v>
      </c>
      <c r="Z28" s="5">
        <f>'4.Climate_adaptation'!D29*'Step B weights'!Z$50</f>
        <v>0.67724579601180079</v>
      </c>
      <c r="AA28" s="5">
        <f>'4.Climate_adaptation'!E29*'Step B weights'!AA$50</f>
        <v>0.18268955276714052</v>
      </c>
      <c r="AB28" s="5">
        <f>'4.Climate_adaptation'!F29*'Step B weights'!AB$50</f>
        <v>0.2459174379967479</v>
      </c>
      <c r="AC28" s="5">
        <f>'4.Climate_adaptation'!G29*'Step B weights'!AC$50</f>
        <v>0.37251768879455155</v>
      </c>
      <c r="AD28" s="5">
        <f>'4.Climate_adaptation'!H29*'Step B weights'!AD$50</f>
        <v>0.78802125480165031</v>
      </c>
      <c r="AE28" s="5">
        <f>'4.Climate_adaptation'!I29*'Step B weights'!AE$50</f>
        <v>0.73360826962810866</v>
      </c>
      <c r="AG28" s="29" t="str">
        <f t="shared" si="7"/>
        <v>AoW6-Regional food systems transformation coordination mechanisms disseminated</v>
      </c>
      <c r="AH28" s="5">
        <f>'5.Environmental_health'!D29*'Step B weights'!AH$50</f>
        <v>0.90299439468240106</v>
      </c>
      <c r="AI28" s="5">
        <f>'5.Environmental_health'!E29*'Step B weights'!AI$50</f>
        <v>0.24358607035618737</v>
      </c>
      <c r="AJ28" s="5">
        <f>'5.Environmental_health'!F29*'Step B weights'!AJ$50</f>
        <v>0.32788991732899719</v>
      </c>
      <c r="AK28" s="5">
        <f>'5.Environmental_health'!G29*'Step B weights'!AK$50</f>
        <v>0.49669025172606873</v>
      </c>
      <c r="AL28" s="5">
        <f>'5.Environmental_health'!H29*'Step B weights'!AL$50</f>
        <v>1.0506950064022005</v>
      </c>
      <c r="AM28" s="5">
        <f>'5.Environmental_health'!I29*'Step B weights'!AM$50</f>
        <v>0.97814435950414491</v>
      </c>
    </row>
    <row r="29" spans="1:39">
      <c r="A29" s="30" t="str">
        <f>IF(NOT(ISBLANK(HLOs!D27)),HLOs!D27,"")</f>
        <v>AoW6-Targeted capacity-sharing events addressing evidence to policy actions and strategic engagement to influence food systems thinking to promote positive transformative change among different stakeholders including CoPs.</v>
      </c>
      <c r="B29" s="5">
        <f>'1.Food_security'!D30*'Step B weights'!B$50</f>
        <v>0.19190005244528935</v>
      </c>
      <c r="C29" s="5">
        <f>'1.Food_security'!E30*'Step B weights'!C$50</f>
        <v>0.28049576670972537</v>
      </c>
      <c r="D29" s="5">
        <f>'1.Food_security'!F30*'Step B weights'!D$50</f>
        <v>0.60019802587334148</v>
      </c>
      <c r="E29" s="5">
        <f>'1.Food_security'!G30*'Step B weights'!E$50</f>
        <v>0.45855129727924204</v>
      </c>
      <c r="F29" s="5">
        <f>'1.Food_security'!H30*'Step B weights'!F$50</f>
        <v>0.6977903753132001</v>
      </c>
      <c r="G29" s="5">
        <f>'1.Food_security'!I30*'Step B weights'!G$50</f>
        <v>0.19289364608298079</v>
      </c>
      <c r="I29" s="29" t="str">
        <f t="shared" si="4"/>
        <v>AoW6-Targeted capacity-sharing events addressing evidence to policy actions and strategic engagement to influence food systems thinking to promote positive transformative change among different stakeholders including CoPs.</v>
      </c>
      <c r="J29" s="5">
        <f>'2.Poverty_reduction'!D30*'Step B weights'!J$50</f>
        <v>0</v>
      </c>
      <c r="K29" s="5">
        <f>'2.Poverty_reduction'!E30*'Step B weights'!K$50</f>
        <v>0</v>
      </c>
      <c r="L29" s="5">
        <f>'2.Poverty_reduction'!F30*'Step B weights'!L$50</f>
        <v>0.97726602850353206</v>
      </c>
      <c r="M29" s="5">
        <f>'2.Poverty_reduction'!G30*'Step B weights'!M$50</f>
        <v>1.1075948435868852</v>
      </c>
      <c r="N29" s="5">
        <f>'2.Poverty_reduction'!H30*'Step B weights'!N$50</f>
        <v>0.43098056222319642</v>
      </c>
      <c r="O29" s="5">
        <f>'2.Poverty_reduction'!I30*'Step B weights'!O$50</f>
        <v>1.6762394301566518E-2</v>
      </c>
      <c r="Q29" s="29" t="str">
        <f t="shared" si="5"/>
        <v>AoW6-Targeted capacity-sharing events addressing evidence to policy actions and strategic engagement to influence food systems thinking to promote positive transformative change among different stakeholders including CoPs.</v>
      </c>
      <c r="R29" s="5">
        <f>'3.Social_inclusion'!D30*'Step B weights'!R$50</f>
        <v>0</v>
      </c>
      <c r="S29" s="5">
        <f>'3.Social_inclusion'!E30*'Step B weights'!S$50</f>
        <v>0</v>
      </c>
      <c r="T29" s="5">
        <f>'3.Social_inclusion'!F30*'Step B weights'!T$50</f>
        <v>0.70438763830599005</v>
      </c>
      <c r="U29" s="5">
        <f>'3.Social_inclusion'!G30*'Step B weights'!U$50</f>
        <v>0.5837466615795498</v>
      </c>
      <c r="V29" s="5">
        <f>'3.Social_inclusion'!H30*'Step B weights'!V$50</f>
        <v>0.51987790919496368</v>
      </c>
      <c r="W29" s="5">
        <f>'3.Social_inclusion'!I30*'Step B weights'!W$50</f>
        <v>0.27768027470431134</v>
      </c>
      <c r="Y29" s="29" t="str">
        <f t="shared" si="6"/>
        <v>AoW6-Targeted capacity-sharing events addressing evidence to policy actions and strategic engagement to influence food systems thinking to promote positive transformative change among different stakeholders including CoPs.</v>
      </c>
      <c r="Z29" s="5">
        <f>'4.Climate_adaptation'!D30*'Step B weights'!Z$50</f>
        <v>0.67724579601180079</v>
      </c>
      <c r="AA29" s="5">
        <f>'4.Climate_adaptation'!E30*'Step B weights'!AA$50</f>
        <v>0.18268955276714052</v>
      </c>
      <c r="AB29" s="5">
        <f>'4.Climate_adaptation'!F30*'Step B weights'!AB$50</f>
        <v>0.2459174379967479</v>
      </c>
      <c r="AC29" s="5">
        <f>'4.Climate_adaptation'!G30*'Step B weights'!AC$50</f>
        <v>0.37251768879455155</v>
      </c>
      <c r="AD29" s="5">
        <f>'4.Climate_adaptation'!H30*'Step B weights'!AD$50</f>
        <v>0.78802125480165031</v>
      </c>
      <c r="AE29" s="5">
        <f>'4.Climate_adaptation'!I30*'Step B weights'!AE$50</f>
        <v>0.73360826962810866</v>
      </c>
      <c r="AG29" s="29" t="str">
        <f t="shared" si="7"/>
        <v>AoW6-Targeted capacity-sharing events addressing evidence to policy actions and strategic engagement to influence food systems thinking to promote positive transformative change among different stakeholders including CoPs.</v>
      </c>
      <c r="AH29" s="5">
        <f>'5.Environmental_health'!D30*'Step B weights'!AH$50</f>
        <v>0.67724579601180079</v>
      </c>
      <c r="AI29" s="5">
        <f>'5.Environmental_health'!E30*'Step B weights'!AI$50</f>
        <v>0.18268955276714052</v>
      </c>
      <c r="AJ29" s="5">
        <f>'5.Environmental_health'!F30*'Step B weights'!AJ$50</f>
        <v>0.2459174379967479</v>
      </c>
      <c r="AK29" s="5">
        <f>'5.Environmental_health'!G30*'Step B weights'!AK$50</f>
        <v>0.37251768879455155</v>
      </c>
      <c r="AL29" s="5">
        <f>'5.Environmental_health'!H30*'Step B weights'!AL$50</f>
        <v>0.78802125480165031</v>
      </c>
      <c r="AM29" s="5">
        <f>'5.Environmental_health'!I30*'Step B weights'!AM$50</f>
        <v>0.73360826962810866</v>
      </c>
    </row>
    <row r="30" spans="1:39">
      <c r="A30" s="30" t="str">
        <f>IF(NOT(ISBLANK(HLOs!D28)),HLOs!D28,"")</f>
        <v>AoW6-Regional, continental FS leadership development events to promote BDN outcomes for FST</v>
      </c>
      <c r="B30" s="5">
        <f>'1.Food_security'!D31*'Step B weights'!B$50</f>
        <v>0.19190005244528935</v>
      </c>
      <c r="C30" s="5">
        <f>'1.Food_security'!E31*'Step B weights'!C$50</f>
        <v>0.28049576670972537</v>
      </c>
      <c r="D30" s="5">
        <f>'1.Food_security'!F31*'Step B weights'!D$50</f>
        <v>0.40013201724889436</v>
      </c>
      <c r="E30" s="5">
        <f>'1.Food_security'!G31*'Step B weights'!E$50</f>
        <v>0.45855129727924204</v>
      </c>
      <c r="F30" s="5">
        <f>'1.Food_security'!H31*'Step B weights'!F$50</f>
        <v>0.6977903753132001</v>
      </c>
      <c r="G30" s="5">
        <f>'1.Food_security'!I31*'Step B weights'!G$50</f>
        <v>0.19289364608298079</v>
      </c>
      <c r="I30" s="29" t="str">
        <f t="shared" si="4"/>
        <v>AoW6-Regional, continental FS leadership development events to promote BDN outcomes for FST</v>
      </c>
      <c r="J30" s="5">
        <f>'2.Poverty_reduction'!D31*'Step B weights'!J$50</f>
        <v>0</v>
      </c>
      <c r="K30" s="5">
        <f>'2.Poverty_reduction'!E31*'Step B weights'!K$50</f>
        <v>0</v>
      </c>
      <c r="L30" s="5">
        <f>'2.Poverty_reduction'!F31*'Step B weights'!L$50</f>
        <v>0.97726602850353206</v>
      </c>
      <c r="M30" s="5">
        <f>'2.Poverty_reduction'!G31*'Step B weights'!M$50</f>
        <v>1.1075948435868852</v>
      </c>
      <c r="N30" s="5">
        <f>'2.Poverty_reduction'!H31*'Step B weights'!N$50</f>
        <v>0.43098056222319642</v>
      </c>
      <c r="O30" s="5">
        <f>'2.Poverty_reduction'!I31*'Step B weights'!O$50</f>
        <v>1.6762394301566518E-2</v>
      </c>
      <c r="Q30" s="29" t="str">
        <f t="shared" si="5"/>
        <v>AoW6-Regional, continental FS leadership development events to promote BDN outcomes for FST</v>
      </c>
      <c r="R30" s="5">
        <f>'3.Social_inclusion'!D31*'Step B weights'!R$50</f>
        <v>0</v>
      </c>
      <c r="S30" s="5">
        <f>'3.Social_inclusion'!E31*'Step B weights'!S$50</f>
        <v>0</v>
      </c>
      <c r="T30" s="5">
        <f>'3.Social_inclusion'!F31*'Step B weights'!T$50</f>
        <v>0</v>
      </c>
      <c r="U30" s="5">
        <f>'3.Social_inclusion'!G31*'Step B weights'!U$50</f>
        <v>0.5837466615795498</v>
      </c>
      <c r="V30" s="5">
        <f>'3.Social_inclusion'!H31*'Step B weights'!V$50</f>
        <v>0.51987790919496368</v>
      </c>
      <c r="W30" s="5">
        <f>'3.Social_inclusion'!I31*'Step B weights'!W$50</f>
        <v>0.27768027470431134</v>
      </c>
      <c r="Y30" s="29" t="str">
        <f t="shared" si="6"/>
        <v>AoW6-Regional, continental FS leadership development events to promote BDN outcomes for FST</v>
      </c>
      <c r="Z30" s="5">
        <f>'4.Climate_adaptation'!D31*'Step B weights'!Z$50</f>
        <v>0.45149719734120053</v>
      </c>
      <c r="AA30" s="5">
        <f>'4.Climate_adaptation'!E31*'Step B weights'!AA$50</f>
        <v>0.12179303517809369</v>
      </c>
      <c r="AB30" s="5">
        <f>'4.Climate_adaptation'!F31*'Step B weights'!AB$50</f>
        <v>0.2459174379967479</v>
      </c>
      <c r="AC30" s="5">
        <f>'4.Climate_adaptation'!G31*'Step B weights'!AC$50</f>
        <v>0.37251768879455155</v>
      </c>
      <c r="AD30" s="5">
        <f>'4.Climate_adaptation'!H31*'Step B weights'!AD$50</f>
        <v>0.78802125480165031</v>
      </c>
      <c r="AE30" s="5">
        <f>'4.Climate_adaptation'!I31*'Step B weights'!AE$50</f>
        <v>0.48907217975207246</v>
      </c>
      <c r="AG30" s="29" t="str">
        <f t="shared" si="7"/>
        <v>AoW6-Regional, continental FS leadership development events to promote BDN outcomes for FST</v>
      </c>
      <c r="AH30" s="5">
        <f>'5.Environmental_health'!D31*'Step B weights'!AH$50</f>
        <v>0.45149719734120053</v>
      </c>
      <c r="AI30" s="5">
        <f>'5.Environmental_health'!E31*'Step B weights'!AI$50</f>
        <v>0.12179303517809369</v>
      </c>
      <c r="AJ30" s="5">
        <f>'5.Environmental_health'!F31*'Step B weights'!AJ$50</f>
        <v>0.1639449586644986</v>
      </c>
      <c r="AK30" s="5">
        <f>'5.Environmental_health'!G31*'Step B weights'!AK$50</f>
        <v>0.37251768879455155</v>
      </c>
      <c r="AL30" s="5">
        <f>'5.Environmental_health'!H31*'Step B weights'!AL$50</f>
        <v>0.78802125480165031</v>
      </c>
      <c r="AM30" s="5">
        <f>'5.Environmental_health'!I31*'Step B weights'!AM$50</f>
        <v>0.73360826962810866</v>
      </c>
    </row>
    <row r="31" spans="1:39">
      <c r="A31" s="30" t="str">
        <f>IF(NOT(ISBLANK(HLOs!D29)),HLOs!D29,"")</f>
        <v>AoW6-Task force that guides the CGIAR Portfolio along pathways that lead to credible impacts on nutrition, health, and food security</v>
      </c>
      <c r="B31" s="5">
        <f>'1.Food_security'!D32*'Step B weights'!B$50</f>
        <v>0.19190005244528935</v>
      </c>
      <c r="C31" s="5">
        <f>'1.Food_security'!E32*'Step B weights'!C$50</f>
        <v>0.28049576670972537</v>
      </c>
      <c r="D31" s="5">
        <f>'1.Food_security'!F32*'Step B weights'!D$50</f>
        <v>0.60019802587334148</v>
      </c>
      <c r="E31" s="5">
        <f>'1.Food_security'!G32*'Step B weights'!E$50</f>
        <v>0.68782694591886306</v>
      </c>
      <c r="F31" s="5">
        <f>'1.Food_security'!H32*'Step B weights'!F$50</f>
        <v>1.0466855629698002</v>
      </c>
      <c r="G31" s="5">
        <f>'1.Food_security'!I32*'Step B weights'!G$50</f>
        <v>0.19289364608298079</v>
      </c>
      <c r="I31" s="29" t="str">
        <f t="shared" si="4"/>
        <v>AoW6-Task force that guides the CGIAR Portfolio along pathways that lead to credible impacts on nutrition, health, and food security</v>
      </c>
      <c r="J31" s="5">
        <f>'2.Poverty_reduction'!D32*'Step B weights'!J$50</f>
        <v>0.14209832502799261</v>
      </c>
      <c r="K31" s="5">
        <f>'2.Poverty_reduction'!E32*'Step B weights'!K$50</f>
        <v>0.10142636809444611</v>
      </c>
      <c r="L31" s="5">
        <f>'2.Poverty_reduction'!F32*'Step B weights'!L$50</f>
        <v>1.3030213713380427</v>
      </c>
      <c r="M31" s="5">
        <f>'2.Poverty_reduction'!G32*'Step B weights'!M$50</f>
        <v>1.4767931247825137</v>
      </c>
      <c r="N31" s="5">
        <f>'2.Poverty_reduction'!H32*'Step B weights'!N$50</f>
        <v>0.64647084333479465</v>
      </c>
      <c r="O31" s="5">
        <f>'2.Poverty_reduction'!I32*'Step B weights'!O$50</f>
        <v>2.5143591452349776E-2</v>
      </c>
      <c r="Q31" s="29" t="str">
        <f t="shared" si="5"/>
        <v>AoW6-Task force that guides the CGIAR Portfolio along pathways that lead to credible impacts on nutrition, health, and food security</v>
      </c>
      <c r="R31" s="5">
        <f>'3.Social_inclusion'!D32*'Step B weights'!R$50</f>
        <v>0.4333460511255246</v>
      </c>
      <c r="S31" s="5">
        <f>'3.Social_inclusion'!E32*'Step B weights'!S$50</f>
        <v>0.48096146508966048</v>
      </c>
      <c r="T31" s="5">
        <f>'3.Social_inclusion'!F32*'Step B weights'!T$50</f>
        <v>0.70438763830599005</v>
      </c>
      <c r="U31" s="5">
        <f>'3.Social_inclusion'!G32*'Step B weights'!U$50</f>
        <v>0.5837466615795498</v>
      </c>
      <c r="V31" s="5">
        <f>'3.Social_inclusion'!H32*'Step B weights'!V$50</f>
        <v>0.51987790919496368</v>
      </c>
      <c r="W31" s="5">
        <f>'3.Social_inclusion'!I32*'Step B weights'!W$50</f>
        <v>0.27768027470431134</v>
      </c>
      <c r="Y31" s="29" t="str">
        <f t="shared" si="6"/>
        <v>AoW6-Task force that guides the CGIAR Portfolio along pathways that lead to credible impacts on nutrition, health, and food security</v>
      </c>
      <c r="Z31" s="5">
        <f>'4.Climate_adaptation'!D32*'Step B weights'!Z$50</f>
        <v>0.67724579601180079</v>
      </c>
      <c r="AA31" s="5">
        <f>'4.Climate_adaptation'!E32*'Step B weights'!AA$50</f>
        <v>0.18268955276714052</v>
      </c>
      <c r="AB31" s="5">
        <f>'4.Climate_adaptation'!F32*'Step B weights'!AB$50</f>
        <v>0.2459174379967479</v>
      </c>
      <c r="AC31" s="5">
        <f>'4.Climate_adaptation'!G32*'Step B weights'!AC$50</f>
        <v>0.37251768879455155</v>
      </c>
      <c r="AD31" s="5">
        <f>'4.Climate_adaptation'!H32*'Step B weights'!AD$50</f>
        <v>0.78802125480165031</v>
      </c>
      <c r="AE31" s="5">
        <f>'4.Climate_adaptation'!I32*'Step B weights'!AE$50</f>
        <v>0.73360826962810866</v>
      </c>
      <c r="AG31" s="29" t="str">
        <f t="shared" si="7"/>
        <v>AoW6-Task force that guides the CGIAR Portfolio along pathways that lead to credible impacts on nutrition, health, and food security</v>
      </c>
      <c r="AH31" s="5">
        <f>'5.Environmental_health'!D32*'Step B weights'!AH$50</f>
        <v>0.90299439468240106</v>
      </c>
      <c r="AI31" s="5">
        <f>'5.Environmental_health'!E32*'Step B weights'!AI$50</f>
        <v>0.24358607035618737</v>
      </c>
      <c r="AJ31" s="5">
        <f>'5.Environmental_health'!F32*'Step B weights'!AJ$50</f>
        <v>0.32788991732899719</v>
      </c>
      <c r="AK31" s="5">
        <f>'5.Environmental_health'!G32*'Step B weights'!AK$50</f>
        <v>0.49669025172606873</v>
      </c>
      <c r="AL31" s="5">
        <f>'5.Environmental_health'!H32*'Step B weights'!AL$50</f>
        <v>1.0506950064022005</v>
      </c>
      <c r="AM31" s="5">
        <f>'5.Environmental_health'!I32*'Step B weights'!AM$50</f>
        <v>0.97814435950414491</v>
      </c>
    </row>
  </sheetData>
  <mergeCells count="1">
    <mergeCell ref="A1:P1"/>
  </mergeCells>
  <phoneticPr fontId="14" type="noConversion"/>
  <conditionalFormatting sqref="B10:G33">
    <cfRule type="colorScale" priority="65">
      <colorScale>
        <cfvo type="min"/>
        <cfvo type="percentile" val="50"/>
        <cfvo type="max"/>
        <color rgb="FFF8696B"/>
        <color rgb="FFFFEB84"/>
        <color rgb="FF63BE7B"/>
      </colorScale>
    </cfRule>
  </conditionalFormatting>
  <conditionalFormatting sqref="J10:O33">
    <cfRule type="colorScale" priority="67">
      <colorScale>
        <cfvo type="min"/>
        <cfvo type="percentile" val="50"/>
        <cfvo type="max"/>
        <color rgb="FFF8696B"/>
        <color rgb="FFFFEB84"/>
        <color rgb="FF63BE7B"/>
      </colorScale>
    </cfRule>
  </conditionalFormatting>
  <conditionalFormatting sqref="R10:W33">
    <cfRule type="colorScale" priority="69">
      <colorScale>
        <cfvo type="min"/>
        <cfvo type="percentile" val="50"/>
        <cfvo type="max"/>
        <color rgb="FFF8696B"/>
        <color rgb="FFFFEB84"/>
        <color rgb="FF63BE7B"/>
      </colorScale>
    </cfRule>
  </conditionalFormatting>
  <conditionalFormatting sqref="Z10:AE33">
    <cfRule type="colorScale" priority="71">
      <colorScale>
        <cfvo type="min"/>
        <cfvo type="percentile" val="50"/>
        <cfvo type="max"/>
        <color rgb="FFF8696B"/>
        <color rgb="FFFFEB84"/>
        <color rgb="FF63BE7B"/>
      </colorScale>
    </cfRule>
  </conditionalFormatting>
  <conditionalFormatting sqref="AH10:AM33">
    <cfRule type="colorScale" priority="73">
      <colorScale>
        <cfvo type="min"/>
        <cfvo type="percentile" val="50"/>
        <cfvo type="max"/>
        <color rgb="FFF8696B"/>
        <color rgb="FFFFEB84"/>
        <color rgb="FF63BE7B"/>
      </colorScale>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9F8B4-1AA8-44AC-9EF4-A0BD45099B84}">
  <dimension ref="A1:H40"/>
  <sheetViews>
    <sheetView workbookViewId="0">
      <selection activeCell="C6" sqref="C6:G6"/>
    </sheetView>
  </sheetViews>
  <sheetFormatPr defaultRowHeight="15"/>
  <cols>
    <col min="9" max="9" width="32.42578125" bestFit="1" customWidth="1"/>
    <col min="10" max="14" width="14.140625" customWidth="1"/>
  </cols>
  <sheetData>
    <row r="1" spans="1:8">
      <c r="A1" s="44"/>
      <c r="B1" s="43"/>
      <c r="C1" s="43"/>
      <c r="D1" s="43"/>
      <c r="E1" s="43"/>
      <c r="F1" s="43"/>
      <c r="G1" s="43"/>
      <c r="H1" s="43"/>
    </row>
    <row r="2" spans="1:8" ht="18.75">
      <c r="A2" s="41"/>
    </row>
    <row r="3" spans="1:8">
      <c r="A3" s="1"/>
    </row>
    <row r="4" spans="1:8">
      <c r="A4" s="1" t="s">
        <v>527</v>
      </c>
    </row>
    <row r="5" spans="1:8">
      <c r="A5" s="1"/>
      <c r="B5" s="1"/>
      <c r="C5" s="1" t="s">
        <v>528</v>
      </c>
      <c r="D5" s="1" t="s">
        <v>529</v>
      </c>
      <c r="E5" s="1" t="s">
        <v>529</v>
      </c>
      <c r="F5" s="1" t="s">
        <v>529</v>
      </c>
      <c r="G5" s="1" t="s">
        <v>528</v>
      </c>
    </row>
    <row r="6" spans="1:8">
      <c r="A6" s="1"/>
      <c r="B6" s="48" t="s">
        <v>515</v>
      </c>
      <c r="C6" s="48" t="s">
        <v>530</v>
      </c>
      <c r="D6" s="48" t="s">
        <v>531</v>
      </c>
      <c r="E6" s="48" t="s">
        <v>532</v>
      </c>
      <c r="F6" s="48" t="s">
        <v>533</v>
      </c>
      <c r="G6" s="48" t="s">
        <v>534</v>
      </c>
    </row>
    <row r="7" spans="1:8">
      <c r="A7" s="45" t="s">
        <v>5</v>
      </c>
      <c r="B7" t="s">
        <v>535</v>
      </c>
      <c r="C7" s="46">
        <v>0.54302380585249799</v>
      </c>
      <c r="D7" s="46">
        <v>34.42075546019808</v>
      </c>
      <c r="E7" s="46">
        <v>62.024683812869689</v>
      </c>
      <c r="F7" s="46">
        <v>10.48036477778391</v>
      </c>
      <c r="G7" s="46">
        <v>70.558656465902601</v>
      </c>
      <c r="H7" s="45" t="s">
        <v>5</v>
      </c>
    </row>
    <row r="8" spans="1:8">
      <c r="A8" s="45" t="s">
        <v>6</v>
      </c>
      <c r="B8" t="s">
        <v>536</v>
      </c>
      <c r="C8" s="46">
        <v>0.1258831715735762</v>
      </c>
      <c r="D8" s="46">
        <v>31.026146749705859</v>
      </c>
      <c r="E8" s="46">
        <v>59.67366365424607</v>
      </c>
      <c r="F8" s="46">
        <v>3.0737837831890231</v>
      </c>
      <c r="G8" s="46">
        <v>81.957032494455731</v>
      </c>
      <c r="H8" s="45" t="s">
        <v>6</v>
      </c>
    </row>
    <row r="9" spans="1:8">
      <c r="A9" s="45" t="s">
        <v>7</v>
      </c>
      <c r="B9" t="s">
        <v>537</v>
      </c>
      <c r="C9" s="46">
        <v>0.32215883118437388</v>
      </c>
      <c r="D9" s="46">
        <v>28.54820743798361</v>
      </c>
      <c r="E9" s="46">
        <v>51.795414166574673</v>
      </c>
      <c r="F9" s="46">
        <v>5.4335250271814521</v>
      </c>
      <c r="G9" s="46">
        <v>94.133002854204136</v>
      </c>
      <c r="H9" s="45" t="s">
        <v>7</v>
      </c>
    </row>
    <row r="10" spans="1:8">
      <c r="A10" s="45" t="s">
        <v>8</v>
      </c>
      <c r="B10" t="s">
        <v>538</v>
      </c>
      <c r="C10" s="46">
        <v>0.1178505837087607</v>
      </c>
      <c r="D10" s="46">
        <v>32.889927734365678</v>
      </c>
      <c r="E10" s="46">
        <v>54.702176187783763</v>
      </c>
      <c r="F10" s="46">
        <v>5.9487617403193669</v>
      </c>
      <c r="G10" s="46">
        <v>88.468946467438911</v>
      </c>
      <c r="H10" s="45" t="s">
        <v>8</v>
      </c>
    </row>
    <row r="11" spans="1:8">
      <c r="A11" s="45" t="s">
        <v>9</v>
      </c>
      <c r="B11" t="s">
        <v>539</v>
      </c>
      <c r="C11" s="46">
        <v>0.40586822017970792</v>
      </c>
      <c r="D11" s="46">
        <v>36.281215992879908</v>
      </c>
      <c r="E11" s="46">
        <v>67.183582712691134</v>
      </c>
      <c r="F11" s="46">
        <v>6.495346805043404</v>
      </c>
      <c r="G11" s="46">
        <v>77.355628943752635</v>
      </c>
      <c r="H11" s="45" t="s">
        <v>9</v>
      </c>
    </row>
    <row r="12" spans="1:8">
      <c r="A12" s="45" t="s">
        <v>10</v>
      </c>
      <c r="B12" t="s">
        <v>540</v>
      </c>
      <c r="C12" s="46">
        <v>6.9992242710021288E-2</v>
      </c>
      <c r="D12" s="46">
        <v>42.533783655618421</v>
      </c>
      <c r="E12" s="46">
        <v>74.72229623938037</v>
      </c>
      <c r="F12" s="46">
        <v>2.6347802142471139</v>
      </c>
      <c r="G12" s="46">
        <v>63.410872871462921</v>
      </c>
      <c r="H12" s="45" t="s">
        <v>10</v>
      </c>
    </row>
    <row r="13" spans="1:8">
      <c r="B13" s="49" t="s">
        <v>541</v>
      </c>
      <c r="C13" s="50">
        <v>0.1080281938897836</v>
      </c>
      <c r="D13" s="50">
        <v>55.441589599413227</v>
      </c>
      <c r="E13" s="50">
        <v>77.12072644091235</v>
      </c>
      <c r="F13" s="50">
        <v>9.1956478365800915</v>
      </c>
      <c r="G13" s="50">
        <v>49.207110977511689</v>
      </c>
    </row>
    <row r="14" spans="1:8">
      <c r="B14" s="49" t="s">
        <v>542</v>
      </c>
      <c r="C14" s="50">
        <v>1.986387719462113E-2</v>
      </c>
      <c r="D14" s="50">
        <v>69.711937111378845</v>
      </c>
      <c r="E14" s="50">
        <v>83.553626279793704</v>
      </c>
      <c r="F14" s="50">
        <v>11.10170530162555</v>
      </c>
      <c r="G14" s="50">
        <v>42.614980037085488</v>
      </c>
    </row>
    <row r="15" spans="1:8" ht="18.75">
      <c r="A15" s="41"/>
    </row>
    <row r="16" spans="1:8">
      <c r="A16" s="1"/>
    </row>
    <row r="17" spans="1:8">
      <c r="A17" s="1"/>
      <c r="C17" s="1"/>
    </row>
    <row r="18" spans="1:8">
      <c r="A18" s="1"/>
      <c r="B18" s="48" t="s">
        <v>515</v>
      </c>
      <c r="C18" s="1" t="s">
        <v>529</v>
      </c>
      <c r="D18" s="1" t="s">
        <v>529</v>
      </c>
      <c r="E18" s="1" t="s">
        <v>529</v>
      </c>
      <c r="F18" s="1" t="s">
        <v>529</v>
      </c>
      <c r="G18" s="1" t="s">
        <v>529</v>
      </c>
    </row>
    <row r="19" spans="1:8">
      <c r="A19" s="45" t="s">
        <v>5</v>
      </c>
      <c r="B19" t="s">
        <v>535</v>
      </c>
      <c r="C19" s="42">
        <f>1-(C7-0)</f>
        <v>0.45697619414750201</v>
      </c>
      <c r="D19" s="42">
        <f>D7/100</f>
        <v>0.34420755460198083</v>
      </c>
      <c r="E19" s="42">
        <f>E7/100</f>
        <v>0.62024683812869685</v>
      </c>
      <c r="F19" s="42">
        <f>(F7/14)</f>
        <v>0.74859748412742211</v>
      </c>
      <c r="G19" s="42">
        <f>1-(G7/100)</f>
        <v>0.29441343534097397</v>
      </c>
      <c r="H19" s="45" t="s">
        <v>5</v>
      </c>
    </row>
    <row r="20" spans="1:8">
      <c r="A20" s="45" t="s">
        <v>6</v>
      </c>
      <c r="B20" t="s">
        <v>536</v>
      </c>
      <c r="C20" s="42">
        <f t="shared" ref="C20:C24" si="0">1-(C8-0)</f>
        <v>0.8741168284264238</v>
      </c>
      <c r="D20" s="42">
        <f t="shared" ref="D20:E24" si="1">D8/100</f>
        <v>0.31026146749705857</v>
      </c>
      <c r="E20" s="42">
        <f t="shared" si="1"/>
        <v>0.59673663654246067</v>
      </c>
      <c r="F20" s="42">
        <f t="shared" ref="F20:F24" si="2">(F8/14)</f>
        <v>0.21955598451350164</v>
      </c>
      <c r="G20" s="42">
        <f t="shared" ref="G20:G24" si="3">1-(G8/100)</f>
        <v>0.18042967505544272</v>
      </c>
      <c r="H20" s="45" t="s">
        <v>6</v>
      </c>
    </row>
    <row r="21" spans="1:8">
      <c r="A21" s="45" t="s">
        <v>7</v>
      </c>
      <c r="B21" t="s">
        <v>537</v>
      </c>
      <c r="C21" s="42">
        <f t="shared" si="0"/>
        <v>0.67784116881562606</v>
      </c>
      <c r="D21" s="42">
        <f t="shared" si="1"/>
        <v>0.28548207437983608</v>
      </c>
      <c r="E21" s="42">
        <f t="shared" si="1"/>
        <v>0.51795414166574671</v>
      </c>
      <c r="F21" s="42">
        <f t="shared" si="2"/>
        <v>0.38810893051296086</v>
      </c>
      <c r="G21" s="42">
        <f t="shared" si="3"/>
        <v>5.8669971457958603E-2</v>
      </c>
      <c r="H21" s="45" t="s">
        <v>7</v>
      </c>
    </row>
    <row r="22" spans="1:8">
      <c r="A22" s="45" t="s">
        <v>8</v>
      </c>
      <c r="B22" t="s">
        <v>538</v>
      </c>
      <c r="C22" s="42">
        <f t="shared" si="0"/>
        <v>0.88214941629123933</v>
      </c>
      <c r="D22" s="42">
        <f t="shared" si="1"/>
        <v>0.32889927734365676</v>
      </c>
      <c r="E22" s="42">
        <f t="shared" si="1"/>
        <v>0.54702176187783769</v>
      </c>
      <c r="F22" s="42">
        <f t="shared" si="2"/>
        <v>0.4249115528799548</v>
      </c>
      <c r="G22" s="42">
        <f t="shared" si="3"/>
        <v>0.11531053532561086</v>
      </c>
      <c r="H22" s="45" t="s">
        <v>8</v>
      </c>
    </row>
    <row r="23" spans="1:8">
      <c r="A23" s="45" t="s">
        <v>9</v>
      </c>
      <c r="B23" t="s">
        <v>539</v>
      </c>
      <c r="C23" s="42">
        <f t="shared" si="0"/>
        <v>0.59413177982029208</v>
      </c>
      <c r="D23" s="42">
        <f t="shared" si="1"/>
        <v>0.36281215992879906</v>
      </c>
      <c r="E23" s="42">
        <f t="shared" si="1"/>
        <v>0.67183582712691137</v>
      </c>
      <c r="F23" s="42">
        <f t="shared" si="2"/>
        <v>0.46395334321738602</v>
      </c>
      <c r="G23" s="42">
        <f t="shared" si="3"/>
        <v>0.2264437105624737</v>
      </c>
      <c r="H23" s="45" t="s">
        <v>9</v>
      </c>
    </row>
    <row r="24" spans="1:8">
      <c r="A24" s="45" t="s">
        <v>10</v>
      </c>
      <c r="B24" t="s">
        <v>540</v>
      </c>
      <c r="C24" s="42">
        <f t="shared" si="0"/>
        <v>0.93000775728997875</v>
      </c>
      <c r="D24" s="42">
        <f t="shared" si="1"/>
        <v>0.42533783655618423</v>
      </c>
      <c r="E24" s="42">
        <f t="shared" si="1"/>
        <v>0.7472229623938037</v>
      </c>
      <c r="F24" s="42">
        <f t="shared" si="2"/>
        <v>0.18819858673193671</v>
      </c>
      <c r="G24" s="42">
        <f t="shared" si="3"/>
        <v>0.3658912712853708</v>
      </c>
      <c r="H24" s="45" t="s">
        <v>10</v>
      </c>
    </row>
    <row r="25" spans="1:8">
      <c r="B25" s="42"/>
      <c r="C25" s="42"/>
      <c r="D25" s="42"/>
      <c r="E25" s="42"/>
      <c r="F25" s="42"/>
    </row>
    <row r="27" spans="1:8" ht="18.75">
      <c r="A27" s="41" t="s">
        <v>543</v>
      </c>
    </row>
    <row r="28" spans="1:8">
      <c r="C28" t="s">
        <v>544</v>
      </c>
    </row>
    <row r="29" spans="1:8">
      <c r="A29" s="45" t="s">
        <v>5</v>
      </c>
      <c r="C29" s="42">
        <f>AVERAGE(C19:G19)</f>
        <v>0.49288830126931515</v>
      </c>
      <c r="H29" s="45" t="s">
        <v>5</v>
      </c>
    </row>
    <row r="30" spans="1:8">
      <c r="A30" s="45" t="s">
        <v>6</v>
      </c>
      <c r="C30" s="42">
        <f t="shared" ref="C30:C34" si="4">AVERAGE(C20:G20)</f>
        <v>0.4362201184069775</v>
      </c>
      <c r="H30" s="45" t="s">
        <v>6</v>
      </c>
    </row>
    <row r="31" spans="1:8">
      <c r="A31" s="45" t="s">
        <v>7</v>
      </c>
      <c r="C31" s="42">
        <f t="shared" si="4"/>
        <v>0.38561125736642565</v>
      </c>
      <c r="H31" s="45" t="s">
        <v>7</v>
      </c>
    </row>
    <row r="32" spans="1:8">
      <c r="A32" s="45" t="s">
        <v>8</v>
      </c>
      <c r="C32" s="42">
        <f t="shared" si="4"/>
        <v>0.45965850874365993</v>
      </c>
      <c r="H32" s="45" t="s">
        <v>8</v>
      </c>
    </row>
    <row r="33" spans="1:8">
      <c r="A33" s="45" t="s">
        <v>9</v>
      </c>
      <c r="C33" s="42">
        <f t="shared" si="4"/>
        <v>0.46383536413117243</v>
      </c>
      <c r="H33" s="45" t="s">
        <v>9</v>
      </c>
    </row>
    <row r="34" spans="1:8">
      <c r="A34" s="45" t="s">
        <v>10</v>
      </c>
      <c r="C34" s="42">
        <f t="shared" si="4"/>
        <v>0.53133168285145482</v>
      </c>
      <c r="H34" s="45" t="s">
        <v>10</v>
      </c>
    </row>
    <row r="36" spans="1:8">
      <c r="F36" s="47"/>
    </row>
    <row r="37" spans="1:8" ht="18.75">
      <c r="A37" s="41" t="s">
        <v>525</v>
      </c>
    </row>
    <row r="38" spans="1:8" ht="15.75" thickBot="1"/>
    <row r="39" spans="1:8" ht="15.75" thickBot="1">
      <c r="B39" s="6" t="s">
        <v>5</v>
      </c>
      <c r="C39" s="7" t="s">
        <v>6</v>
      </c>
      <c r="D39" s="7" t="s">
        <v>7</v>
      </c>
      <c r="E39" s="7" t="s">
        <v>8</v>
      </c>
      <c r="F39" s="7" t="s">
        <v>9</v>
      </c>
      <c r="G39" s="8" t="s">
        <v>10</v>
      </c>
    </row>
    <row r="40" spans="1:8">
      <c r="B40" s="47">
        <f>C29</f>
        <v>0.49288830126931515</v>
      </c>
      <c r="C40" s="47">
        <f>C30</f>
        <v>0.4362201184069775</v>
      </c>
      <c r="D40" s="47">
        <f>C31</f>
        <v>0.38561125736642565</v>
      </c>
      <c r="E40" s="47">
        <f>C32</f>
        <v>0.45965850874365993</v>
      </c>
      <c r="F40" s="47">
        <f>C33</f>
        <v>0.46383536413117243</v>
      </c>
      <c r="G40" s="47">
        <f>C34</f>
        <v>0.53133168285145482</v>
      </c>
    </row>
  </sheetData>
  <sheetProtection algorithmName="SHA-512" hashValue="8D+TPuqB2ch4SCmGhOdRCtld+AWG9+1e3aU6fi6au2PaLUJVBwj14vlP5A7EM7JCKMyPdo3qgXgZk7qh/aOp6w==" saltValue="fXY20RlVGQIM3tIoh+bj/Q==" spinCount="100000" sheet="1" objects="1" scenarios="1"/>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994A7-2FD3-46AD-A7C4-5D7EFB6B19F1}">
  <dimension ref="A1:AM57"/>
  <sheetViews>
    <sheetView topLeftCell="P16" zoomScale="80" zoomScaleNormal="80" workbookViewId="0">
      <selection activeCell="Z31" sqref="Z31"/>
    </sheetView>
  </sheetViews>
  <sheetFormatPr defaultRowHeight="15"/>
  <cols>
    <col min="1" max="1" width="87.5703125" customWidth="1"/>
    <col min="3" max="3" width="11.85546875" bestFit="1" customWidth="1"/>
    <col min="10" max="10" width="10.5703125" customWidth="1"/>
    <col min="12" max="12" width="11.42578125" customWidth="1"/>
    <col min="13" max="13" width="12" bestFit="1" customWidth="1"/>
    <col min="14" max="14" width="10.42578125" customWidth="1"/>
  </cols>
  <sheetData>
    <row r="1" spans="1:39" s="37" customFormat="1" ht="29.1" customHeight="1" thickBot="1">
      <c r="A1" s="118" t="s">
        <v>545</v>
      </c>
      <c r="B1" s="118"/>
      <c r="C1" s="118"/>
      <c r="D1" s="118"/>
      <c r="E1" s="118"/>
      <c r="F1" s="118"/>
      <c r="G1" s="118"/>
      <c r="H1" s="118"/>
      <c r="I1" s="118"/>
      <c r="J1" s="118"/>
      <c r="K1" s="118"/>
      <c r="L1" s="118"/>
      <c r="M1" s="118"/>
      <c r="N1" s="118"/>
      <c r="O1" s="118"/>
      <c r="P1" s="118"/>
    </row>
    <row r="2" spans="1:39" ht="13.5" customHeight="1">
      <c r="A2" s="9" t="s">
        <v>26</v>
      </c>
      <c r="B2" s="63"/>
      <c r="C2" s="63"/>
      <c r="D2" s="63"/>
      <c r="E2" s="63"/>
      <c r="F2" s="63"/>
      <c r="G2" s="63"/>
      <c r="H2" s="63"/>
      <c r="I2" s="63"/>
      <c r="J2" s="63"/>
      <c r="K2" s="63"/>
      <c r="L2" s="63"/>
      <c r="M2" s="63"/>
      <c r="N2" s="63"/>
      <c r="O2" s="63"/>
      <c r="P2" s="63"/>
    </row>
    <row r="3" spans="1:39" ht="13.5" customHeight="1">
      <c r="A3" s="10" t="s">
        <v>27</v>
      </c>
      <c r="B3" s="63"/>
      <c r="C3" s="63"/>
      <c r="D3" s="63"/>
      <c r="E3" s="63"/>
      <c r="F3" s="63"/>
      <c r="G3" s="63"/>
      <c r="H3" s="63"/>
      <c r="I3" s="63"/>
      <c r="J3" s="63"/>
      <c r="K3" s="63"/>
      <c r="L3" s="63"/>
      <c r="M3" s="63"/>
      <c r="N3" s="63"/>
      <c r="O3" s="63"/>
      <c r="P3" s="63"/>
    </row>
    <row r="4" spans="1:39" ht="13.5" customHeight="1">
      <c r="A4" s="11" t="s">
        <v>28</v>
      </c>
      <c r="B4" s="63"/>
      <c r="C4" s="63"/>
      <c r="D4" s="63"/>
      <c r="E4" s="63"/>
      <c r="F4" s="63"/>
      <c r="G4" s="63"/>
      <c r="H4" s="63"/>
      <c r="I4" s="63"/>
      <c r="J4" s="63"/>
      <c r="K4" s="63"/>
      <c r="L4" s="63"/>
      <c r="M4" s="63"/>
      <c r="N4" s="63"/>
      <c r="O4" s="63"/>
      <c r="P4" s="63"/>
    </row>
    <row r="5" spans="1:39" ht="13.5" customHeight="1">
      <c r="A5" s="12" t="s">
        <v>29</v>
      </c>
      <c r="B5" s="63"/>
      <c r="C5" s="63"/>
      <c r="D5" s="63"/>
      <c r="E5" s="63"/>
      <c r="F5" s="63"/>
      <c r="G5" s="63"/>
      <c r="H5" s="63"/>
      <c r="I5" s="63"/>
      <c r="J5" s="63"/>
      <c r="K5" s="63"/>
      <c r="L5" s="63"/>
      <c r="M5" s="63"/>
      <c r="N5" s="63"/>
      <c r="O5" s="63"/>
      <c r="P5" s="63"/>
    </row>
    <row r="6" spans="1:39" ht="13.5" customHeight="1" thickBot="1">
      <c r="A6" s="13" t="s">
        <v>30</v>
      </c>
      <c r="B6" s="63"/>
      <c r="C6" s="63"/>
      <c r="D6" s="63"/>
      <c r="E6" s="63"/>
      <c r="F6" s="63"/>
      <c r="G6" s="63"/>
      <c r="H6" s="63"/>
      <c r="I6" s="63"/>
      <c r="J6" s="63"/>
      <c r="K6" s="63"/>
      <c r="L6" s="63"/>
      <c r="M6" s="63"/>
      <c r="N6" s="63"/>
      <c r="O6" s="63"/>
      <c r="P6" s="63"/>
    </row>
    <row r="7" spans="1:39" ht="15.75" thickBot="1">
      <c r="A7" s="20" t="s">
        <v>502</v>
      </c>
      <c r="B7" s="19"/>
      <c r="C7" s="19"/>
      <c r="D7" s="19"/>
      <c r="E7" s="19"/>
      <c r="F7" s="19"/>
      <c r="G7" s="19"/>
      <c r="I7" s="20" t="s">
        <v>503</v>
      </c>
      <c r="J7" s="19"/>
      <c r="K7" s="19"/>
      <c r="L7" s="19"/>
      <c r="M7" s="19"/>
      <c r="N7" s="19"/>
      <c r="O7" s="19"/>
      <c r="Q7" s="20" t="s">
        <v>504</v>
      </c>
      <c r="R7" s="19"/>
      <c r="S7" s="19"/>
      <c r="T7" s="19"/>
      <c r="U7" s="19"/>
      <c r="V7" s="19"/>
      <c r="W7" s="19"/>
      <c r="Y7" s="20" t="s">
        <v>505</v>
      </c>
      <c r="Z7" s="19"/>
      <c r="AA7" s="19"/>
      <c r="AB7" s="19"/>
      <c r="AC7" s="19"/>
      <c r="AD7" s="19"/>
      <c r="AE7" s="19"/>
      <c r="AG7" s="20" t="s">
        <v>506</v>
      </c>
      <c r="AH7" s="19"/>
      <c r="AI7" s="19"/>
      <c r="AJ7" s="19"/>
      <c r="AK7" s="19"/>
      <c r="AL7" s="19"/>
      <c r="AM7" s="19"/>
    </row>
    <row r="8" spans="1:39" ht="15.75" thickBot="1">
      <c r="A8" s="21" t="s">
        <v>135</v>
      </c>
      <c r="B8" s="6" t="s">
        <v>5</v>
      </c>
      <c r="C8" s="7" t="s">
        <v>6</v>
      </c>
      <c r="D8" s="7" t="s">
        <v>7</v>
      </c>
      <c r="E8" s="7" t="s">
        <v>8</v>
      </c>
      <c r="F8" s="7" t="s">
        <v>9</v>
      </c>
      <c r="G8" s="8" t="s">
        <v>10</v>
      </c>
      <c r="I8" s="21" t="s">
        <v>135</v>
      </c>
      <c r="J8" s="6" t="s">
        <v>5</v>
      </c>
      <c r="K8" s="7" t="s">
        <v>6</v>
      </c>
      <c r="L8" s="7" t="s">
        <v>7</v>
      </c>
      <c r="M8" s="7" t="s">
        <v>8</v>
      </c>
      <c r="N8" s="7" t="s">
        <v>9</v>
      </c>
      <c r="O8" s="8" t="s">
        <v>10</v>
      </c>
      <c r="Q8" s="21" t="s">
        <v>135</v>
      </c>
      <c r="R8" s="6" t="s">
        <v>5</v>
      </c>
      <c r="S8" s="7" t="s">
        <v>6</v>
      </c>
      <c r="T8" s="7" t="s">
        <v>7</v>
      </c>
      <c r="U8" s="7" t="s">
        <v>8</v>
      </c>
      <c r="V8" s="7" t="s">
        <v>9</v>
      </c>
      <c r="W8" s="8" t="s">
        <v>10</v>
      </c>
      <c r="Y8" s="21" t="s">
        <v>135</v>
      </c>
      <c r="Z8" s="6" t="s">
        <v>5</v>
      </c>
      <c r="AA8" s="7" t="s">
        <v>6</v>
      </c>
      <c r="AB8" s="7" t="s">
        <v>7</v>
      </c>
      <c r="AC8" s="7" t="s">
        <v>8</v>
      </c>
      <c r="AD8" s="7" t="s">
        <v>9</v>
      </c>
      <c r="AE8" s="8" t="s">
        <v>10</v>
      </c>
      <c r="AG8" s="21" t="s">
        <v>135</v>
      </c>
      <c r="AH8" s="6" t="s">
        <v>5</v>
      </c>
      <c r="AI8" s="7" t="s">
        <v>6</v>
      </c>
      <c r="AJ8" s="7" t="s">
        <v>7</v>
      </c>
      <c r="AK8" s="7" t="s">
        <v>8</v>
      </c>
      <c r="AL8" s="7" t="s">
        <v>9</v>
      </c>
      <c r="AM8" s="8" t="s">
        <v>10</v>
      </c>
    </row>
    <row r="9" spans="1:39">
      <c r="A9" s="29" t="str">
        <f>IF(NOT(ISBLANK(HLOs!D8)),HLOs!D8,"")</f>
        <v>AoW1-Suite of solutions focused on consumers that promote consumption of sustainable heathy diets co-developed, tested, and scaled with technical support and country engagement</v>
      </c>
      <c r="B9" s="5">
        <f>'Step B - Weight by Scl Impact'!B10*'Step C weights'!B$40</f>
        <v>9.4585290863251154E-2</v>
      </c>
      <c r="C9" s="5">
        <f>'Step B - Weight by Scl Impact'!C10*'Step C weights'!C$40</f>
        <v>0</v>
      </c>
      <c r="D9" s="5">
        <f>'Step B - Weight by Scl Impact'!D10*'Step C weights'!D$40</f>
        <v>0.30859082056782094</v>
      </c>
      <c r="E9" s="5">
        <f>'Step B - Weight by Scl Impact'!E10*'Step C weights'!E$40</f>
        <v>0.42155401097969419</v>
      </c>
      <c r="F9" s="5">
        <f>'Step B - Weight by Scl Impact'!F10*'Step C weights'!F$40</f>
        <v>0.6473197056412513</v>
      </c>
      <c r="G9" s="5">
        <f>'Step B - Weight by Scl Impact'!G10*'Step C weights'!G$40</f>
        <v>0.10249050558462312</v>
      </c>
      <c r="I9" s="29" t="str">
        <f>A9</f>
        <v>AoW1-Suite of solutions focused on consumers that promote consumption of sustainable heathy diets co-developed, tested, and scaled with technical support and country engagement</v>
      </c>
      <c r="J9" s="5">
        <f>'Step B - Weight by Scl Impact'!J10*'Step C weights'!B$40</f>
        <v>2.3346200678754096E-2</v>
      </c>
      <c r="K9" s="5">
        <f>'Step B - Weight by Scl Impact'!K10*'Step C weights'!C$40</f>
        <v>0</v>
      </c>
      <c r="L9" s="5">
        <f>'Step B - Weight by Scl Impact'!L10*'Step C weights'!D$40</f>
        <v>0.12561492734424673</v>
      </c>
      <c r="M9" s="5">
        <f>'Step B - Weight by Scl Impact'!M10*'Step C weights'!E$40</f>
        <v>0.16970513136510498</v>
      </c>
      <c r="N9" s="5">
        <f>'Step B - Weight by Scl Impact'!N10*'Step C weights'!F$40</f>
        <v>9.9952013006126869E-2</v>
      </c>
      <c r="O9" s="5">
        <f>'Step B - Weight by Scl Impact'!O10*'Step C weights'!G$40</f>
        <v>4.453195586435487E-3</v>
      </c>
      <c r="Q9" s="29" t="str">
        <f>I9</f>
        <v>AoW1-Suite of solutions focused on consumers that promote consumption of sustainable heathy diets co-developed, tested, and scaled with technical support and country engagement</v>
      </c>
      <c r="R9" s="5">
        <f>'Step B - Weight by Scl Impact'!R10*'Step C weights'!B$40</f>
        <v>0.35598533166837598</v>
      </c>
      <c r="S9" s="5">
        <f>'Step B - Weight by Scl Impact'!S10*'Step C weights'!C$40</f>
        <v>0</v>
      </c>
      <c r="T9" s="5">
        <f>'Step B - Weight by Scl Impact'!T10*'Step C weights'!D$40</f>
        <v>0.27161980288053988</v>
      </c>
      <c r="U9" s="5">
        <f>'Step B - Weight by Scl Impact'!U10*'Step C weights'!E$40</f>
        <v>0.26832411994574579</v>
      </c>
      <c r="V9" s="5">
        <f>'Step B - Weight by Scl Impact'!V10*'Step C weights'!F$40</f>
        <v>0.32151701242026481</v>
      </c>
      <c r="W9" s="5">
        <f>'Step B - Weight by Scl Impact'!W10*'Step C weights'!G$40</f>
        <v>0.19672043687106136</v>
      </c>
      <c r="Y9" s="29" t="str">
        <f>A9</f>
        <v>AoW1-Suite of solutions focused on consumers that promote consumption of sustainable heathy diets co-developed, tested, and scaled with technical support and country engagement</v>
      </c>
      <c r="Z9" s="5">
        <f>'Step B - Weight by Scl Impact'!Z10*'Step C weights'!B$40</f>
        <v>0.33380652993804161</v>
      </c>
      <c r="AA9" s="5">
        <f>'Step B - Weight by Scl Impact'!AA10*'Step C weights'!C$40</f>
        <v>0</v>
      </c>
      <c r="AB9" s="5">
        <f>'Step B - Weight by Scl Impact'!AB10*'Step C weights'!D$40</f>
        <v>9.4828532474255975E-2</v>
      </c>
      <c r="AC9" s="5">
        <f>'Step B - Weight by Scl Impact'!AC10*'Step C weights'!E$40</f>
        <v>0.17123092531193837</v>
      </c>
      <c r="AD9" s="5">
        <f>'Step B - Weight by Scl Impact'!AD10*'Step C weights'!F$40</f>
        <v>0.36551212566402691</v>
      </c>
      <c r="AE9" s="5">
        <f>'Step B - Weight by Scl Impact'!AE10*'Step C weights'!G$40</f>
        <v>0</v>
      </c>
      <c r="AG9" s="29" t="str">
        <f>A9</f>
        <v>AoW1-Suite of solutions focused on consumers that promote consumption of sustainable heathy diets co-developed, tested, and scaled with technical support and country engagement</v>
      </c>
      <c r="AH9" s="5">
        <f>'Step B - Weight by Scl Impact'!AH10*'Step C weights'!B$40</f>
        <v>0.33380652993804161</v>
      </c>
      <c r="AI9" s="5">
        <f>'Step B - Weight by Scl Impact'!AI10*'Step C weights'!C$40</f>
        <v>0</v>
      </c>
      <c r="AJ9" s="5">
        <f>'Step B - Weight by Scl Impact'!AJ10*'Step C weights'!D$40</f>
        <v>9.4828532474255975E-2</v>
      </c>
      <c r="AK9" s="5">
        <f>'Step B - Weight by Scl Impact'!AK10*'Step C weights'!E$40</f>
        <v>0.17123092531193837</v>
      </c>
      <c r="AL9" s="5">
        <f>'Step B - Weight by Scl Impact'!AL10*'Step C weights'!F$40</f>
        <v>0.48734950088536921</v>
      </c>
      <c r="AM9" s="5">
        <f>'Step B - Weight by Scl Impact'!AM10*'Step C weights'!G$40</f>
        <v>0.38978931645524678</v>
      </c>
    </row>
    <row r="10" spans="1:39">
      <c r="A10" s="29" t="str">
        <f>IF(NOT(ISBLANK(HLOs!D9)),HLOs!D9,"")</f>
        <v>AoW1-Suite of solutions focused on vendors that promote employment opportunities and the sale of sustainable nutritious foods co-developed, tested, and scaled with technical support and country engagement</v>
      </c>
      <c r="B10" s="5">
        <f>'Step B - Weight by Scl Impact'!B11*'Step C weights'!B$40</f>
        <v>9.4585290863251154E-2</v>
      </c>
      <c r="C10" s="5">
        <f>'Step B - Weight by Scl Impact'!C11*'Step C weights'!C$40</f>
        <v>0</v>
      </c>
      <c r="D10" s="5">
        <f>'Step B - Weight by Scl Impact'!D11*'Step C weights'!D$40</f>
        <v>0.23144311542586568</v>
      </c>
      <c r="E10" s="5">
        <f>'Step B - Weight by Scl Impact'!E11*'Step C weights'!E$40</f>
        <v>0.31616550823477063</v>
      </c>
      <c r="F10" s="5">
        <f>'Step B - Weight by Scl Impact'!F11*'Step C weights'!F$40</f>
        <v>0.4854897792309385</v>
      </c>
      <c r="G10" s="5">
        <f>'Step B - Weight by Scl Impact'!G11*'Step C weights'!G$40</f>
        <v>0.13665400744616416</v>
      </c>
      <c r="I10" s="29" t="str">
        <f t="shared" ref="I10:I27" si="0">A10</f>
        <v>AoW1-Suite of solutions focused on vendors that promote employment opportunities and the sale of sustainable nutritious foods co-developed, tested, and scaled with technical support and country engagement</v>
      </c>
      <c r="J10" s="5">
        <f>'Step B - Weight by Scl Impact'!J11*'Step C weights'!B$40</f>
        <v>0.11673100339377046</v>
      </c>
      <c r="K10" s="5">
        <f>'Step B - Weight by Scl Impact'!K11*'Step C weights'!C$40</f>
        <v>0</v>
      </c>
      <c r="L10" s="5">
        <f>'Step B - Weight by Scl Impact'!L11*'Step C weights'!D$40</f>
        <v>0.62807463672123354</v>
      </c>
      <c r="M10" s="5">
        <f>'Step B - Weight by Scl Impact'!M11*'Step C weights'!E$40</f>
        <v>0.84852565682552494</v>
      </c>
      <c r="N10" s="5">
        <f>'Step B - Weight by Scl Impact'!N11*'Step C weights'!F$40</f>
        <v>0.49976006503063436</v>
      </c>
      <c r="O10" s="5">
        <f>'Step B - Weight by Scl Impact'!O11*'Step C weights'!G$40</f>
        <v>2.2265977932177439E-2</v>
      </c>
      <c r="Q10" s="29" t="str">
        <f t="shared" ref="Q10:Q27" si="1">I10</f>
        <v>AoW1-Suite of solutions focused on vendors that promote employment opportunities and the sale of sustainable nutritious foods co-developed, tested, and scaled with technical support and country engagement</v>
      </c>
      <c r="R10" s="5">
        <f>'Step B - Weight by Scl Impact'!R11*'Step C weights'!B$40</f>
        <v>0.1423941326673504</v>
      </c>
      <c r="S10" s="5">
        <f>'Step B - Weight by Scl Impact'!S11*'Step C weights'!C$40</f>
        <v>0</v>
      </c>
      <c r="T10" s="5">
        <f>'Step B - Weight by Scl Impact'!T11*'Step C weights'!D$40</f>
        <v>0.45269967146756646</v>
      </c>
      <c r="U10" s="5">
        <f>'Step B - Weight by Scl Impact'!U11*'Step C weights'!E$40</f>
        <v>0.44720686657624303</v>
      </c>
      <c r="V10" s="5">
        <f>'Step B - Weight by Scl Impact'!V11*'Step C weights'!F$40</f>
        <v>0.16075850621013241</v>
      </c>
      <c r="W10" s="5">
        <f>'Step B - Weight by Scl Impact'!W11*'Step C weights'!G$40</f>
        <v>0.19672043687106136</v>
      </c>
      <c r="Y10" s="29" t="str">
        <f t="shared" ref="Y10:Y27" si="2">Q10</f>
        <v>AoW1-Suite of solutions focused on vendors that promote employment opportunities and the sale of sustainable nutritious foods co-developed, tested, and scaled with technical support and country engagement</v>
      </c>
      <c r="Z10" s="5">
        <f>'Step B - Weight by Scl Impact'!Z11*'Step C weights'!B$40</f>
        <v>0.22253768662536108</v>
      </c>
      <c r="AA10" s="5">
        <f>'Step B - Weight by Scl Impact'!AA11*'Step C weights'!C$40</f>
        <v>0</v>
      </c>
      <c r="AB10" s="5">
        <f>'Step B - Weight by Scl Impact'!AB11*'Step C weights'!D$40</f>
        <v>6.3219021649503979E-2</v>
      </c>
      <c r="AC10" s="5">
        <f>'Step B - Weight by Scl Impact'!AC11*'Step C weights'!E$40</f>
        <v>0.1141539502079589</v>
      </c>
      <c r="AD10" s="5">
        <f>'Step B - Weight by Scl Impact'!AD11*'Step C weights'!F$40</f>
        <v>0.24367475044268461</v>
      </c>
      <c r="AE10" s="5">
        <f>'Step B - Weight by Scl Impact'!AE11*'Step C weights'!G$40</f>
        <v>0</v>
      </c>
      <c r="AG10" s="29" t="str">
        <f t="shared" ref="AG10:AG27" si="3">A10</f>
        <v>AoW1-Suite of solutions focused on vendors that promote employment opportunities and the sale of sustainable nutritious foods co-developed, tested, and scaled with technical support and country engagement</v>
      </c>
      <c r="AH10" s="5">
        <f>'Step B - Weight by Scl Impact'!AH11*'Step C weights'!B$40</f>
        <v>0.33380652993804161</v>
      </c>
      <c r="AI10" s="5">
        <f>'Step B - Weight by Scl Impact'!AI11*'Step C weights'!C$40</f>
        <v>0</v>
      </c>
      <c r="AJ10" s="5">
        <f>'Step B - Weight by Scl Impact'!AJ11*'Step C weights'!D$40</f>
        <v>9.4828532474255975E-2</v>
      </c>
      <c r="AK10" s="5">
        <f>'Step B - Weight by Scl Impact'!AK11*'Step C weights'!E$40</f>
        <v>0.17123092531193837</v>
      </c>
      <c r="AL10" s="5">
        <f>'Step B - Weight by Scl Impact'!AL11*'Step C weights'!F$40</f>
        <v>0.36551212566402691</v>
      </c>
      <c r="AM10" s="5">
        <f>'Step B - Weight by Scl Impact'!AM11*'Step C weights'!G$40</f>
        <v>0.38978931645524678</v>
      </c>
    </row>
    <row r="11" spans="1:39">
      <c r="A11" s="29" t="str">
        <f>IF(NOT(ISBLANK(HLOs!D10)),HLOs!D10,"")</f>
        <v>AoW1-Policy options and engagement that support effective management of national action plans and other policy processes, for food systems transformation in support of sustainable healthy diets</v>
      </c>
      <c r="B11" s="5">
        <f>'Step B - Weight by Scl Impact'!B12*'Step C weights'!B$40</f>
        <v>0.1576421514387519</v>
      </c>
      <c r="C11" s="5">
        <f>'Step B - Weight by Scl Impact'!C12*'Step C weights'!C$40</f>
        <v>0</v>
      </c>
      <c r="D11" s="5">
        <f>'Step B - Weight by Scl Impact'!D12*'Step C weights'!D$40</f>
        <v>0.15429541028391047</v>
      </c>
      <c r="E11" s="5">
        <f>'Step B - Weight by Scl Impact'!E12*'Step C weights'!E$40</f>
        <v>0.31616550823477063</v>
      </c>
      <c r="F11" s="5">
        <f>'Step B - Weight by Scl Impact'!F12*'Step C weights'!F$40</f>
        <v>0.32365985282062565</v>
      </c>
      <c r="G11" s="5">
        <f>'Step B - Weight by Scl Impact'!G12*'Step C weights'!G$40</f>
        <v>0.17081750930770523</v>
      </c>
      <c r="I11" s="29" t="str">
        <f t="shared" si="0"/>
        <v>AoW1-Policy options and engagement that support effective management of national action plans and other policy processes, for food systems transformation in support of sustainable healthy diets</v>
      </c>
      <c r="J11" s="5">
        <f>'Step B - Weight by Scl Impact'!J12*'Step C weights'!B$40</f>
        <v>7.003860203626229E-2</v>
      </c>
      <c r="K11" s="5">
        <f>'Step B - Weight by Scl Impact'!K12*'Step C weights'!C$40</f>
        <v>0</v>
      </c>
      <c r="L11" s="5">
        <f>'Step B - Weight by Scl Impact'!L12*'Step C weights'!D$40</f>
        <v>0.37684478203274019</v>
      </c>
      <c r="M11" s="5">
        <f>'Step B - Weight by Scl Impact'!M12*'Step C weights'!E$40</f>
        <v>0.50911539409531492</v>
      </c>
      <c r="N11" s="5">
        <f>'Step B - Weight by Scl Impact'!N12*'Step C weights'!F$40</f>
        <v>0.29985603901838059</v>
      </c>
      <c r="O11" s="5">
        <f>'Step B - Weight by Scl Impact'!O12*'Step C weights'!G$40</f>
        <v>1.3359586759306461E-2</v>
      </c>
      <c r="Q11" s="29" t="str">
        <f t="shared" si="1"/>
        <v>AoW1-Policy options and engagement that support effective management of national action plans and other policy processes, for food systems transformation in support of sustainable healthy diets</v>
      </c>
      <c r="R11" s="5">
        <f>'Step B - Weight by Scl Impact'!R12*'Step C weights'!B$40</f>
        <v>0.35598533166837598</v>
      </c>
      <c r="S11" s="5">
        <f>'Step B - Weight by Scl Impact'!S12*'Step C weights'!C$40</f>
        <v>0</v>
      </c>
      <c r="T11" s="5">
        <f>'Step B - Weight by Scl Impact'!T12*'Step C weights'!D$40</f>
        <v>0.36215973717405314</v>
      </c>
      <c r="U11" s="5">
        <f>'Step B - Weight by Scl Impact'!U12*'Step C weights'!E$40</f>
        <v>0.35776549326099438</v>
      </c>
      <c r="V11" s="5">
        <f>'Step B - Weight by Scl Impact'!V12*'Step C weights'!F$40</f>
        <v>8.0379253105066203E-2</v>
      </c>
      <c r="W11" s="5">
        <f>'Step B - Weight by Scl Impact'!W12*'Step C weights'!G$40</f>
        <v>0.19672043687106136</v>
      </c>
      <c r="Y11" s="29" t="str">
        <f t="shared" si="2"/>
        <v>AoW1-Policy options and engagement that support effective management of national action plans and other policy processes, for food systems transformation in support of sustainable healthy diets</v>
      </c>
      <c r="Z11" s="5">
        <f>'Step B - Weight by Scl Impact'!Z12*'Step C weights'!B$40</f>
        <v>0.33380652993804161</v>
      </c>
      <c r="AA11" s="5">
        <f>'Step B - Weight by Scl Impact'!AA12*'Step C weights'!C$40</f>
        <v>0</v>
      </c>
      <c r="AB11" s="5">
        <f>'Step B - Weight by Scl Impact'!AB12*'Step C weights'!D$40</f>
        <v>9.4828532474255975E-2</v>
      </c>
      <c r="AC11" s="5">
        <f>'Step B - Weight by Scl Impact'!AC12*'Step C weights'!E$40</f>
        <v>0.17123092531193837</v>
      </c>
      <c r="AD11" s="5">
        <f>'Step B - Weight by Scl Impact'!AD12*'Step C weights'!F$40</f>
        <v>0.36551212566402691</v>
      </c>
      <c r="AE11" s="5">
        <f>'Step B - Weight by Scl Impact'!AE12*'Step C weights'!G$40</f>
        <v>0</v>
      </c>
      <c r="AG11" s="29" t="str">
        <f t="shared" si="3"/>
        <v>AoW1-Policy options and engagement that support effective management of national action plans and other policy processes, for food systems transformation in support of sustainable healthy diets</v>
      </c>
      <c r="AH11" s="5">
        <f>'Step B - Weight by Scl Impact'!AH12*'Step C weights'!B$40</f>
        <v>0.33380652993804161</v>
      </c>
      <c r="AI11" s="5">
        <f>'Step B - Weight by Scl Impact'!AI12*'Step C weights'!C$40</f>
        <v>0</v>
      </c>
      <c r="AJ11" s="5">
        <f>'Step B - Weight by Scl Impact'!AJ12*'Step C weights'!D$40</f>
        <v>0.12643804329900796</v>
      </c>
      <c r="AK11" s="5">
        <f>'Step B - Weight by Scl Impact'!AK12*'Step C weights'!E$40</f>
        <v>0.17123092531193837</v>
      </c>
      <c r="AL11" s="5">
        <f>'Step B - Weight by Scl Impact'!AL12*'Step C weights'!F$40</f>
        <v>0.36551212566402691</v>
      </c>
      <c r="AM11" s="5">
        <f>'Step B - Weight by Scl Impact'!AM12*'Step C weights'!G$40</f>
        <v>0.38978931645524678</v>
      </c>
    </row>
    <row r="12" spans="1:39">
      <c r="A12" s="29" t="str">
        <f>IF(NOT(ISBLANK(HLOs!D11)),HLOs!D11,"")</f>
        <v>AoW2-Suite of Solutions to lower transaction costs</v>
      </c>
      <c r="B12" s="5">
        <f>'Step B - Weight by Scl Impact'!B13*'Step C weights'!B$40</f>
        <v>0.1576421514387519</v>
      </c>
      <c r="C12" s="5">
        <f>'Step B - Weight by Scl Impact'!C13*'Step C weights'!C$40</f>
        <v>0</v>
      </c>
      <c r="D12" s="5">
        <f>'Step B - Weight by Scl Impact'!D13*'Step C weights'!D$40</f>
        <v>0.15429541028391047</v>
      </c>
      <c r="E12" s="5">
        <f>'Step B - Weight by Scl Impact'!E13*'Step C weights'!E$40</f>
        <v>0.42155401097969419</v>
      </c>
      <c r="F12" s="5">
        <f>'Step B - Weight by Scl Impact'!F13*'Step C weights'!F$40</f>
        <v>0.4854897792309385</v>
      </c>
      <c r="G12" s="5">
        <f>'Step B - Weight by Scl Impact'!G13*'Step C weights'!G$40</f>
        <v>0</v>
      </c>
      <c r="I12" s="29" t="str">
        <f t="shared" si="0"/>
        <v>AoW2-Suite of Solutions to lower transaction costs</v>
      </c>
      <c r="J12" s="5">
        <f>'Step B - Weight by Scl Impact'!J13*'Step C weights'!B$40</f>
        <v>0.11673100339377046</v>
      </c>
      <c r="K12" s="5">
        <f>'Step B - Weight by Scl Impact'!K13*'Step C weights'!C$40</f>
        <v>0</v>
      </c>
      <c r="L12" s="5">
        <f>'Step B - Weight by Scl Impact'!L13*'Step C weights'!D$40</f>
        <v>0.50245970937698692</v>
      </c>
      <c r="M12" s="5">
        <f>'Step B - Weight by Scl Impact'!M13*'Step C weights'!E$40</f>
        <v>0.67882052546041993</v>
      </c>
      <c r="N12" s="5">
        <f>'Step B - Weight by Scl Impact'!N13*'Step C weights'!F$40</f>
        <v>0.39980805202450748</v>
      </c>
      <c r="O12" s="5">
        <f>'Step B - Weight by Scl Impact'!O13*'Step C weights'!G$40</f>
        <v>0</v>
      </c>
      <c r="Q12" s="29" t="str">
        <f t="shared" si="1"/>
        <v>AoW2-Suite of Solutions to lower transaction costs</v>
      </c>
      <c r="R12" s="5">
        <f>'Step B - Weight by Scl Impact'!R13*'Step C weights'!B$40</f>
        <v>0.35598533166837598</v>
      </c>
      <c r="S12" s="5">
        <f>'Step B - Weight by Scl Impact'!S13*'Step C weights'!C$40</f>
        <v>0</v>
      </c>
      <c r="T12" s="5">
        <f>'Step B - Weight by Scl Impact'!T13*'Step C weights'!D$40</f>
        <v>0.36215973717405314</v>
      </c>
      <c r="U12" s="5">
        <f>'Step B - Weight by Scl Impact'!U13*'Step C weights'!E$40</f>
        <v>0.35776549326099438</v>
      </c>
      <c r="V12" s="5">
        <f>'Step B - Weight by Scl Impact'!V13*'Step C weights'!F$40</f>
        <v>0.24113775931519857</v>
      </c>
      <c r="W12" s="5">
        <f>'Step B - Weight by Scl Impact'!W13*'Step C weights'!G$40</f>
        <v>0</v>
      </c>
      <c r="Y12" s="29" t="str">
        <f t="shared" si="2"/>
        <v>AoW2-Suite of Solutions to lower transaction costs</v>
      </c>
      <c r="Z12" s="5">
        <f>'Step B - Weight by Scl Impact'!Z13*'Step C weights'!B$40</f>
        <v>0.55634421656340272</v>
      </c>
      <c r="AA12" s="5">
        <f>'Step B - Weight by Scl Impact'!AA13*'Step C weights'!C$40</f>
        <v>0</v>
      </c>
      <c r="AB12" s="5">
        <f>'Step B - Weight by Scl Impact'!AB13*'Step C weights'!D$40</f>
        <v>0.15804755412375995</v>
      </c>
      <c r="AC12" s="5">
        <f>'Step B - Weight by Scl Impact'!AC13*'Step C weights'!E$40</f>
        <v>0.28538487551989722</v>
      </c>
      <c r="AD12" s="5">
        <f>'Step B - Weight by Scl Impact'!AD13*'Step C weights'!F$40</f>
        <v>0.60918687610671152</v>
      </c>
      <c r="AE12" s="5">
        <f>'Step B - Weight by Scl Impact'!AE13*'Step C weights'!G$40</f>
        <v>0</v>
      </c>
      <c r="AG12" s="29" t="str">
        <f t="shared" si="3"/>
        <v>AoW2-Suite of Solutions to lower transaction costs</v>
      </c>
      <c r="AH12" s="5">
        <f>'Step B - Weight by Scl Impact'!AH13*'Step C weights'!B$40</f>
        <v>0</v>
      </c>
      <c r="AI12" s="5">
        <f>'Step B - Weight by Scl Impact'!AI13*'Step C weights'!C$40</f>
        <v>0</v>
      </c>
      <c r="AJ12" s="5">
        <f>'Step B - Weight by Scl Impact'!AJ13*'Step C weights'!D$40</f>
        <v>0</v>
      </c>
      <c r="AK12" s="5">
        <f>'Step B - Weight by Scl Impact'!AK13*'Step C weights'!E$40</f>
        <v>0</v>
      </c>
      <c r="AL12" s="5">
        <f>'Step B - Weight by Scl Impact'!AL13*'Step C weights'!F$40</f>
        <v>0</v>
      </c>
      <c r="AM12" s="5">
        <f>'Step B - Weight by Scl Impact'!AM13*'Step C weights'!G$40</f>
        <v>0</v>
      </c>
    </row>
    <row r="13" spans="1:39">
      <c r="A13" s="29" t="str">
        <f>IF(NOT(ISBLANK(HLOs!D12)),HLOs!D12,"")</f>
        <v>AoW2-Suite of Solutions to catalyze business growth</v>
      </c>
      <c r="B13" s="5">
        <f>'Step B - Weight by Scl Impact'!B14*'Step C weights'!B$40</f>
        <v>3.1528430287750382E-2</v>
      </c>
      <c r="C13" s="5">
        <f>'Step B - Weight by Scl Impact'!C14*'Step C weights'!C$40</f>
        <v>0</v>
      </c>
      <c r="D13" s="5">
        <f>'Step B - Weight by Scl Impact'!D14*'Step C weights'!D$40</f>
        <v>0.23144311542586568</v>
      </c>
      <c r="E13" s="5">
        <f>'Step B - Weight by Scl Impact'!E14*'Step C weights'!E$40</f>
        <v>0.31616550823477063</v>
      </c>
      <c r="F13" s="5">
        <f>'Step B - Weight by Scl Impact'!F14*'Step C weights'!F$40</f>
        <v>0.6473197056412513</v>
      </c>
      <c r="G13" s="5">
        <f>'Step B - Weight by Scl Impact'!G14*'Step C weights'!G$40</f>
        <v>0</v>
      </c>
      <c r="I13" s="29" t="str">
        <f t="shared" si="0"/>
        <v>AoW2-Suite of Solutions to catalyze business growth</v>
      </c>
      <c r="J13" s="5">
        <f>'Step B - Weight by Scl Impact'!J14*'Step C weights'!B$40</f>
        <v>2.3346200678754096E-2</v>
      </c>
      <c r="K13" s="5">
        <f>'Step B - Weight by Scl Impact'!K14*'Step C weights'!C$40</f>
        <v>0</v>
      </c>
      <c r="L13" s="5">
        <f>'Step B - Weight by Scl Impact'!L14*'Step C weights'!D$40</f>
        <v>0.62807463672123354</v>
      </c>
      <c r="M13" s="5">
        <f>'Step B - Weight by Scl Impact'!M14*'Step C weights'!E$40</f>
        <v>0.84852565682552494</v>
      </c>
      <c r="N13" s="5">
        <f>'Step B - Weight by Scl Impact'!N14*'Step C weights'!F$40</f>
        <v>0.49976006503063436</v>
      </c>
      <c r="O13" s="5">
        <f>'Step B - Weight by Scl Impact'!O14*'Step C weights'!G$40</f>
        <v>0</v>
      </c>
      <c r="Q13" s="29" t="str">
        <f t="shared" si="1"/>
        <v>AoW2-Suite of Solutions to catalyze business growth</v>
      </c>
      <c r="R13" s="5">
        <f>'Step B - Weight by Scl Impact'!R14*'Step C weights'!B$40</f>
        <v>7.1197066333675202E-2</v>
      </c>
      <c r="S13" s="5">
        <f>'Step B - Weight by Scl Impact'!S14*'Step C weights'!C$40</f>
        <v>0</v>
      </c>
      <c r="T13" s="5">
        <f>'Step B - Weight by Scl Impact'!T14*'Step C weights'!D$40</f>
        <v>0.45269967146756646</v>
      </c>
      <c r="U13" s="5">
        <f>'Step B - Weight by Scl Impact'!U14*'Step C weights'!E$40</f>
        <v>0.44720686657624303</v>
      </c>
      <c r="V13" s="5">
        <f>'Step B - Weight by Scl Impact'!V14*'Step C weights'!F$40</f>
        <v>0.32151701242026481</v>
      </c>
      <c r="W13" s="5">
        <f>'Step B - Weight by Scl Impact'!W14*'Step C weights'!G$40</f>
        <v>0</v>
      </c>
      <c r="Y13" s="29" t="str">
        <f t="shared" si="2"/>
        <v>AoW2-Suite of Solutions to catalyze business growth</v>
      </c>
      <c r="Z13" s="5">
        <f>'Step B - Weight by Scl Impact'!Z14*'Step C weights'!B$40</f>
        <v>0.11126884331268054</v>
      </c>
      <c r="AA13" s="5">
        <f>'Step B - Weight by Scl Impact'!AA14*'Step C weights'!C$40</f>
        <v>0</v>
      </c>
      <c r="AB13" s="5">
        <f>'Step B - Weight by Scl Impact'!AB14*'Step C weights'!D$40</f>
        <v>3.1609510824751989E-2</v>
      </c>
      <c r="AC13" s="5">
        <f>'Step B - Weight by Scl Impact'!AC14*'Step C weights'!E$40</f>
        <v>5.7076975103979452E-2</v>
      </c>
      <c r="AD13" s="5">
        <f>'Step B - Weight by Scl Impact'!AD14*'Step C weights'!F$40</f>
        <v>0.1218373752213423</v>
      </c>
      <c r="AE13" s="5">
        <f>'Step B - Weight by Scl Impact'!AE14*'Step C weights'!G$40</f>
        <v>0</v>
      </c>
      <c r="AG13" s="29" t="str">
        <f t="shared" si="3"/>
        <v>AoW2-Suite of Solutions to catalyze business growth</v>
      </c>
      <c r="AH13" s="5">
        <f>'Step B - Weight by Scl Impact'!AH14*'Step C weights'!B$40</f>
        <v>0</v>
      </c>
      <c r="AI13" s="5">
        <f>'Step B - Weight by Scl Impact'!AI14*'Step C weights'!C$40</f>
        <v>0</v>
      </c>
      <c r="AJ13" s="5">
        <f>'Step B - Weight by Scl Impact'!AJ14*'Step C weights'!D$40</f>
        <v>0</v>
      </c>
      <c r="AK13" s="5">
        <f>'Step B - Weight by Scl Impact'!AK14*'Step C weights'!E$40</f>
        <v>0</v>
      </c>
      <c r="AL13" s="5">
        <f>'Step B - Weight by Scl Impact'!AL14*'Step C weights'!F$40</f>
        <v>0</v>
      </c>
      <c r="AM13" s="5">
        <f>'Step B - Weight by Scl Impact'!AM14*'Step C weights'!G$40</f>
        <v>0</v>
      </c>
    </row>
    <row r="14" spans="1:39">
      <c r="A14" s="29" t="str">
        <f>IF(NOT(ISBLANK(HLOs!D13)),HLOs!D13,"")</f>
        <v>AoW2-Trade and Limiting UPC Consumption</v>
      </c>
      <c r="B14" s="5">
        <f>'Step B - Weight by Scl Impact'!B15*'Step C weights'!B$40</f>
        <v>9.4585290863251154E-2</v>
      </c>
      <c r="C14" s="5">
        <f>'Step B - Weight by Scl Impact'!C15*'Step C weights'!C$40</f>
        <v>0</v>
      </c>
      <c r="D14" s="5">
        <f>'Step B - Weight by Scl Impact'!D15*'Step C weights'!D$40</f>
        <v>0.30859082056782094</v>
      </c>
      <c r="E14" s="5">
        <f>'Step B - Weight by Scl Impact'!E15*'Step C weights'!E$40</f>
        <v>0.2107770054898471</v>
      </c>
      <c r="F14" s="5">
        <f>'Step B - Weight by Scl Impact'!F15*'Step C weights'!F$40</f>
        <v>0.32365985282062565</v>
      </c>
      <c r="G14" s="5">
        <f>'Step B - Weight by Scl Impact'!G15*'Step C weights'!G$40</f>
        <v>0</v>
      </c>
      <c r="I14" s="29" t="str">
        <f t="shared" si="0"/>
        <v>AoW2-Trade and Limiting UPC Consumption</v>
      </c>
      <c r="J14" s="5">
        <f>'Step B - Weight by Scl Impact'!J15*'Step C weights'!B$40</f>
        <v>2.3346200678754096E-2</v>
      </c>
      <c r="K14" s="5">
        <f>'Step B - Weight by Scl Impact'!K15*'Step C weights'!C$40</f>
        <v>0</v>
      </c>
      <c r="L14" s="5">
        <f>'Step B - Weight by Scl Impact'!L15*'Step C weights'!D$40</f>
        <v>0.37684478203274019</v>
      </c>
      <c r="M14" s="5">
        <f>'Step B - Weight by Scl Impact'!M15*'Step C weights'!E$40</f>
        <v>0.50911539409531492</v>
      </c>
      <c r="N14" s="5">
        <f>'Step B - Weight by Scl Impact'!N15*'Step C weights'!F$40</f>
        <v>0.29985603901838059</v>
      </c>
      <c r="O14" s="5">
        <f>'Step B - Weight by Scl Impact'!O15*'Step C weights'!G$40</f>
        <v>0</v>
      </c>
      <c r="Q14" s="29" t="str">
        <f t="shared" si="1"/>
        <v>AoW2-Trade and Limiting UPC Consumption</v>
      </c>
      <c r="R14" s="5">
        <f>'Step B - Weight by Scl Impact'!R15*'Step C weights'!B$40</f>
        <v>7.1197066333675202E-2</v>
      </c>
      <c r="S14" s="5">
        <f>'Step B - Weight by Scl Impact'!S15*'Step C weights'!C$40</f>
        <v>0</v>
      </c>
      <c r="T14" s="5">
        <f>'Step B - Weight by Scl Impact'!T15*'Step C weights'!D$40</f>
        <v>0.27161980288053988</v>
      </c>
      <c r="U14" s="5">
        <f>'Step B - Weight by Scl Impact'!U15*'Step C weights'!E$40</f>
        <v>0.26832411994574579</v>
      </c>
      <c r="V14" s="5">
        <f>'Step B - Weight by Scl Impact'!V15*'Step C weights'!F$40</f>
        <v>0.40189626552533098</v>
      </c>
      <c r="W14" s="5">
        <f>'Step B - Weight by Scl Impact'!W15*'Step C weights'!G$40</f>
        <v>0</v>
      </c>
      <c r="Y14" s="29" t="str">
        <f t="shared" si="2"/>
        <v>AoW2-Trade and Limiting UPC Consumption</v>
      </c>
      <c r="Z14" s="5">
        <f>'Step B - Weight by Scl Impact'!Z15*'Step C weights'!B$40</f>
        <v>0.11126884331268054</v>
      </c>
      <c r="AA14" s="5">
        <f>'Step B - Weight by Scl Impact'!AA15*'Step C weights'!C$40</f>
        <v>0</v>
      </c>
      <c r="AB14" s="5">
        <f>'Step B - Weight by Scl Impact'!AB15*'Step C weights'!D$40</f>
        <v>3.1609510824751989E-2</v>
      </c>
      <c r="AC14" s="5">
        <f>'Step B - Weight by Scl Impact'!AC15*'Step C weights'!E$40</f>
        <v>5.7076975103979452E-2</v>
      </c>
      <c r="AD14" s="5">
        <f>'Step B - Weight by Scl Impact'!AD15*'Step C weights'!F$40</f>
        <v>0.1218373752213423</v>
      </c>
      <c r="AE14" s="5">
        <f>'Step B - Weight by Scl Impact'!AE15*'Step C weights'!G$40</f>
        <v>0</v>
      </c>
      <c r="AG14" s="29" t="str">
        <f t="shared" si="3"/>
        <v>AoW2-Trade and Limiting UPC Consumption</v>
      </c>
      <c r="AH14" s="5">
        <f>'Step B - Weight by Scl Impact'!AH15*'Step C weights'!B$40</f>
        <v>0</v>
      </c>
      <c r="AI14" s="5">
        <f>'Step B - Weight by Scl Impact'!AI15*'Step C weights'!C$40</f>
        <v>0</v>
      </c>
      <c r="AJ14" s="5">
        <f>'Step B - Weight by Scl Impact'!AJ15*'Step C weights'!D$40</f>
        <v>0</v>
      </c>
      <c r="AK14" s="5">
        <f>'Step B - Weight by Scl Impact'!AK15*'Step C weights'!E$40</f>
        <v>0</v>
      </c>
      <c r="AL14" s="5">
        <f>'Step B - Weight by Scl Impact'!AL15*'Step C weights'!F$40</f>
        <v>0</v>
      </c>
      <c r="AM14" s="5">
        <f>'Step B - Weight by Scl Impact'!AM15*'Step C weights'!G$40</f>
        <v>0</v>
      </c>
    </row>
    <row r="15" spans="1:39">
      <c r="A15" s="29" t="str">
        <f>IF(NOT(ISBLANK(HLOs!D14)),HLOs!D14,"")</f>
        <v>AoW3-Suite of tested end-to-end solutions for health and agriculture extension agents, fruit and vegetable vendors/retailers, processors, traders and producers that promote healthy food choice behaviors of consumers, healthy food environments, food quality and safety, reduce food loss, and increase profits co-developed, tested, and scaled.</v>
      </c>
      <c r="B15" s="5">
        <f>'Step B - Weight by Scl Impact'!B16*'Step C weights'!B$40</f>
        <v>9.4585290863251154E-2</v>
      </c>
      <c r="C15" s="5">
        <f>'Step B - Weight by Scl Impact'!C16*'Step C weights'!C$40</f>
        <v>0</v>
      </c>
      <c r="D15" s="5">
        <f>'Step B - Weight by Scl Impact'!D16*'Step C weights'!D$40</f>
        <v>0.23144311542586568</v>
      </c>
      <c r="E15" s="5">
        <f>'Step B - Weight by Scl Impact'!E16*'Step C weights'!E$40</f>
        <v>0.52694251372461776</v>
      </c>
      <c r="F15" s="5">
        <f>'Step B - Weight by Scl Impact'!F16*'Step C weights'!F$40</f>
        <v>0.80914963205156409</v>
      </c>
      <c r="G15" s="5">
        <f>'Step B - Weight by Scl Impact'!G16*'Step C weights'!G$40</f>
        <v>0.10249050558462312</v>
      </c>
      <c r="I15" s="29" t="str">
        <f t="shared" si="0"/>
        <v>AoW3-Suite of tested end-to-end solutions for health and agriculture extension agents, fruit and vegetable vendors/retailers, processors, traders and producers that promote healthy food choice behaviors of consumers, healthy food environments, food quality and safety, reduce food loss, and increase profits co-developed, tested, and scaled.</v>
      </c>
      <c r="J15" s="5">
        <f>'Step B - Weight by Scl Impact'!J16*'Step C weights'!B$40</f>
        <v>9.3384802715016382E-2</v>
      </c>
      <c r="K15" s="5">
        <f>'Step B - Weight by Scl Impact'!K16*'Step C weights'!C$40</f>
        <v>0</v>
      </c>
      <c r="L15" s="5">
        <f>'Step B - Weight by Scl Impact'!L16*'Step C weights'!D$40</f>
        <v>0.37684478203274019</v>
      </c>
      <c r="M15" s="5">
        <f>'Step B - Weight by Scl Impact'!M16*'Step C weights'!E$40</f>
        <v>0.50911539409531492</v>
      </c>
      <c r="N15" s="5">
        <f>'Step B - Weight by Scl Impact'!N16*'Step C weights'!F$40</f>
        <v>0.49976006503063436</v>
      </c>
      <c r="O15" s="5">
        <f>'Step B - Weight by Scl Impact'!O16*'Step C weights'!G$40</f>
        <v>2.2265977932177439E-2</v>
      </c>
      <c r="Q15" s="29" t="str">
        <f t="shared" si="1"/>
        <v>AoW3-Suite of tested end-to-end solutions for health and agriculture extension agents, fruit and vegetable vendors/retailers, processors, traders and producers that promote healthy food choice behaviors of consumers, healthy food environments, food quality and safety, reduce food loss, and increase profits co-developed, tested, and scaled.</v>
      </c>
      <c r="R15" s="5">
        <f>'Step B - Weight by Scl Impact'!R16*'Step C weights'!B$40</f>
        <v>0.28478826533470081</v>
      </c>
      <c r="S15" s="5">
        <f>'Step B - Weight by Scl Impact'!S16*'Step C weights'!C$40</f>
        <v>0</v>
      </c>
      <c r="T15" s="5">
        <f>'Step B - Weight by Scl Impact'!T16*'Step C weights'!D$40</f>
        <v>0.36215973717405314</v>
      </c>
      <c r="U15" s="5">
        <f>'Step B - Weight by Scl Impact'!U16*'Step C weights'!E$40</f>
        <v>0.35776549326099438</v>
      </c>
      <c r="V15" s="5">
        <f>'Step B - Weight by Scl Impact'!V16*'Step C weights'!F$40</f>
        <v>0.40189626552533098</v>
      </c>
      <c r="W15" s="5">
        <f>'Step B - Weight by Scl Impact'!W16*'Step C weights'!G$40</f>
        <v>0.24590054608882669</v>
      </c>
      <c r="Y15" s="29" t="str">
        <f t="shared" si="2"/>
        <v>AoW3-Suite of tested end-to-end solutions for health and agriculture extension agents, fruit and vegetable vendors/retailers, processors, traders and producers that promote healthy food choice behaviors of consumers, healthy food environments, food quality and safety, reduce food loss, and increase profits co-developed, tested, and scaled.</v>
      </c>
      <c r="Z15" s="5">
        <f>'Step B - Weight by Scl Impact'!Z16*'Step C weights'!B$40</f>
        <v>0.44507537325072216</v>
      </c>
      <c r="AA15" s="5">
        <f>'Step B - Weight by Scl Impact'!AA16*'Step C weights'!C$40</f>
        <v>0</v>
      </c>
      <c r="AB15" s="5">
        <f>'Step B - Weight by Scl Impact'!AB16*'Step C weights'!D$40</f>
        <v>0.15804755412375995</v>
      </c>
      <c r="AC15" s="5">
        <f>'Step B - Weight by Scl Impact'!AC16*'Step C weights'!E$40</f>
        <v>0.22830790041591781</v>
      </c>
      <c r="AD15" s="5">
        <f>'Step B - Weight by Scl Impact'!AD16*'Step C weights'!F$40</f>
        <v>0.48734950088536921</v>
      </c>
      <c r="AE15" s="5">
        <f>'Step B - Weight by Scl Impact'!AE16*'Step C weights'!G$40</f>
        <v>0.51971908860699578</v>
      </c>
      <c r="AG15" s="29" t="str">
        <f t="shared" si="3"/>
        <v>AoW3-Suite of tested end-to-end solutions for health and agriculture extension agents, fruit and vegetable vendors/retailers, processors, traders and producers that promote healthy food choice behaviors of consumers, healthy food environments, food quality and safety, reduce food loss, and increase profits co-developed, tested, and scaled.</v>
      </c>
      <c r="AH15" s="5">
        <f>'Step B - Weight by Scl Impact'!AH16*'Step C weights'!B$40</f>
        <v>0.44507537325072216</v>
      </c>
      <c r="AI15" s="5">
        <f>'Step B - Weight by Scl Impact'!AI16*'Step C weights'!C$40</f>
        <v>0</v>
      </c>
      <c r="AJ15" s="5">
        <f>'Step B - Weight by Scl Impact'!AJ16*'Step C weights'!D$40</f>
        <v>0.15804755412375995</v>
      </c>
      <c r="AK15" s="5">
        <f>'Step B - Weight by Scl Impact'!AK16*'Step C weights'!E$40</f>
        <v>0.28538487551989722</v>
      </c>
      <c r="AL15" s="5">
        <f>'Step B - Weight by Scl Impact'!AL16*'Step C weights'!F$40</f>
        <v>0.48734950088536921</v>
      </c>
      <c r="AM15" s="5">
        <f>'Step B - Weight by Scl Impact'!AM16*'Step C weights'!G$40</f>
        <v>0.51971908860699578</v>
      </c>
    </row>
    <row r="16" spans="1:39">
      <c r="A16" s="29" t="str">
        <f>IF(NOT(ISBLANK(HLOs!D15)),HLOs!D15,"")</f>
        <v>AoW3-Suite of end-to-end solutions for health and agriculture extension agents, aquatic food vendors/retailers processors, and traders that promote healthy food choice behaviors of consumers, healthy food environments, food quality and safety, reduce food loss, and increase profits co-developed, tested, and scaled.</v>
      </c>
      <c r="B16" s="5">
        <f>'Step B - Weight by Scl Impact'!B17*'Step C weights'!B$40</f>
        <v>9.4585290863251154E-2</v>
      </c>
      <c r="C16" s="5">
        <f>'Step B - Weight by Scl Impact'!C17*'Step C weights'!C$40</f>
        <v>0</v>
      </c>
      <c r="D16" s="5">
        <f>'Step B - Weight by Scl Impact'!D17*'Step C weights'!D$40</f>
        <v>0.30859082056782094</v>
      </c>
      <c r="E16" s="5">
        <f>'Step B - Weight by Scl Impact'!E17*'Step C weights'!E$40</f>
        <v>0.42155401097969419</v>
      </c>
      <c r="F16" s="5">
        <f>'Step B - Weight by Scl Impact'!F17*'Step C weights'!F$40</f>
        <v>0.4854897792309385</v>
      </c>
      <c r="G16" s="5">
        <f>'Step B - Weight by Scl Impact'!G17*'Step C weights'!G$40</f>
        <v>0.13665400744616416</v>
      </c>
      <c r="I16" s="29" t="str">
        <f t="shared" si="0"/>
        <v>AoW3-Suite of end-to-end solutions for health and agriculture extension agents, aquatic food vendors/retailers processors, and traders that promote healthy food choice behaviors of consumers, healthy food environments, food quality and safety, reduce food loss, and increase profits co-developed, tested, and scaled.</v>
      </c>
      <c r="J16" s="5">
        <f>'Step B - Weight by Scl Impact'!J17*'Step C weights'!B$40</f>
        <v>9.3384802715016382E-2</v>
      </c>
      <c r="K16" s="5">
        <f>'Step B - Weight by Scl Impact'!K17*'Step C weights'!C$40</f>
        <v>0</v>
      </c>
      <c r="L16" s="5">
        <f>'Step B - Weight by Scl Impact'!L17*'Step C weights'!D$40</f>
        <v>0.25122985468849346</v>
      </c>
      <c r="M16" s="5">
        <f>'Step B - Weight by Scl Impact'!M17*'Step C weights'!E$40</f>
        <v>0.50911539409531492</v>
      </c>
      <c r="N16" s="5">
        <f>'Step B - Weight by Scl Impact'!N17*'Step C weights'!F$40</f>
        <v>0.49976006503063436</v>
      </c>
      <c r="O16" s="5">
        <f>'Step B - Weight by Scl Impact'!O17*'Step C weights'!G$40</f>
        <v>2.2265977932177439E-2</v>
      </c>
      <c r="Q16" s="29" t="str">
        <f t="shared" si="1"/>
        <v>AoW3-Suite of end-to-end solutions for health and agriculture extension agents, aquatic food vendors/retailers processors, and traders that promote healthy food choice behaviors of consumers, healthy food environments, food quality and safety, reduce food loss, and increase profits co-developed, tested, and scaled.</v>
      </c>
      <c r="R16" s="5">
        <f>'Step B - Weight by Scl Impact'!R17*'Step C weights'!B$40</f>
        <v>0.28478826533470081</v>
      </c>
      <c r="S16" s="5">
        <f>'Step B - Weight by Scl Impact'!S17*'Step C weights'!C$40</f>
        <v>0</v>
      </c>
      <c r="T16" s="5">
        <f>'Step B - Weight by Scl Impact'!T17*'Step C weights'!D$40</f>
        <v>0.36215973717405314</v>
      </c>
      <c r="U16" s="5">
        <f>'Step B - Weight by Scl Impact'!U17*'Step C weights'!E$40</f>
        <v>0.35776549326099438</v>
      </c>
      <c r="V16" s="5">
        <f>'Step B - Weight by Scl Impact'!V17*'Step C weights'!F$40</f>
        <v>0.40189626552533098</v>
      </c>
      <c r="W16" s="5">
        <f>'Step B - Weight by Scl Impact'!W17*'Step C weights'!G$40</f>
        <v>0.24590054608882669</v>
      </c>
      <c r="Y16" s="29" t="str">
        <f t="shared" si="2"/>
        <v>AoW3-Suite of end-to-end solutions for health and agriculture extension agents, aquatic food vendors/retailers processors, and traders that promote healthy food choice behaviors of consumers, healthy food environments, food quality and safety, reduce food loss, and increase profits co-developed, tested, and scaled.</v>
      </c>
      <c r="Z16" s="5">
        <f>'Step B - Weight by Scl Impact'!Z17*'Step C weights'!B$40</f>
        <v>0.44507537325072216</v>
      </c>
      <c r="AA16" s="5">
        <f>'Step B - Weight by Scl Impact'!AA17*'Step C weights'!C$40</f>
        <v>0</v>
      </c>
      <c r="AB16" s="5">
        <f>'Step B - Weight by Scl Impact'!AB17*'Step C weights'!D$40</f>
        <v>0.12643804329900796</v>
      </c>
      <c r="AC16" s="5">
        <f>'Step B - Weight by Scl Impact'!AC17*'Step C weights'!E$40</f>
        <v>0.28538487551989722</v>
      </c>
      <c r="AD16" s="5">
        <f>'Step B - Weight by Scl Impact'!AD17*'Step C weights'!F$40</f>
        <v>0.36551212566402691</v>
      </c>
      <c r="AE16" s="5">
        <f>'Step B - Weight by Scl Impact'!AE17*'Step C weights'!G$40</f>
        <v>0.38978931645524678</v>
      </c>
      <c r="AG16" s="29" t="str">
        <f t="shared" si="3"/>
        <v>AoW3-Suite of end-to-end solutions for health and agriculture extension agents, aquatic food vendors/retailers processors, and traders that promote healthy food choice behaviors of consumers, healthy food environments, food quality and safety, reduce food loss, and increase profits co-developed, tested, and scaled.</v>
      </c>
      <c r="AH16" s="5">
        <f>'Step B - Weight by Scl Impact'!AH17*'Step C weights'!B$40</f>
        <v>0.33380652993804161</v>
      </c>
      <c r="AI16" s="5">
        <f>'Step B - Weight by Scl Impact'!AI17*'Step C weights'!C$40</f>
        <v>0</v>
      </c>
      <c r="AJ16" s="5">
        <f>'Step B - Weight by Scl Impact'!AJ17*'Step C weights'!D$40</f>
        <v>0.12643804329900796</v>
      </c>
      <c r="AK16" s="5">
        <f>'Step B - Weight by Scl Impact'!AK17*'Step C weights'!E$40</f>
        <v>0.22830790041591781</v>
      </c>
      <c r="AL16" s="5">
        <f>'Step B - Weight by Scl Impact'!AL17*'Step C weights'!F$40</f>
        <v>0.48734950088536921</v>
      </c>
      <c r="AM16" s="5">
        <f>'Step B - Weight by Scl Impact'!AM17*'Step C weights'!G$40</f>
        <v>0.51971908860699578</v>
      </c>
    </row>
    <row r="17" spans="1:39">
      <c r="A17" s="29" t="str">
        <f>IF(NOT(ISBLANK(HLOs!D16)),HLOs!D16,"")</f>
        <v>AoW3-Suite of end-to-end solutions for health and agriculture extension agents, terrestrial animal-source vendors/retailers processors, and traders that promote healthy food choice behaviors of consumers, healthy food environments, food quality and safety, reduce food loss, and increase profits co-developed, tested, and scaled.</v>
      </c>
      <c r="B17" s="5">
        <f>'Step B - Weight by Scl Impact'!B18*'Step C weights'!B$40</f>
        <v>6.3056860575500764E-2</v>
      </c>
      <c r="C17" s="5">
        <f>'Step B - Weight by Scl Impact'!C18*'Step C weights'!C$40</f>
        <v>0</v>
      </c>
      <c r="D17" s="5">
        <f>'Step B - Weight by Scl Impact'!D18*'Step C weights'!D$40</f>
        <v>0.23144311542586568</v>
      </c>
      <c r="E17" s="5">
        <f>'Step B - Weight by Scl Impact'!E18*'Step C weights'!E$40</f>
        <v>0.31616550823477063</v>
      </c>
      <c r="F17" s="5">
        <f>'Step B - Weight by Scl Impact'!F18*'Step C weights'!F$40</f>
        <v>0.6473197056412513</v>
      </c>
      <c r="G17" s="5">
        <f>'Step B - Weight by Scl Impact'!G18*'Step C weights'!G$40</f>
        <v>0.10249050558462312</v>
      </c>
      <c r="I17" s="29" t="str">
        <f t="shared" si="0"/>
        <v>AoW3-Suite of end-to-end solutions for health and agriculture extension agents, terrestrial animal-source vendors/retailers processors, and traders that promote healthy food choice behaviors of consumers, healthy food environments, food quality and safety, reduce food loss, and increase profits co-developed, tested, and scaled.</v>
      </c>
      <c r="J17" s="5">
        <f>'Step B - Weight by Scl Impact'!J18*'Step C weights'!B$40</f>
        <v>7.003860203626229E-2</v>
      </c>
      <c r="K17" s="5">
        <f>'Step B - Weight by Scl Impact'!K18*'Step C weights'!C$40</f>
        <v>0</v>
      </c>
      <c r="L17" s="5">
        <f>'Step B - Weight by Scl Impact'!L18*'Step C weights'!D$40</f>
        <v>0.37684478203274019</v>
      </c>
      <c r="M17" s="5">
        <f>'Step B - Weight by Scl Impact'!M18*'Step C weights'!E$40</f>
        <v>0.33941026273020997</v>
      </c>
      <c r="N17" s="5">
        <f>'Step B - Weight by Scl Impact'!N18*'Step C weights'!F$40</f>
        <v>0.39980805202450748</v>
      </c>
      <c r="O17" s="5">
        <f>'Step B - Weight by Scl Impact'!O18*'Step C weights'!G$40</f>
        <v>1.3359586759306461E-2</v>
      </c>
      <c r="Q17" s="29" t="str">
        <f t="shared" si="1"/>
        <v>AoW3-Suite of end-to-end solutions for health and agriculture extension agents, terrestrial animal-source vendors/retailers processors, and traders that promote healthy food choice behaviors of consumers, healthy food environments, food quality and safety, reduce food loss, and increase profits co-developed, tested, and scaled.</v>
      </c>
      <c r="R17" s="5">
        <f>'Step B - Weight by Scl Impact'!R18*'Step C weights'!B$40</f>
        <v>0.21359119900102561</v>
      </c>
      <c r="S17" s="5">
        <f>'Step B - Weight by Scl Impact'!S18*'Step C weights'!C$40</f>
        <v>0</v>
      </c>
      <c r="T17" s="5">
        <f>'Step B - Weight by Scl Impact'!T18*'Step C weights'!D$40</f>
        <v>0.27161980288053988</v>
      </c>
      <c r="U17" s="5">
        <f>'Step B - Weight by Scl Impact'!U18*'Step C weights'!E$40</f>
        <v>0.17888274663049719</v>
      </c>
      <c r="V17" s="5">
        <f>'Step B - Weight by Scl Impact'!V18*'Step C weights'!F$40</f>
        <v>0.24113775931519857</v>
      </c>
      <c r="W17" s="5">
        <f>'Step B - Weight by Scl Impact'!W18*'Step C weights'!G$40</f>
        <v>0.147540327653296</v>
      </c>
      <c r="Y17" s="29" t="str">
        <f t="shared" si="2"/>
        <v>AoW3-Suite of end-to-end solutions for health and agriculture extension agents, terrestrial animal-source vendors/retailers processors, and traders that promote healthy food choice behaviors of consumers, healthy food environments, food quality and safety, reduce food loss, and increase profits co-developed, tested, and scaled.</v>
      </c>
      <c r="Z17" s="5">
        <f>'Step B - Weight by Scl Impact'!Z18*'Step C weights'!B$40</f>
        <v>0.44507537325072216</v>
      </c>
      <c r="AA17" s="5">
        <f>'Step B - Weight by Scl Impact'!AA18*'Step C weights'!C$40</f>
        <v>0</v>
      </c>
      <c r="AB17" s="5">
        <f>'Step B - Weight by Scl Impact'!AB18*'Step C weights'!D$40</f>
        <v>6.3219021649503979E-2</v>
      </c>
      <c r="AC17" s="5">
        <f>'Step B - Weight by Scl Impact'!AC18*'Step C weights'!E$40</f>
        <v>0.1141539502079589</v>
      </c>
      <c r="AD17" s="5">
        <f>'Step B - Weight by Scl Impact'!AD18*'Step C weights'!F$40</f>
        <v>0.36551212566402691</v>
      </c>
      <c r="AE17" s="5">
        <f>'Step B - Weight by Scl Impact'!AE18*'Step C weights'!G$40</f>
        <v>0.38978931645524678</v>
      </c>
      <c r="AG17" s="29" t="str">
        <f t="shared" si="3"/>
        <v>AoW3-Suite of end-to-end solutions for health and agriculture extension agents, terrestrial animal-source vendors/retailers processors, and traders that promote healthy food choice behaviors of consumers, healthy food environments, food quality and safety, reduce food loss, and increase profits co-developed, tested, and scaled.</v>
      </c>
      <c r="AH17" s="5">
        <f>'Step B - Weight by Scl Impact'!AH18*'Step C weights'!B$40</f>
        <v>0.22253768662536108</v>
      </c>
      <c r="AI17" s="5">
        <f>'Step B - Weight by Scl Impact'!AI18*'Step C weights'!C$40</f>
        <v>0</v>
      </c>
      <c r="AJ17" s="5">
        <f>'Step B - Weight by Scl Impact'!AJ18*'Step C weights'!D$40</f>
        <v>9.4828532474255975E-2</v>
      </c>
      <c r="AK17" s="5">
        <f>'Step B - Weight by Scl Impact'!AK18*'Step C weights'!E$40</f>
        <v>0.22830790041591781</v>
      </c>
      <c r="AL17" s="5">
        <f>'Step B - Weight by Scl Impact'!AL18*'Step C weights'!F$40</f>
        <v>0.48734950088536921</v>
      </c>
      <c r="AM17" s="5">
        <f>'Step B - Weight by Scl Impact'!AM18*'Step C weights'!G$40</f>
        <v>0.38978931645524678</v>
      </c>
    </row>
    <row r="18" spans="1:39">
      <c r="A18" s="29" t="str">
        <f>IF(NOT(ISBLANK(HLOs!D17)),HLOs!D17,"")</f>
        <v>AoW3-Suite of integrated end-to-end solutions for health and agriculture extension agents, perishable nutrient-rich food vendors/retailers, processors, traders and producers that promote healthy food choice behaviors of consumers, healthy food environments, food quality and safety, reduce food loss,and increase profits co-developed, tested, and scaled.</v>
      </c>
      <c r="B18" s="5">
        <f>'Step B - Weight by Scl Impact'!B19*'Step C weights'!B$40</f>
        <v>9.4585290863251154E-2</v>
      </c>
      <c r="C18" s="5">
        <f>'Step B - Weight by Scl Impact'!C19*'Step C weights'!C$40</f>
        <v>0</v>
      </c>
      <c r="D18" s="5">
        <f>'Step B - Weight by Scl Impact'!D19*'Step C weights'!D$40</f>
        <v>0.23144311542586568</v>
      </c>
      <c r="E18" s="5">
        <f>'Step B - Weight by Scl Impact'!E19*'Step C weights'!E$40</f>
        <v>0.31616550823477063</v>
      </c>
      <c r="F18" s="5">
        <f>'Step B - Weight by Scl Impact'!F19*'Step C weights'!F$40</f>
        <v>0.6473197056412513</v>
      </c>
      <c r="G18" s="5">
        <f>'Step B - Weight by Scl Impact'!G19*'Step C weights'!G$40</f>
        <v>0.10249050558462312</v>
      </c>
      <c r="I18" s="29" t="str">
        <f t="shared" si="0"/>
        <v>AoW3-Suite of integrated end-to-end solutions for health and agriculture extension agents, perishable nutrient-rich food vendors/retailers, processors, traders and producers that promote healthy food choice behaviors of consumers, healthy food environments, food quality and safety, reduce food loss,and increase profits co-developed, tested, and scaled.</v>
      </c>
      <c r="J18" s="5">
        <f>'Step B - Weight by Scl Impact'!J19*'Step C weights'!B$40</f>
        <v>9.3384802715016382E-2</v>
      </c>
      <c r="K18" s="5">
        <f>'Step B - Weight by Scl Impact'!K19*'Step C weights'!C$40</f>
        <v>0</v>
      </c>
      <c r="L18" s="5">
        <f>'Step B - Weight by Scl Impact'!L19*'Step C weights'!D$40</f>
        <v>0.25122985468849346</v>
      </c>
      <c r="M18" s="5">
        <f>'Step B - Weight by Scl Impact'!M19*'Step C weights'!E$40</f>
        <v>0.33941026273020997</v>
      </c>
      <c r="N18" s="5">
        <f>'Step B - Weight by Scl Impact'!N19*'Step C weights'!F$40</f>
        <v>0.39980805202450748</v>
      </c>
      <c r="O18" s="5">
        <f>'Step B - Weight by Scl Impact'!O19*'Step C weights'!G$40</f>
        <v>2.2265977932177439E-2</v>
      </c>
      <c r="Q18" s="29" t="str">
        <f t="shared" si="1"/>
        <v>AoW3-Suite of integrated end-to-end solutions for health and agriculture extension agents, perishable nutrient-rich food vendors/retailers, processors, traders and producers that promote healthy food choice behaviors of consumers, healthy food environments, food quality and safety, reduce food loss,and increase profits co-developed, tested, and scaled.</v>
      </c>
      <c r="R18" s="5">
        <f>'Step B - Weight by Scl Impact'!R19*'Step C weights'!B$40</f>
        <v>0.28478826533470081</v>
      </c>
      <c r="S18" s="5">
        <f>'Step B - Weight by Scl Impact'!S19*'Step C weights'!C$40</f>
        <v>0</v>
      </c>
      <c r="T18" s="5">
        <f>'Step B - Weight by Scl Impact'!T19*'Step C weights'!D$40</f>
        <v>0.27161980288053988</v>
      </c>
      <c r="U18" s="5">
        <f>'Step B - Weight by Scl Impact'!U19*'Step C weights'!E$40</f>
        <v>0.17888274663049719</v>
      </c>
      <c r="V18" s="5">
        <f>'Step B - Weight by Scl Impact'!V19*'Step C weights'!F$40</f>
        <v>0.24113775931519857</v>
      </c>
      <c r="W18" s="5">
        <f>'Step B - Weight by Scl Impact'!W19*'Step C weights'!G$40</f>
        <v>0.19672043687106136</v>
      </c>
      <c r="Y18" s="29" t="str">
        <f t="shared" si="2"/>
        <v>AoW3-Suite of integrated end-to-end solutions for health and agriculture extension agents, perishable nutrient-rich food vendors/retailers, processors, traders and producers that promote healthy food choice behaviors of consumers, healthy food environments, food quality and safety, reduce food loss,and increase profits co-developed, tested, and scaled.</v>
      </c>
      <c r="Z18" s="5">
        <f>'Step B - Weight by Scl Impact'!Z19*'Step C weights'!B$40</f>
        <v>0.33380652993804161</v>
      </c>
      <c r="AA18" s="5">
        <f>'Step B - Weight by Scl Impact'!AA19*'Step C weights'!C$40</f>
        <v>0</v>
      </c>
      <c r="AB18" s="5">
        <f>'Step B - Weight by Scl Impact'!AB19*'Step C weights'!D$40</f>
        <v>9.4828532474255975E-2</v>
      </c>
      <c r="AC18" s="5">
        <f>'Step B - Weight by Scl Impact'!AC19*'Step C weights'!E$40</f>
        <v>0.17123092531193837</v>
      </c>
      <c r="AD18" s="5">
        <f>'Step B - Weight by Scl Impact'!AD19*'Step C weights'!F$40</f>
        <v>0.36551212566402691</v>
      </c>
      <c r="AE18" s="5">
        <f>'Step B - Weight by Scl Impact'!AE19*'Step C weights'!G$40</f>
        <v>0.38978931645524678</v>
      </c>
      <c r="AG18" s="29" t="str">
        <f t="shared" si="3"/>
        <v>AoW3-Suite of integrated end-to-end solutions for health and agriculture extension agents, perishable nutrient-rich food vendors/retailers, processors, traders and producers that promote healthy food choice behaviors of consumers, healthy food environments, food quality and safety, reduce food loss,and increase profits co-developed, tested, and scaled.</v>
      </c>
      <c r="AH18" s="5">
        <f>'Step B - Weight by Scl Impact'!AH19*'Step C weights'!B$40</f>
        <v>0.33380652993804161</v>
      </c>
      <c r="AI18" s="5">
        <f>'Step B - Weight by Scl Impact'!AI19*'Step C weights'!C$40</f>
        <v>0</v>
      </c>
      <c r="AJ18" s="5">
        <f>'Step B - Weight by Scl Impact'!AJ19*'Step C weights'!D$40</f>
        <v>0.12643804329900796</v>
      </c>
      <c r="AK18" s="5">
        <f>'Step B - Weight by Scl Impact'!AK19*'Step C weights'!E$40</f>
        <v>0.22830790041591781</v>
      </c>
      <c r="AL18" s="5">
        <f>'Step B - Weight by Scl Impact'!AL19*'Step C weights'!F$40</f>
        <v>0.48734950088536921</v>
      </c>
      <c r="AM18" s="5">
        <f>'Step B - Weight by Scl Impact'!AM19*'Step C weights'!G$40</f>
        <v>0.38978931645524678</v>
      </c>
    </row>
    <row r="19" spans="1:39">
      <c r="A19" s="29" t="str">
        <f>IF(NOT(ISBLANK(HLOs!D18)),HLOs!D18,"")</f>
        <v>AoW3-Policy options that address constraints to sustainable healthy diets</v>
      </c>
      <c r="B19" s="5">
        <f>'Step B - Weight by Scl Impact'!B20*'Step C weights'!B$40</f>
        <v>0.12611372115100153</v>
      </c>
      <c r="C19" s="5">
        <f>'Step B - Weight by Scl Impact'!C20*'Step C weights'!C$40</f>
        <v>0</v>
      </c>
      <c r="D19" s="5">
        <f>'Step B - Weight by Scl Impact'!D20*'Step C weights'!D$40</f>
        <v>0.23144311542586568</v>
      </c>
      <c r="E19" s="5">
        <f>'Step B - Weight by Scl Impact'!E20*'Step C weights'!E$40</f>
        <v>0.2107770054898471</v>
      </c>
      <c r="F19" s="5">
        <f>'Step B - Weight by Scl Impact'!F20*'Step C weights'!F$40</f>
        <v>0.4854897792309385</v>
      </c>
      <c r="G19" s="5">
        <f>'Step B - Weight by Scl Impact'!G20*'Step C weights'!G$40</f>
        <v>0.13665400744616416</v>
      </c>
      <c r="I19" s="29" t="str">
        <f t="shared" si="0"/>
        <v>AoW3-Policy options that address constraints to sustainable healthy diets</v>
      </c>
      <c r="J19" s="5">
        <f>'Step B - Weight by Scl Impact'!J20*'Step C weights'!B$40</f>
        <v>9.3384802715016382E-2</v>
      </c>
      <c r="K19" s="5">
        <f>'Step B - Weight by Scl Impact'!K20*'Step C weights'!C$40</f>
        <v>0</v>
      </c>
      <c r="L19" s="5">
        <f>'Step B - Weight by Scl Impact'!L20*'Step C weights'!D$40</f>
        <v>0.25122985468849346</v>
      </c>
      <c r="M19" s="5">
        <f>'Step B - Weight by Scl Impact'!M20*'Step C weights'!E$40</f>
        <v>0.33941026273020997</v>
      </c>
      <c r="N19" s="5">
        <f>'Step B - Weight by Scl Impact'!N20*'Step C weights'!F$40</f>
        <v>0.19990402601225374</v>
      </c>
      <c r="O19" s="5">
        <f>'Step B - Weight by Scl Impact'!O20*'Step C weights'!G$40</f>
        <v>1.7812782345741948E-2</v>
      </c>
      <c r="Q19" s="29" t="str">
        <f t="shared" si="1"/>
        <v>AoW3-Policy options that address constraints to sustainable healthy diets</v>
      </c>
      <c r="R19" s="5">
        <f>'Step B - Weight by Scl Impact'!R20*'Step C weights'!B$40</f>
        <v>0.28478826533470081</v>
      </c>
      <c r="S19" s="5">
        <f>'Step B - Weight by Scl Impact'!S20*'Step C weights'!C$40</f>
        <v>0</v>
      </c>
      <c r="T19" s="5">
        <f>'Step B - Weight by Scl Impact'!T20*'Step C weights'!D$40</f>
        <v>0.18107986858702657</v>
      </c>
      <c r="U19" s="5">
        <f>'Step B - Weight by Scl Impact'!U20*'Step C weights'!E$40</f>
        <v>0.17888274663049719</v>
      </c>
      <c r="V19" s="5">
        <f>'Step B - Weight by Scl Impact'!V20*'Step C weights'!F$40</f>
        <v>0.16075850621013241</v>
      </c>
      <c r="W19" s="5">
        <f>'Step B - Weight by Scl Impact'!W20*'Step C weights'!G$40</f>
        <v>0.19672043687106136</v>
      </c>
      <c r="Y19" s="29" t="str">
        <f t="shared" si="2"/>
        <v>AoW3-Policy options that address constraints to sustainable healthy diets</v>
      </c>
      <c r="Z19" s="5">
        <f>'Step B - Weight by Scl Impact'!Z20*'Step C weights'!B$40</f>
        <v>0.33380652993804161</v>
      </c>
      <c r="AA19" s="5">
        <f>'Step B - Weight by Scl Impact'!AA20*'Step C weights'!C$40</f>
        <v>0</v>
      </c>
      <c r="AB19" s="5">
        <f>'Step B - Weight by Scl Impact'!AB20*'Step C weights'!D$40</f>
        <v>6.3219021649503979E-2</v>
      </c>
      <c r="AC19" s="5">
        <f>'Step B - Weight by Scl Impact'!AC20*'Step C weights'!E$40</f>
        <v>0.1141539502079589</v>
      </c>
      <c r="AD19" s="5">
        <f>'Step B - Weight by Scl Impact'!AD20*'Step C weights'!F$40</f>
        <v>0.24367475044268461</v>
      </c>
      <c r="AE19" s="5">
        <f>'Step B - Weight by Scl Impact'!AE20*'Step C weights'!G$40</f>
        <v>0.38978931645524678</v>
      </c>
      <c r="AG19" s="29" t="str">
        <f t="shared" si="3"/>
        <v>AoW3-Policy options that address constraints to sustainable healthy diets</v>
      </c>
      <c r="AH19" s="5">
        <f>'Step B - Weight by Scl Impact'!AH20*'Step C weights'!B$40</f>
        <v>0.33380652993804161</v>
      </c>
      <c r="AI19" s="5">
        <f>'Step B - Weight by Scl Impact'!AI20*'Step C weights'!C$40</f>
        <v>0</v>
      </c>
      <c r="AJ19" s="5">
        <f>'Step B - Weight by Scl Impact'!AJ20*'Step C weights'!D$40</f>
        <v>9.4828532474255975E-2</v>
      </c>
      <c r="AK19" s="5">
        <f>'Step B - Weight by Scl Impact'!AK20*'Step C weights'!E$40</f>
        <v>0.17123092531193837</v>
      </c>
      <c r="AL19" s="5">
        <f>'Step B - Weight by Scl Impact'!AL20*'Step C weights'!F$40</f>
        <v>0.36551212566402691</v>
      </c>
      <c r="AM19" s="5">
        <f>'Step B - Weight by Scl Impact'!AM20*'Step C weights'!G$40</f>
        <v>0.38978931645524678</v>
      </c>
    </row>
    <row r="20" spans="1:39">
      <c r="A20" s="29" t="str">
        <f>IF(NOT(ISBLANK(HLOs!D19)),HLOs!D19,"")</f>
        <v>AoW4-Suite of solutions for producers and processors that address constraints to sustainable healthy diets co-developed, tested, and scaled with technical support and country engagement.</v>
      </c>
      <c r="B20" s="5">
        <f>'Step B - Weight by Scl Impact'!B21*'Step C weights'!B$40</f>
        <v>6.3056860575500764E-2</v>
      </c>
      <c r="C20" s="5">
        <f>'Step B - Weight by Scl Impact'!C21*'Step C weights'!C$40</f>
        <v>0.12235789656677233</v>
      </c>
      <c r="D20" s="5">
        <f>'Step B - Weight by Scl Impact'!D21*'Step C weights'!D$40</f>
        <v>0.15429541028391047</v>
      </c>
      <c r="E20" s="5">
        <f>'Step B - Weight by Scl Impact'!E21*'Step C weights'!E$40</f>
        <v>0.2107770054898471</v>
      </c>
      <c r="F20" s="5">
        <f>'Step B - Weight by Scl Impact'!F21*'Step C weights'!F$40</f>
        <v>0.32365985282062565</v>
      </c>
      <c r="G20" s="5">
        <f>'Step B - Weight by Scl Impact'!G21*'Step C weights'!G$40</f>
        <v>0.10249050558462312</v>
      </c>
      <c r="I20" s="29" t="str">
        <f t="shared" si="0"/>
        <v>AoW4-Suite of solutions for producers and processors that address constraints to sustainable healthy diets co-developed, tested, and scaled with technical support and country engagement.</v>
      </c>
      <c r="J20" s="5">
        <f>'Step B - Weight by Scl Impact'!J21*'Step C weights'!B$40</f>
        <v>4.6692401357508191E-2</v>
      </c>
      <c r="K20" s="5">
        <f>'Step B - Weight by Scl Impact'!K21*'Step C weights'!C$40</f>
        <v>4.4244222299748968E-2</v>
      </c>
      <c r="L20" s="5">
        <f>'Step B - Weight by Scl Impact'!L21*'Step C weights'!D$40</f>
        <v>0.37684478203274019</v>
      </c>
      <c r="M20" s="5">
        <f>'Step B - Weight by Scl Impact'!M21*'Step C weights'!E$40</f>
        <v>0.50911539409531492</v>
      </c>
      <c r="N20" s="5">
        <f>'Step B - Weight by Scl Impact'!N21*'Step C weights'!F$40</f>
        <v>0.29985603901838059</v>
      </c>
      <c r="O20" s="5">
        <f>'Step B - Weight by Scl Impact'!O21*'Step C weights'!G$40</f>
        <v>1.3359586759306461E-2</v>
      </c>
      <c r="Q20" s="29" t="str">
        <f t="shared" si="1"/>
        <v>AoW4-Suite of solutions for producers and processors that address constraints to sustainable healthy diets co-developed, tested, and scaled with technical support and country engagement.</v>
      </c>
      <c r="R20" s="5">
        <f>'Step B - Weight by Scl Impact'!R21*'Step C weights'!B$40</f>
        <v>0.1423941326673504</v>
      </c>
      <c r="S20" s="5">
        <f>'Step B - Weight by Scl Impact'!S21*'Step C weights'!C$40</f>
        <v>0.20980506725060508</v>
      </c>
      <c r="T20" s="5">
        <f>'Step B - Weight by Scl Impact'!T21*'Step C weights'!D$40</f>
        <v>0.27161980288053988</v>
      </c>
      <c r="U20" s="5">
        <f>'Step B - Weight by Scl Impact'!U21*'Step C weights'!E$40</f>
        <v>0.26832411994574579</v>
      </c>
      <c r="V20" s="5">
        <f>'Step B - Weight by Scl Impact'!V21*'Step C weights'!F$40</f>
        <v>0.24113775931519857</v>
      </c>
      <c r="W20" s="5">
        <f>'Step B - Weight by Scl Impact'!W21*'Step C weights'!G$40</f>
        <v>9.836021843553068E-2</v>
      </c>
      <c r="Y20" s="29" t="str">
        <f t="shared" si="2"/>
        <v>AoW4-Suite of solutions for producers and processors that address constraints to sustainable healthy diets co-developed, tested, and scaled with technical support and country engagement.</v>
      </c>
      <c r="Z20" s="5">
        <f>'Step B - Weight by Scl Impact'!Z21*'Step C weights'!B$40</f>
        <v>0.22253768662536108</v>
      </c>
      <c r="AA20" s="5">
        <f>'Step B - Weight by Scl Impact'!AA21*'Step C weights'!C$40</f>
        <v>7.9692858339799805E-2</v>
      </c>
      <c r="AB20" s="5">
        <f>'Step B - Weight by Scl Impact'!AB21*'Step C weights'!D$40</f>
        <v>9.4828532474255975E-2</v>
      </c>
      <c r="AC20" s="5">
        <f>'Step B - Weight by Scl Impact'!AC21*'Step C weights'!E$40</f>
        <v>0.17123092531193837</v>
      </c>
      <c r="AD20" s="5">
        <f>'Step B - Weight by Scl Impact'!AD21*'Step C weights'!F$40</f>
        <v>0.36551212566402691</v>
      </c>
      <c r="AE20" s="5">
        <f>'Step B - Weight by Scl Impact'!AE21*'Step C weights'!G$40</f>
        <v>0.38978931645524678</v>
      </c>
      <c r="AG20" s="29" t="str">
        <f t="shared" si="3"/>
        <v>AoW4-Suite of solutions for producers and processors that address constraints to sustainable healthy diets co-developed, tested, and scaled with technical support and country engagement.</v>
      </c>
      <c r="AH20" s="5">
        <f>'Step B - Weight by Scl Impact'!AH21*'Step C weights'!B$40</f>
        <v>0.22253768662536108</v>
      </c>
      <c r="AI20" s="5">
        <f>'Step B - Weight by Scl Impact'!AI21*'Step C weights'!C$40</f>
        <v>7.9692858339799805E-2</v>
      </c>
      <c r="AJ20" s="5">
        <f>'Step B - Weight by Scl Impact'!AJ21*'Step C weights'!D$40</f>
        <v>9.4828532474255975E-2</v>
      </c>
      <c r="AK20" s="5">
        <f>'Step B - Weight by Scl Impact'!AK21*'Step C weights'!E$40</f>
        <v>0.17123092531193837</v>
      </c>
      <c r="AL20" s="5">
        <f>'Step B - Weight by Scl Impact'!AL21*'Step C weights'!F$40</f>
        <v>0.36551212566402691</v>
      </c>
      <c r="AM20" s="5">
        <f>'Step B - Weight by Scl Impact'!AM21*'Step C weights'!G$40</f>
        <v>0.38978931645524678</v>
      </c>
    </row>
    <row r="21" spans="1:39">
      <c r="A21" s="29" t="str">
        <f>IF(NOT(ISBLANK(HLOs!D20)),HLOs!D20,"")</f>
        <v>AoW4-Policy options and engagement that address constraints to sustainable healthy diets.</v>
      </c>
      <c r="B21" s="5">
        <f>'Step B - Weight by Scl Impact'!B22*'Step C weights'!B$40</f>
        <v>6.3056860575500764E-2</v>
      </c>
      <c r="C21" s="5">
        <f>'Step B - Weight by Scl Impact'!C22*'Step C weights'!C$40</f>
        <v>0.12235789656677233</v>
      </c>
      <c r="D21" s="5">
        <f>'Step B - Weight by Scl Impact'!D22*'Step C weights'!D$40</f>
        <v>0.38573852570977618</v>
      </c>
      <c r="E21" s="5">
        <f>'Step B - Weight by Scl Impact'!E22*'Step C weights'!E$40</f>
        <v>0.52694251372461776</v>
      </c>
      <c r="F21" s="5">
        <f>'Step B - Weight by Scl Impact'!F22*'Step C weights'!F$40</f>
        <v>0.6473197056412513</v>
      </c>
      <c r="G21" s="5">
        <f>'Step B - Weight by Scl Impact'!G22*'Step C weights'!G$40</f>
        <v>0.13665400744616416</v>
      </c>
      <c r="I21" s="29" t="str">
        <f t="shared" si="0"/>
        <v>AoW4-Policy options and engagement that address constraints to sustainable healthy diets.</v>
      </c>
      <c r="J21" s="5">
        <f>'Step B - Weight by Scl Impact'!J22*'Step C weights'!B$40</f>
        <v>4.6692401357508191E-2</v>
      </c>
      <c r="K21" s="5">
        <f>'Step B - Weight by Scl Impact'!K22*'Step C weights'!C$40</f>
        <v>4.4244222299748968E-2</v>
      </c>
      <c r="L21" s="5">
        <f>'Step B - Weight by Scl Impact'!L22*'Step C weights'!D$40</f>
        <v>0.62807463672123354</v>
      </c>
      <c r="M21" s="5">
        <f>'Step B - Weight by Scl Impact'!M22*'Step C weights'!E$40</f>
        <v>0.84852565682552494</v>
      </c>
      <c r="N21" s="5">
        <f>'Step B - Weight by Scl Impact'!N22*'Step C weights'!F$40</f>
        <v>0.29985603901838059</v>
      </c>
      <c r="O21" s="5">
        <f>'Step B - Weight by Scl Impact'!O22*'Step C weights'!G$40</f>
        <v>1.7812782345741948E-2</v>
      </c>
      <c r="Q21" s="29" t="str">
        <f t="shared" si="1"/>
        <v>AoW4-Policy options and engagement that address constraints to sustainable healthy diets.</v>
      </c>
      <c r="R21" s="5">
        <f>'Step B - Weight by Scl Impact'!R22*'Step C weights'!B$40</f>
        <v>0.1423941326673504</v>
      </c>
      <c r="S21" s="5">
        <f>'Step B - Weight by Scl Impact'!S22*'Step C weights'!C$40</f>
        <v>0.20980506725060508</v>
      </c>
      <c r="T21" s="5">
        <f>'Step B - Weight by Scl Impact'!T22*'Step C weights'!D$40</f>
        <v>0.45269967146756646</v>
      </c>
      <c r="U21" s="5">
        <f>'Step B - Weight by Scl Impact'!U22*'Step C weights'!E$40</f>
        <v>0.44720686657624303</v>
      </c>
      <c r="V21" s="5">
        <f>'Step B - Weight by Scl Impact'!V22*'Step C weights'!F$40</f>
        <v>0.32151701242026481</v>
      </c>
      <c r="W21" s="5">
        <f>'Step B - Weight by Scl Impact'!W22*'Step C weights'!G$40</f>
        <v>0.147540327653296</v>
      </c>
      <c r="Y21" s="29" t="str">
        <f t="shared" si="2"/>
        <v>AoW4-Policy options and engagement that address constraints to sustainable healthy diets.</v>
      </c>
      <c r="Z21" s="5">
        <f>'Step B - Weight by Scl Impact'!Z22*'Step C weights'!B$40</f>
        <v>0.22253768662536108</v>
      </c>
      <c r="AA21" s="5">
        <f>'Step B - Weight by Scl Impact'!AA22*'Step C weights'!C$40</f>
        <v>7.9692858339799805E-2</v>
      </c>
      <c r="AB21" s="5">
        <f>'Step B - Weight by Scl Impact'!AB22*'Step C weights'!D$40</f>
        <v>0.15804755412375995</v>
      </c>
      <c r="AC21" s="5">
        <f>'Step B - Weight by Scl Impact'!AC22*'Step C weights'!E$40</f>
        <v>0.28538487551989722</v>
      </c>
      <c r="AD21" s="5">
        <f>'Step B - Weight by Scl Impact'!AD22*'Step C weights'!F$40</f>
        <v>0.36551212566402691</v>
      </c>
      <c r="AE21" s="5">
        <f>'Step B - Weight by Scl Impact'!AE22*'Step C weights'!G$40</f>
        <v>0.64964886075874462</v>
      </c>
      <c r="AG21" s="29" t="str">
        <f t="shared" si="3"/>
        <v>AoW4-Policy options and engagement that address constraints to sustainable healthy diets.</v>
      </c>
      <c r="AH21" s="5">
        <f>'Step B - Weight by Scl Impact'!AH22*'Step C weights'!B$40</f>
        <v>0.22253768662536108</v>
      </c>
      <c r="AI21" s="5">
        <f>'Step B - Weight by Scl Impact'!AI22*'Step C weights'!C$40</f>
        <v>7.9692858339799805E-2</v>
      </c>
      <c r="AJ21" s="5">
        <f>'Step B - Weight by Scl Impact'!AJ22*'Step C weights'!D$40</f>
        <v>0.15804755412375995</v>
      </c>
      <c r="AK21" s="5">
        <f>'Step B - Weight by Scl Impact'!AK22*'Step C weights'!E$40</f>
        <v>0.28538487551989722</v>
      </c>
      <c r="AL21" s="5">
        <f>'Step B - Weight by Scl Impact'!AL22*'Step C weights'!F$40</f>
        <v>0.36551212566402691</v>
      </c>
      <c r="AM21" s="5">
        <f>'Step B - Weight by Scl Impact'!AM22*'Step C weights'!G$40</f>
        <v>0.64964886075874462</v>
      </c>
    </row>
    <row r="22" spans="1:39">
      <c r="A22" s="29" t="str">
        <f>IF(NOT(ISBLANK(HLOs!D21)),HLOs!D21,"")</f>
        <v>AoW4-Framework for embedding nutrition into breeding pipelines and processes.</v>
      </c>
      <c r="B22" s="5">
        <f>'Step B - Weight by Scl Impact'!B23*'Step C weights'!B$40</f>
        <v>6.3056860575500764E-2</v>
      </c>
      <c r="C22" s="5">
        <f>'Step B - Weight by Scl Impact'!C23*'Step C weights'!C$40</f>
        <v>0.12235789656677233</v>
      </c>
      <c r="D22" s="5">
        <f>'Step B - Weight by Scl Impact'!D23*'Step C weights'!D$40</f>
        <v>0.30859082056782094</v>
      </c>
      <c r="E22" s="5">
        <f>'Step B - Weight by Scl Impact'!E23*'Step C weights'!E$40</f>
        <v>0.42155401097969419</v>
      </c>
      <c r="F22" s="5">
        <f>'Step B - Weight by Scl Impact'!F23*'Step C weights'!F$40</f>
        <v>0.6473197056412513</v>
      </c>
      <c r="G22" s="5">
        <f>'Step B - Weight by Scl Impact'!G23*'Step C weights'!G$40</f>
        <v>0.13665400744616416</v>
      </c>
      <c r="I22" s="29" t="str">
        <f t="shared" si="0"/>
        <v>AoW4-Framework for embedding nutrition into breeding pipelines and processes.</v>
      </c>
      <c r="J22" s="5">
        <f>'Step B - Weight by Scl Impact'!J23*'Step C weights'!B$40</f>
        <v>4.6692401357508191E-2</v>
      </c>
      <c r="K22" s="5">
        <f>'Step B - Weight by Scl Impact'!K23*'Step C weights'!C$40</f>
        <v>4.4244222299748968E-2</v>
      </c>
      <c r="L22" s="5">
        <f>'Step B - Weight by Scl Impact'!L23*'Step C weights'!D$40</f>
        <v>0.62807463672123354</v>
      </c>
      <c r="M22" s="5">
        <f>'Step B - Weight by Scl Impact'!M23*'Step C weights'!E$40</f>
        <v>0.84852565682552494</v>
      </c>
      <c r="N22" s="5">
        <f>'Step B - Weight by Scl Impact'!N23*'Step C weights'!F$40</f>
        <v>0.29985603901838059</v>
      </c>
      <c r="O22" s="5">
        <f>'Step B - Weight by Scl Impact'!O23*'Step C weights'!G$40</f>
        <v>1.3359586759306461E-2</v>
      </c>
      <c r="Q22" s="29" t="str">
        <f t="shared" si="1"/>
        <v>AoW4-Framework for embedding nutrition into breeding pipelines and processes.</v>
      </c>
      <c r="R22" s="5">
        <f>'Step B - Weight by Scl Impact'!R23*'Step C weights'!B$40</f>
        <v>0.1423941326673504</v>
      </c>
      <c r="S22" s="5">
        <f>'Step B - Weight by Scl Impact'!S23*'Step C weights'!C$40</f>
        <v>0.20980506725060508</v>
      </c>
      <c r="T22" s="5">
        <f>'Step B - Weight by Scl Impact'!T23*'Step C weights'!D$40</f>
        <v>0.45269967146756646</v>
      </c>
      <c r="U22" s="5">
        <f>'Step B - Weight by Scl Impact'!U23*'Step C weights'!E$40</f>
        <v>0.44720686657624303</v>
      </c>
      <c r="V22" s="5">
        <f>'Step B - Weight by Scl Impact'!V23*'Step C weights'!F$40</f>
        <v>0.24113775931519857</v>
      </c>
      <c r="W22" s="5">
        <f>'Step B - Weight by Scl Impact'!W23*'Step C weights'!G$40</f>
        <v>0.147540327653296</v>
      </c>
      <c r="Y22" s="29" t="str">
        <f t="shared" si="2"/>
        <v>AoW4-Framework for embedding nutrition into breeding pipelines and processes.</v>
      </c>
      <c r="Z22" s="5">
        <f>'Step B - Weight by Scl Impact'!Z23*'Step C weights'!B$40</f>
        <v>0.22253768662536108</v>
      </c>
      <c r="AA22" s="5">
        <f>'Step B - Weight by Scl Impact'!AA23*'Step C weights'!C$40</f>
        <v>7.9692858339799805E-2</v>
      </c>
      <c r="AB22" s="5">
        <f>'Step B - Weight by Scl Impact'!AB23*'Step C weights'!D$40</f>
        <v>0.15804755412375995</v>
      </c>
      <c r="AC22" s="5">
        <f>'Step B - Weight by Scl Impact'!AC23*'Step C weights'!E$40</f>
        <v>0.28538487551989722</v>
      </c>
      <c r="AD22" s="5">
        <f>'Step B - Weight by Scl Impact'!AD23*'Step C weights'!F$40</f>
        <v>0.36551212566402691</v>
      </c>
      <c r="AE22" s="5">
        <f>'Step B - Weight by Scl Impact'!AE23*'Step C weights'!G$40</f>
        <v>0.51971908860699578</v>
      </c>
      <c r="AG22" s="29" t="str">
        <f t="shared" si="3"/>
        <v>AoW4-Framework for embedding nutrition into breeding pipelines and processes.</v>
      </c>
      <c r="AH22" s="5">
        <f>'Step B - Weight by Scl Impact'!AH23*'Step C weights'!B$40</f>
        <v>0.22253768662536108</v>
      </c>
      <c r="AI22" s="5">
        <f>'Step B - Weight by Scl Impact'!AI23*'Step C weights'!C$40</f>
        <v>7.9692858339799805E-2</v>
      </c>
      <c r="AJ22" s="5">
        <f>'Step B - Weight by Scl Impact'!AJ23*'Step C weights'!D$40</f>
        <v>0.15804755412375995</v>
      </c>
      <c r="AK22" s="5">
        <f>'Step B - Weight by Scl Impact'!AK23*'Step C weights'!E$40</f>
        <v>0.28538487551989722</v>
      </c>
      <c r="AL22" s="5">
        <f>'Step B - Weight by Scl Impact'!AL23*'Step C weights'!F$40</f>
        <v>0.36551212566402691</v>
      </c>
      <c r="AM22" s="5">
        <f>'Step B - Weight by Scl Impact'!AM23*'Step C weights'!G$40</f>
        <v>0.38978931645524678</v>
      </c>
    </row>
    <row r="23" spans="1:39">
      <c r="A23" s="29" t="str">
        <f>IF(NOT(ISBLANK(HLOs!D22)),HLOs!D22,"")</f>
        <v>AoW4-Suite of solutions for traders and vendors that address constraints to sustainable healthy diets co-developed, tested, and scaled with technical support and country engagement.</v>
      </c>
      <c r="B23" s="5">
        <f>'Step B - Weight by Scl Impact'!B24*'Step C weights'!B$40</f>
        <v>6.3056860575500764E-2</v>
      </c>
      <c r="C23" s="5">
        <f>'Step B - Weight by Scl Impact'!C24*'Step C weights'!C$40</f>
        <v>0.12235789656677233</v>
      </c>
      <c r="D23" s="5">
        <f>'Step B - Weight by Scl Impact'!D24*'Step C weights'!D$40</f>
        <v>0.15429541028391047</v>
      </c>
      <c r="E23" s="5">
        <f>'Step B - Weight by Scl Impact'!E24*'Step C weights'!E$40</f>
        <v>0.2107770054898471</v>
      </c>
      <c r="F23" s="5">
        <f>'Step B - Weight by Scl Impact'!F24*'Step C weights'!F$40</f>
        <v>0.32365985282062565</v>
      </c>
      <c r="G23" s="5">
        <f>'Step B - Weight by Scl Impact'!G24*'Step C weights'!G$40</f>
        <v>6.8327003723082078E-2</v>
      </c>
      <c r="I23" s="29" t="str">
        <f t="shared" si="0"/>
        <v>AoW4-Suite of solutions for traders and vendors that address constraints to sustainable healthy diets co-developed, tested, and scaled with technical support and country engagement.</v>
      </c>
      <c r="J23" s="5">
        <f>'Step B - Weight by Scl Impact'!J24*'Step C weights'!B$40</f>
        <v>4.6692401357508191E-2</v>
      </c>
      <c r="K23" s="5">
        <f>'Step B - Weight by Scl Impact'!K24*'Step C weights'!C$40</f>
        <v>4.4244222299748968E-2</v>
      </c>
      <c r="L23" s="5">
        <f>'Step B - Weight by Scl Impact'!L24*'Step C weights'!D$40</f>
        <v>0.37684478203274019</v>
      </c>
      <c r="M23" s="5">
        <f>'Step B - Weight by Scl Impact'!M24*'Step C weights'!E$40</f>
        <v>0.50911539409531492</v>
      </c>
      <c r="N23" s="5">
        <f>'Step B - Weight by Scl Impact'!N24*'Step C weights'!F$40</f>
        <v>0.29985603901838059</v>
      </c>
      <c r="O23" s="5">
        <f>'Step B - Weight by Scl Impact'!O24*'Step C weights'!G$40</f>
        <v>1.3359586759306461E-2</v>
      </c>
      <c r="Q23" s="29" t="str">
        <f t="shared" si="1"/>
        <v>AoW4-Suite of solutions for traders and vendors that address constraints to sustainable healthy diets co-developed, tested, and scaled with technical support and country engagement.</v>
      </c>
      <c r="R23" s="5">
        <f>'Step B - Weight by Scl Impact'!R24*'Step C weights'!B$40</f>
        <v>0.1423941326673504</v>
      </c>
      <c r="S23" s="5">
        <f>'Step B - Weight by Scl Impact'!S24*'Step C weights'!C$40</f>
        <v>0.20980506725060508</v>
      </c>
      <c r="T23" s="5">
        <f>'Step B - Weight by Scl Impact'!T24*'Step C weights'!D$40</f>
        <v>0.27161980288053988</v>
      </c>
      <c r="U23" s="5">
        <f>'Step B - Weight by Scl Impact'!U24*'Step C weights'!E$40</f>
        <v>0.26832411994574579</v>
      </c>
      <c r="V23" s="5">
        <f>'Step B - Weight by Scl Impact'!V24*'Step C weights'!F$40</f>
        <v>0.24113775931519857</v>
      </c>
      <c r="W23" s="5">
        <f>'Step B - Weight by Scl Impact'!W24*'Step C weights'!G$40</f>
        <v>0.147540327653296</v>
      </c>
      <c r="Y23" s="29" t="str">
        <f t="shared" si="2"/>
        <v>AoW4-Suite of solutions for traders and vendors that address constraints to sustainable healthy diets co-developed, tested, and scaled with technical support and country engagement.</v>
      </c>
      <c r="Z23" s="5">
        <f>'Step B - Weight by Scl Impact'!Z24*'Step C weights'!B$40</f>
        <v>0.22253768662536108</v>
      </c>
      <c r="AA23" s="5">
        <f>'Step B - Weight by Scl Impact'!AA24*'Step C weights'!C$40</f>
        <v>7.9692858339799805E-2</v>
      </c>
      <c r="AB23" s="5">
        <f>'Step B - Weight by Scl Impact'!AB24*'Step C weights'!D$40</f>
        <v>9.4828532474255975E-2</v>
      </c>
      <c r="AC23" s="5">
        <f>'Step B - Weight by Scl Impact'!AC24*'Step C weights'!E$40</f>
        <v>0.17123092531193837</v>
      </c>
      <c r="AD23" s="5">
        <f>'Step B - Weight by Scl Impact'!AD24*'Step C weights'!F$40</f>
        <v>0.36551212566402691</v>
      </c>
      <c r="AE23" s="5">
        <f>'Step B - Weight by Scl Impact'!AE24*'Step C weights'!G$40</f>
        <v>0.38978931645524678</v>
      </c>
      <c r="AG23" s="29" t="str">
        <f t="shared" si="3"/>
        <v>AoW4-Suite of solutions for traders and vendors that address constraints to sustainable healthy diets co-developed, tested, and scaled with technical support and country engagement.</v>
      </c>
      <c r="AH23" s="5">
        <f>'Step B - Weight by Scl Impact'!AH24*'Step C weights'!B$40</f>
        <v>0.22253768662536108</v>
      </c>
      <c r="AI23" s="5">
        <f>'Step B - Weight by Scl Impact'!AI24*'Step C weights'!C$40</f>
        <v>7.9692858339799805E-2</v>
      </c>
      <c r="AJ23" s="5">
        <f>'Step B - Weight by Scl Impact'!AJ24*'Step C weights'!D$40</f>
        <v>9.4828532474255975E-2</v>
      </c>
      <c r="AK23" s="5">
        <f>'Step B - Weight by Scl Impact'!AK24*'Step C weights'!E$40</f>
        <v>0.17123092531193837</v>
      </c>
      <c r="AL23" s="5">
        <f>'Step B - Weight by Scl Impact'!AL24*'Step C weights'!F$40</f>
        <v>0.36551212566402691</v>
      </c>
      <c r="AM23" s="5">
        <f>'Step B - Weight by Scl Impact'!AM24*'Step C weights'!G$40</f>
        <v>0.38978931645524678</v>
      </c>
    </row>
    <row r="24" spans="1:39">
      <c r="A24" s="29" t="str">
        <f>IF(NOT(ISBLANK(HLOs!D23)),HLOs!D23,"")</f>
        <v>AoW4-Suite of solutions to support consumers awareness, preference, affordability, and utilization of biofortified and health-enhancing crops in their diets.</v>
      </c>
      <c r="B24" s="5">
        <f>'Step B - Weight by Scl Impact'!B25*'Step C weights'!B$40</f>
        <v>6.3056860575500764E-2</v>
      </c>
      <c r="C24" s="5">
        <f>'Step B - Weight by Scl Impact'!C25*'Step C weights'!C$40</f>
        <v>0.12235789656677233</v>
      </c>
      <c r="D24" s="5">
        <f>'Step B - Weight by Scl Impact'!D25*'Step C weights'!D$40</f>
        <v>0.23144311542586568</v>
      </c>
      <c r="E24" s="5">
        <f>'Step B - Weight by Scl Impact'!E25*'Step C weights'!E$40</f>
        <v>0.2107770054898471</v>
      </c>
      <c r="F24" s="5">
        <f>'Step B - Weight by Scl Impact'!F25*'Step C weights'!F$40</f>
        <v>0.32365985282062565</v>
      </c>
      <c r="G24" s="5">
        <f>'Step B - Weight by Scl Impact'!G25*'Step C weights'!G$40</f>
        <v>6.8327003723082078E-2</v>
      </c>
      <c r="I24" s="29" t="str">
        <f t="shared" si="0"/>
        <v>AoW4-Suite of solutions to support consumers awareness, preference, affordability, and utilization of biofortified and health-enhancing crops in their diets.</v>
      </c>
      <c r="J24" s="5">
        <f>'Step B - Weight by Scl Impact'!J25*'Step C weights'!B$40</f>
        <v>4.6692401357508191E-2</v>
      </c>
      <c r="K24" s="5">
        <f>'Step B - Weight by Scl Impact'!K25*'Step C weights'!C$40</f>
        <v>4.4244222299748968E-2</v>
      </c>
      <c r="L24" s="5">
        <f>'Step B - Weight by Scl Impact'!L25*'Step C weights'!D$40</f>
        <v>0.25122985468849346</v>
      </c>
      <c r="M24" s="5">
        <f>'Step B - Weight by Scl Impact'!M25*'Step C weights'!E$40</f>
        <v>0.33941026273020997</v>
      </c>
      <c r="N24" s="5">
        <f>'Step B - Weight by Scl Impact'!N25*'Step C weights'!F$40</f>
        <v>0.29985603901838059</v>
      </c>
      <c r="O24" s="5">
        <f>'Step B - Weight by Scl Impact'!O25*'Step C weights'!G$40</f>
        <v>1.3359586759306461E-2</v>
      </c>
      <c r="Q24" s="29" t="str">
        <f t="shared" si="1"/>
        <v>AoW4-Suite of solutions to support consumers awareness, preference, affordability, and utilization of biofortified and health-enhancing crops in their diets.</v>
      </c>
      <c r="R24" s="5">
        <f>'Step B - Weight by Scl Impact'!R25*'Step C weights'!B$40</f>
        <v>0.1423941326673504</v>
      </c>
      <c r="S24" s="5">
        <f>'Step B - Weight by Scl Impact'!S25*'Step C weights'!C$40</f>
        <v>0.20980506725060508</v>
      </c>
      <c r="T24" s="5">
        <f>'Step B - Weight by Scl Impact'!T25*'Step C weights'!D$40</f>
        <v>0.18107986858702657</v>
      </c>
      <c r="U24" s="5">
        <f>'Step B - Weight by Scl Impact'!U25*'Step C weights'!E$40</f>
        <v>0.17888274663049719</v>
      </c>
      <c r="V24" s="5">
        <f>'Step B - Weight by Scl Impact'!V25*'Step C weights'!F$40</f>
        <v>0.16075850621013241</v>
      </c>
      <c r="W24" s="5">
        <f>'Step B - Weight by Scl Impact'!W25*'Step C weights'!G$40</f>
        <v>9.836021843553068E-2</v>
      </c>
      <c r="Y24" s="29" t="str">
        <f t="shared" si="2"/>
        <v>AoW4-Suite of solutions to support consumers awareness, preference, affordability, and utilization of biofortified and health-enhancing crops in their diets.</v>
      </c>
      <c r="Z24" s="5">
        <f>'Step B - Weight by Scl Impact'!Z25*'Step C weights'!B$40</f>
        <v>0.22253768662536108</v>
      </c>
      <c r="AA24" s="5">
        <f>'Step B - Weight by Scl Impact'!AA25*'Step C weights'!C$40</f>
        <v>7.9692858339799805E-2</v>
      </c>
      <c r="AB24" s="5">
        <f>'Step B - Weight by Scl Impact'!AB25*'Step C weights'!D$40</f>
        <v>6.3219021649503979E-2</v>
      </c>
      <c r="AC24" s="5">
        <f>'Step B - Weight by Scl Impact'!AC25*'Step C weights'!E$40</f>
        <v>0.1141539502079589</v>
      </c>
      <c r="AD24" s="5">
        <f>'Step B - Weight by Scl Impact'!AD25*'Step C weights'!F$40</f>
        <v>0.36551212566402691</v>
      </c>
      <c r="AE24" s="5">
        <f>'Step B - Weight by Scl Impact'!AE25*'Step C weights'!G$40</f>
        <v>0.25985954430349789</v>
      </c>
      <c r="AG24" s="29" t="str">
        <f t="shared" si="3"/>
        <v>AoW4-Suite of solutions to support consumers awareness, preference, affordability, and utilization of biofortified and health-enhancing crops in their diets.</v>
      </c>
      <c r="AH24" s="5">
        <f>'Step B - Weight by Scl Impact'!AH25*'Step C weights'!B$40</f>
        <v>0.22253768662536108</v>
      </c>
      <c r="AI24" s="5">
        <f>'Step B - Weight by Scl Impact'!AI25*'Step C weights'!C$40</f>
        <v>7.9692858339799805E-2</v>
      </c>
      <c r="AJ24" s="5">
        <f>'Step B - Weight by Scl Impact'!AJ25*'Step C weights'!D$40</f>
        <v>6.3219021649503979E-2</v>
      </c>
      <c r="AK24" s="5">
        <f>'Step B - Weight by Scl Impact'!AK25*'Step C weights'!E$40</f>
        <v>0.1141539502079589</v>
      </c>
      <c r="AL24" s="5">
        <f>'Step B - Weight by Scl Impact'!AL25*'Step C weights'!F$40</f>
        <v>0.36551212566402691</v>
      </c>
      <c r="AM24" s="5">
        <f>'Step B - Weight by Scl Impact'!AM25*'Step C weights'!G$40</f>
        <v>0.38978931645524678</v>
      </c>
    </row>
    <row r="25" spans="1:39">
      <c r="A25" s="29" t="str">
        <f>IF(NOT(ISBLANK(HLOs!D24)),HLOs!D24,"")</f>
        <v>AoW5-Suite of multisectoral solutions for government and non-government organizations that address constraints to sustainable healthy diets co-developed, tested, and scaled with technical support and country engagement</v>
      </c>
      <c r="B25" s="5">
        <f>'Step B - Weight by Scl Impact'!B26*'Step C weights'!B$40</f>
        <v>6.3056860575500764E-2</v>
      </c>
      <c r="C25" s="5">
        <f>'Step B - Weight by Scl Impact'!C26*'Step C weights'!C$40</f>
        <v>0</v>
      </c>
      <c r="D25" s="5">
        <f>'Step B - Weight by Scl Impact'!D26*'Step C weights'!D$40</f>
        <v>0.30859082056782094</v>
      </c>
      <c r="E25" s="5">
        <f>'Step B - Weight by Scl Impact'!E26*'Step C weights'!E$40</f>
        <v>0.42155401097969419</v>
      </c>
      <c r="F25" s="5">
        <f>'Step B - Weight by Scl Impact'!F26*'Step C weights'!F$40</f>
        <v>0.6473197056412513</v>
      </c>
      <c r="G25" s="5">
        <f>'Step B - Weight by Scl Impact'!G26*'Step C weights'!G$40</f>
        <v>0.13665400744616416</v>
      </c>
      <c r="I25" s="29" t="str">
        <f t="shared" si="0"/>
        <v>AoW5-Suite of multisectoral solutions for government and non-government organizations that address constraints to sustainable healthy diets co-developed, tested, and scaled with technical support and country engagement</v>
      </c>
      <c r="J25" s="5">
        <f>'Step B - Weight by Scl Impact'!J26*'Step C weights'!B$40</f>
        <v>2.3346200678754096E-2</v>
      </c>
      <c r="K25" s="5">
        <f>'Step B - Weight by Scl Impact'!K26*'Step C weights'!C$40</f>
        <v>1.4748074099916323E-2</v>
      </c>
      <c r="L25" s="5">
        <f>'Step B - Weight by Scl Impact'!L26*'Step C weights'!D$40</f>
        <v>0.25122985468849346</v>
      </c>
      <c r="M25" s="5">
        <f>'Step B - Weight by Scl Impact'!M26*'Step C weights'!E$40</f>
        <v>0.33941026273020997</v>
      </c>
      <c r="N25" s="5">
        <f>'Step B - Weight by Scl Impact'!N26*'Step C weights'!F$40</f>
        <v>0.19990402601225374</v>
      </c>
      <c r="O25" s="5">
        <f>'Step B - Weight by Scl Impact'!O26*'Step C weights'!G$40</f>
        <v>8.9063911728709741E-3</v>
      </c>
      <c r="Q25" s="29" t="str">
        <f t="shared" si="1"/>
        <v>AoW5-Suite of multisectoral solutions for government and non-government organizations that address constraints to sustainable healthy diets co-developed, tested, and scaled with technical support and country engagement</v>
      </c>
      <c r="R25" s="5">
        <f>'Step B - Weight by Scl Impact'!R26*'Step C weights'!B$40</f>
        <v>0.1423941326673504</v>
      </c>
      <c r="S25" s="5">
        <f>'Step B - Weight by Scl Impact'!S26*'Step C weights'!C$40</f>
        <v>0</v>
      </c>
      <c r="T25" s="5">
        <f>'Step B - Weight by Scl Impact'!T26*'Step C weights'!D$40</f>
        <v>0.27161980288053988</v>
      </c>
      <c r="U25" s="5">
        <f>'Step B - Weight by Scl Impact'!U26*'Step C weights'!E$40</f>
        <v>0.35776549326099438</v>
      </c>
      <c r="V25" s="5">
        <f>'Step B - Weight by Scl Impact'!V26*'Step C weights'!F$40</f>
        <v>0.32151701242026481</v>
      </c>
      <c r="W25" s="5">
        <f>'Step B - Weight by Scl Impact'!W26*'Step C weights'!G$40</f>
        <v>0.147540327653296</v>
      </c>
      <c r="Y25" s="29" t="str">
        <f t="shared" si="2"/>
        <v>AoW5-Suite of multisectoral solutions for government and non-government organizations that address constraints to sustainable healthy diets co-developed, tested, and scaled with technical support and country engagement</v>
      </c>
      <c r="Z25" s="5">
        <f>'Step B - Weight by Scl Impact'!Z26*'Step C weights'!B$40</f>
        <v>0</v>
      </c>
      <c r="AA25" s="5">
        <f>'Step B - Weight by Scl Impact'!AA26*'Step C weights'!C$40</f>
        <v>0</v>
      </c>
      <c r="AB25" s="5">
        <f>'Step B - Weight by Scl Impact'!AB26*'Step C weights'!D$40</f>
        <v>0</v>
      </c>
      <c r="AC25" s="5">
        <f>'Step B - Weight by Scl Impact'!AC26*'Step C weights'!E$40</f>
        <v>0</v>
      </c>
      <c r="AD25" s="5">
        <f>'Step B - Weight by Scl Impact'!AD26*'Step C weights'!F$40</f>
        <v>0</v>
      </c>
      <c r="AE25" s="5">
        <f>'Step B - Weight by Scl Impact'!AE26*'Step C weights'!G$40</f>
        <v>0</v>
      </c>
      <c r="AG25" s="29" t="str">
        <f t="shared" si="3"/>
        <v>AoW5-Suite of multisectoral solutions for government and non-government organizations that address constraints to sustainable healthy diets co-developed, tested, and scaled with technical support and country engagement</v>
      </c>
      <c r="AH25" s="5">
        <f>'Step B - Weight by Scl Impact'!AH26*'Step C weights'!B$40</f>
        <v>0</v>
      </c>
      <c r="AI25" s="5">
        <f>'Step B - Weight by Scl Impact'!AI26*'Step C weights'!C$40</f>
        <v>0</v>
      </c>
      <c r="AJ25" s="5">
        <f>'Step B - Weight by Scl Impact'!AJ26*'Step C weights'!D$40</f>
        <v>0</v>
      </c>
      <c r="AK25" s="5">
        <f>'Step B - Weight by Scl Impact'!AK26*'Step C weights'!E$40</f>
        <v>0</v>
      </c>
      <c r="AL25" s="5">
        <f>'Step B - Weight by Scl Impact'!AL26*'Step C weights'!F$40</f>
        <v>0</v>
      </c>
      <c r="AM25" s="5">
        <f>'Step B - Weight by Scl Impact'!AM26*'Step C weights'!G$40</f>
        <v>0</v>
      </c>
    </row>
    <row r="26" spans="1:39">
      <c r="A26" s="29" t="str">
        <f>IF(NOT(ISBLANK(HLOs!D25)),HLOs!D25,"")</f>
        <v>AoW6-Synthesized knowledge products across AoWs and disseminated</v>
      </c>
      <c r="B26" s="5">
        <f>'Step B - Weight by Scl Impact'!B27*'Step C weights'!B$40</f>
        <v>6.3056860575500764E-2</v>
      </c>
      <c r="C26" s="5">
        <f>'Step B - Weight by Scl Impact'!C27*'Step C weights'!C$40</f>
        <v>8.1571931044514892E-2</v>
      </c>
      <c r="D26" s="5">
        <f>'Step B - Weight by Scl Impact'!D27*'Step C weights'!D$40</f>
        <v>0.23144311542586568</v>
      </c>
      <c r="E26" s="5">
        <f>'Step B - Weight by Scl Impact'!E27*'Step C weights'!E$40</f>
        <v>0.31616550823477063</v>
      </c>
      <c r="F26" s="5">
        <f>'Step B - Weight by Scl Impact'!F27*'Step C weights'!F$40</f>
        <v>0.4854897792309385</v>
      </c>
      <c r="G26" s="5">
        <f>'Step B - Weight by Scl Impact'!G27*'Step C weights'!G$40</f>
        <v>6.8327003723082078E-2</v>
      </c>
      <c r="I26" s="29" t="str">
        <f t="shared" si="0"/>
        <v>AoW6-Synthesized knowledge products across AoWs and disseminated</v>
      </c>
      <c r="J26" s="5">
        <f>'Step B - Weight by Scl Impact'!J27*'Step C weights'!B$40</f>
        <v>0</v>
      </c>
      <c r="K26" s="5">
        <f>'Step B - Weight by Scl Impact'!K27*'Step C weights'!C$40</f>
        <v>0</v>
      </c>
      <c r="L26" s="5">
        <f>'Step B - Weight by Scl Impact'!L27*'Step C weights'!D$40</f>
        <v>0.37684478203274019</v>
      </c>
      <c r="M26" s="5">
        <f>'Step B - Weight by Scl Impact'!M27*'Step C weights'!E$40</f>
        <v>0.50911539409531492</v>
      </c>
      <c r="N26" s="5">
        <f>'Step B - Weight by Scl Impact'!N27*'Step C weights'!F$40</f>
        <v>0.19990402601225374</v>
      </c>
      <c r="O26" s="5">
        <f>'Step B - Weight by Scl Impact'!O27*'Step C weights'!G$40</f>
        <v>8.9063911728709741E-3</v>
      </c>
      <c r="Q26" s="29" t="str">
        <f t="shared" si="1"/>
        <v>AoW6-Synthesized knowledge products across AoWs and disseminated</v>
      </c>
      <c r="R26" s="5">
        <f>'Step B - Weight by Scl Impact'!R27*'Step C weights'!B$40</f>
        <v>0</v>
      </c>
      <c r="S26" s="5">
        <f>'Step B - Weight by Scl Impact'!S27*'Step C weights'!C$40</f>
        <v>0</v>
      </c>
      <c r="T26" s="5">
        <f>'Step B - Weight by Scl Impact'!T27*'Step C weights'!D$40</f>
        <v>0.27161980288053988</v>
      </c>
      <c r="U26" s="5">
        <f>'Step B - Weight by Scl Impact'!U27*'Step C weights'!E$40</f>
        <v>0.26832411994574579</v>
      </c>
      <c r="V26" s="5">
        <f>'Step B - Weight by Scl Impact'!V27*'Step C weights'!F$40</f>
        <v>0.24113775931519857</v>
      </c>
      <c r="W26" s="5">
        <f>'Step B - Weight by Scl Impact'!W27*'Step C weights'!G$40</f>
        <v>0.147540327653296</v>
      </c>
      <c r="Y26" s="29" t="str">
        <f t="shared" si="2"/>
        <v>AoW6-Synthesized knowledge products across AoWs and disseminated</v>
      </c>
      <c r="Z26" s="5">
        <f>'Step B - Weight by Scl Impact'!Z27*'Step C weights'!B$40</f>
        <v>0.22253768662536108</v>
      </c>
      <c r="AA26" s="5">
        <f>'Step B - Weight by Scl Impact'!AA27*'Step C weights'!C$40</f>
        <v>5.3128572226533201E-2</v>
      </c>
      <c r="AB26" s="5">
        <f>'Step B - Weight by Scl Impact'!AB27*'Step C weights'!D$40</f>
        <v>9.4828532474255975E-2</v>
      </c>
      <c r="AC26" s="5">
        <f>'Step B - Weight by Scl Impact'!AC27*'Step C weights'!E$40</f>
        <v>0.17123092531193837</v>
      </c>
      <c r="AD26" s="5">
        <f>'Step B - Weight by Scl Impact'!AD27*'Step C weights'!F$40</f>
        <v>0.36551212566402691</v>
      </c>
      <c r="AE26" s="5">
        <f>'Step B - Weight by Scl Impact'!AE27*'Step C weights'!G$40</f>
        <v>0.25985954430349789</v>
      </c>
      <c r="AG26" s="29" t="str">
        <f t="shared" si="3"/>
        <v>AoW6-Synthesized knowledge products across AoWs and disseminated</v>
      </c>
      <c r="AH26" s="5">
        <f>'Step B - Weight by Scl Impact'!AH27*'Step C weights'!B$40</f>
        <v>0.33380652993804161</v>
      </c>
      <c r="AI26" s="5">
        <f>'Step B - Weight by Scl Impact'!AI27*'Step C weights'!C$40</f>
        <v>7.9692858339799805E-2</v>
      </c>
      <c r="AJ26" s="5">
        <f>'Step B - Weight by Scl Impact'!AJ27*'Step C weights'!D$40</f>
        <v>9.4828532474255975E-2</v>
      </c>
      <c r="AK26" s="5">
        <f>'Step B - Weight by Scl Impact'!AK27*'Step C weights'!E$40</f>
        <v>0.17123092531193837</v>
      </c>
      <c r="AL26" s="5">
        <f>'Step B - Weight by Scl Impact'!AL27*'Step C weights'!F$40</f>
        <v>0.36551212566402691</v>
      </c>
      <c r="AM26" s="5">
        <f>'Step B - Weight by Scl Impact'!AM27*'Step C weights'!G$40</f>
        <v>0.38978931645524678</v>
      </c>
    </row>
    <row r="27" spans="1:39">
      <c r="A27" s="29" t="str">
        <f>IF(NOT(ISBLANK(HLOs!D26)),HLOs!D26,"")</f>
        <v>AoW6-Regional food systems transformation coordination mechanisms disseminated</v>
      </c>
      <c r="B27" s="5">
        <f>'Step B - Weight by Scl Impact'!B28*'Step C weights'!B$40</f>
        <v>9.4585290863251154E-2</v>
      </c>
      <c r="C27" s="5">
        <f>'Step B - Weight by Scl Impact'!C28*'Step C weights'!C$40</f>
        <v>0.12235789656677233</v>
      </c>
      <c r="D27" s="5">
        <f>'Step B - Weight by Scl Impact'!D28*'Step C weights'!D$40</f>
        <v>0.30859082056782094</v>
      </c>
      <c r="E27" s="5">
        <f>'Step B - Weight by Scl Impact'!E28*'Step C weights'!E$40</f>
        <v>0.42155401097969419</v>
      </c>
      <c r="F27" s="5">
        <f>'Step B - Weight by Scl Impact'!F28*'Step C weights'!F$40</f>
        <v>0.6473197056412513</v>
      </c>
      <c r="G27" s="5">
        <f>'Step B - Weight by Scl Impact'!G28*'Step C weights'!G$40</f>
        <v>0.13665400744616416</v>
      </c>
      <c r="I27" s="29" t="str">
        <f t="shared" si="0"/>
        <v>AoW6-Regional food systems transformation coordination mechanisms disseminated</v>
      </c>
      <c r="J27" s="5">
        <f>'Step B - Weight by Scl Impact'!J28*'Step C weights'!B$40</f>
        <v>0</v>
      </c>
      <c r="K27" s="5">
        <f>'Step B - Weight by Scl Impact'!K28*'Step C weights'!C$40</f>
        <v>0</v>
      </c>
      <c r="L27" s="5">
        <f>'Step B - Weight by Scl Impact'!L28*'Step C weights'!D$40</f>
        <v>0.37684478203274019</v>
      </c>
      <c r="M27" s="5">
        <f>'Step B - Weight by Scl Impact'!M28*'Step C weights'!E$40</f>
        <v>0.50911539409531492</v>
      </c>
      <c r="N27" s="5">
        <f>'Step B - Weight by Scl Impact'!N28*'Step C weights'!F$40</f>
        <v>0.19990402601225374</v>
      </c>
      <c r="O27" s="5">
        <f>'Step B - Weight by Scl Impact'!O28*'Step C weights'!G$40</f>
        <v>8.9063911728709741E-3</v>
      </c>
      <c r="Q27" s="29" t="str">
        <f t="shared" si="1"/>
        <v>AoW6-Regional food systems transformation coordination mechanisms disseminated</v>
      </c>
      <c r="R27" s="5">
        <f>'Step B - Weight by Scl Impact'!R28*'Step C weights'!B$40</f>
        <v>0</v>
      </c>
      <c r="S27" s="5">
        <f>'Step B - Weight by Scl Impact'!S28*'Step C weights'!C$40</f>
        <v>0</v>
      </c>
      <c r="T27" s="5">
        <f>'Step B - Weight by Scl Impact'!T28*'Step C weights'!D$40</f>
        <v>0.18107986858702657</v>
      </c>
      <c r="U27" s="5">
        <f>'Step B - Weight by Scl Impact'!U28*'Step C weights'!E$40</f>
        <v>0.17888274663049719</v>
      </c>
      <c r="V27" s="5">
        <f>'Step B - Weight by Scl Impact'!V28*'Step C weights'!F$40</f>
        <v>0.16075850621013241</v>
      </c>
      <c r="W27" s="5">
        <f>'Step B - Weight by Scl Impact'!W28*'Step C weights'!G$40</f>
        <v>9.836021843553068E-2</v>
      </c>
      <c r="Y27" s="29" t="str">
        <f t="shared" si="2"/>
        <v>AoW6-Regional food systems transformation coordination mechanisms disseminated</v>
      </c>
      <c r="Z27" s="5">
        <f>'Step B - Weight by Scl Impact'!Z28*'Step C weights'!B$40</f>
        <v>0.33380652993804161</v>
      </c>
      <c r="AA27" s="5">
        <f>'Step B - Weight by Scl Impact'!AA28*'Step C weights'!C$40</f>
        <v>7.9692858339799805E-2</v>
      </c>
      <c r="AB27" s="5">
        <f>'Step B - Weight by Scl Impact'!AB28*'Step C weights'!D$40</f>
        <v>9.4828532474255975E-2</v>
      </c>
      <c r="AC27" s="5">
        <f>'Step B - Weight by Scl Impact'!AC28*'Step C weights'!E$40</f>
        <v>0.17123092531193837</v>
      </c>
      <c r="AD27" s="5">
        <f>'Step B - Weight by Scl Impact'!AD28*'Step C weights'!F$40</f>
        <v>0.36551212566402691</v>
      </c>
      <c r="AE27" s="5">
        <f>'Step B - Weight by Scl Impact'!AE28*'Step C weights'!G$40</f>
        <v>0.38978931645524678</v>
      </c>
      <c r="AG27" s="29" t="str">
        <f t="shared" si="3"/>
        <v>AoW6-Regional food systems transformation coordination mechanisms disseminated</v>
      </c>
      <c r="AH27" s="5">
        <f>'Step B - Weight by Scl Impact'!AH28*'Step C weights'!B$40</f>
        <v>0.44507537325072216</v>
      </c>
      <c r="AI27" s="5">
        <f>'Step B - Weight by Scl Impact'!AI28*'Step C weights'!C$40</f>
        <v>0.1062571444530664</v>
      </c>
      <c r="AJ27" s="5">
        <f>'Step B - Weight by Scl Impact'!AJ28*'Step C weights'!D$40</f>
        <v>0.12643804329900796</v>
      </c>
      <c r="AK27" s="5">
        <f>'Step B - Weight by Scl Impact'!AK28*'Step C weights'!E$40</f>
        <v>0.22830790041591781</v>
      </c>
      <c r="AL27" s="5">
        <f>'Step B - Weight by Scl Impact'!AL28*'Step C weights'!F$40</f>
        <v>0.48734950088536921</v>
      </c>
      <c r="AM27" s="5">
        <f>'Step B - Weight by Scl Impact'!AM28*'Step C weights'!G$40</f>
        <v>0.51971908860699578</v>
      </c>
    </row>
    <row r="28" spans="1:39">
      <c r="A28" s="29" t="str">
        <f>IF(NOT(ISBLANK(HLOs!D27)),HLOs!D27,"")</f>
        <v>AoW6-Targeted capacity-sharing events addressing evidence to policy actions and strategic engagement to influence food systems thinking to promote positive transformative change among different stakeholders including CoPs.</v>
      </c>
      <c r="B28" s="5">
        <f>'Step B - Weight by Scl Impact'!B29*'Step C weights'!B$40</f>
        <v>9.4585290863251154E-2</v>
      </c>
      <c r="C28" s="5">
        <f>'Step B - Weight by Scl Impact'!C29*'Step C weights'!C$40</f>
        <v>0.12235789656677233</v>
      </c>
      <c r="D28" s="5">
        <f>'Step B - Weight by Scl Impact'!D29*'Step C weights'!D$40</f>
        <v>0.23144311542586568</v>
      </c>
      <c r="E28" s="5">
        <f>'Step B - Weight by Scl Impact'!E29*'Step C weights'!E$40</f>
        <v>0.2107770054898471</v>
      </c>
      <c r="F28" s="5">
        <f>'Step B - Weight by Scl Impact'!F29*'Step C weights'!F$40</f>
        <v>0.32365985282062565</v>
      </c>
      <c r="G28" s="5">
        <f>'Step B - Weight by Scl Impact'!G29*'Step C weights'!G$40</f>
        <v>0.10249050558462312</v>
      </c>
      <c r="I28" s="29" t="str">
        <f t="shared" ref="I28:I30" si="4">A28</f>
        <v>AoW6-Targeted capacity-sharing events addressing evidence to policy actions and strategic engagement to influence food systems thinking to promote positive transformative change among different stakeholders including CoPs.</v>
      </c>
      <c r="J28" s="5">
        <f>'Step B - Weight by Scl Impact'!J29*'Step C weights'!B$40</f>
        <v>0</v>
      </c>
      <c r="K28" s="5">
        <f>'Step B - Weight by Scl Impact'!K29*'Step C weights'!C$40</f>
        <v>0</v>
      </c>
      <c r="L28" s="5">
        <f>'Step B - Weight by Scl Impact'!L29*'Step C weights'!D$40</f>
        <v>0.37684478203274019</v>
      </c>
      <c r="M28" s="5">
        <f>'Step B - Weight by Scl Impact'!M29*'Step C weights'!E$40</f>
        <v>0.50911539409531492</v>
      </c>
      <c r="N28" s="5">
        <f>'Step B - Weight by Scl Impact'!N29*'Step C weights'!F$40</f>
        <v>0.19990402601225374</v>
      </c>
      <c r="O28" s="5">
        <f>'Step B - Weight by Scl Impact'!O29*'Step C weights'!G$40</f>
        <v>8.9063911728709741E-3</v>
      </c>
      <c r="Q28" s="29" t="str">
        <f t="shared" ref="Q28:Q30" si="5">I28</f>
        <v>AoW6-Targeted capacity-sharing events addressing evidence to policy actions and strategic engagement to influence food systems thinking to promote positive transformative change among different stakeholders including CoPs.</v>
      </c>
      <c r="R28" s="5">
        <f>'Step B - Weight by Scl Impact'!R29*'Step C weights'!B$40</f>
        <v>0</v>
      </c>
      <c r="S28" s="5">
        <f>'Step B - Weight by Scl Impact'!S29*'Step C weights'!C$40</f>
        <v>0</v>
      </c>
      <c r="T28" s="5">
        <f>'Step B - Weight by Scl Impact'!T29*'Step C weights'!D$40</f>
        <v>0.27161980288053988</v>
      </c>
      <c r="U28" s="5">
        <f>'Step B - Weight by Scl Impact'!U29*'Step C weights'!E$40</f>
        <v>0.26832411994574579</v>
      </c>
      <c r="V28" s="5">
        <f>'Step B - Weight by Scl Impact'!V29*'Step C weights'!F$40</f>
        <v>0.24113775931519857</v>
      </c>
      <c r="W28" s="5">
        <f>'Step B - Weight by Scl Impact'!W29*'Step C weights'!G$40</f>
        <v>0.147540327653296</v>
      </c>
      <c r="Y28" s="29" t="str">
        <f t="shared" ref="Y28:Y30" si="6">Q28</f>
        <v>AoW6-Targeted capacity-sharing events addressing evidence to policy actions and strategic engagement to influence food systems thinking to promote positive transformative change among different stakeholders including CoPs.</v>
      </c>
      <c r="Z28" s="5">
        <f>'Step B - Weight by Scl Impact'!Z29*'Step C weights'!B$40</f>
        <v>0.33380652993804161</v>
      </c>
      <c r="AA28" s="5">
        <f>'Step B - Weight by Scl Impact'!AA29*'Step C weights'!C$40</f>
        <v>7.9692858339799805E-2</v>
      </c>
      <c r="AB28" s="5">
        <f>'Step B - Weight by Scl Impact'!AB29*'Step C weights'!D$40</f>
        <v>9.4828532474255975E-2</v>
      </c>
      <c r="AC28" s="5">
        <f>'Step B - Weight by Scl Impact'!AC29*'Step C weights'!E$40</f>
        <v>0.17123092531193837</v>
      </c>
      <c r="AD28" s="5">
        <f>'Step B - Weight by Scl Impact'!AD29*'Step C weights'!F$40</f>
        <v>0.36551212566402691</v>
      </c>
      <c r="AE28" s="5">
        <f>'Step B - Weight by Scl Impact'!AE29*'Step C weights'!G$40</f>
        <v>0.38978931645524678</v>
      </c>
      <c r="AG28" s="29" t="str">
        <f t="shared" ref="AG28:AG30" si="7">A28</f>
        <v>AoW6-Targeted capacity-sharing events addressing evidence to policy actions and strategic engagement to influence food systems thinking to promote positive transformative change among different stakeholders including CoPs.</v>
      </c>
      <c r="AH28" s="5">
        <f>'Step B - Weight by Scl Impact'!AH29*'Step C weights'!B$40</f>
        <v>0.33380652993804161</v>
      </c>
      <c r="AI28" s="5">
        <f>'Step B - Weight by Scl Impact'!AI29*'Step C weights'!C$40</f>
        <v>7.9692858339799805E-2</v>
      </c>
      <c r="AJ28" s="5">
        <f>'Step B - Weight by Scl Impact'!AJ29*'Step C weights'!D$40</f>
        <v>9.4828532474255975E-2</v>
      </c>
      <c r="AK28" s="5">
        <f>'Step B - Weight by Scl Impact'!AK29*'Step C weights'!E$40</f>
        <v>0.17123092531193837</v>
      </c>
      <c r="AL28" s="5">
        <f>'Step B - Weight by Scl Impact'!AL29*'Step C weights'!F$40</f>
        <v>0.36551212566402691</v>
      </c>
      <c r="AM28" s="5">
        <f>'Step B - Weight by Scl Impact'!AM29*'Step C weights'!G$40</f>
        <v>0.38978931645524678</v>
      </c>
    </row>
    <row r="29" spans="1:39">
      <c r="A29" s="29" t="str">
        <f>IF(NOT(ISBLANK(HLOs!D28)),HLOs!D28,"")</f>
        <v>AoW6-Regional, continental FS leadership development events to promote BDN outcomes for FST</v>
      </c>
      <c r="B29" s="5">
        <f>'Step B - Weight by Scl Impact'!B30*'Step C weights'!B$40</f>
        <v>9.4585290863251154E-2</v>
      </c>
      <c r="C29" s="5">
        <f>'Step B - Weight by Scl Impact'!C30*'Step C weights'!C$40</f>
        <v>0.12235789656677233</v>
      </c>
      <c r="D29" s="5">
        <f>'Step B - Weight by Scl Impact'!D30*'Step C weights'!D$40</f>
        <v>0.15429541028391047</v>
      </c>
      <c r="E29" s="5">
        <f>'Step B - Weight by Scl Impact'!E30*'Step C weights'!E$40</f>
        <v>0.2107770054898471</v>
      </c>
      <c r="F29" s="5">
        <f>'Step B - Weight by Scl Impact'!F30*'Step C weights'!F$40</f>
        <v>0.32365985282062565</v>
      </c>
      <c r="G29" s="5">
        <f>'Step B - Weight by Scl Impact'!G30*'Step C weights'!G$40</f>
        <v>0.10249050558462312</v>
      </c>
      <c r="I29" s="29" t="str">
        <f t="shared" si="4"/>
        <v>AoW6-Regional, continental FS leadership development events to promote BDN outcomes for FST</v>
      </c>
      <c r="J29" s="5">
        <f>'Step B - Weight by Scl Impact'!J30*'Step C weights'!B$40</f>
        <v>0</v>
      </c>
      <c r="K29" s="5">
        <f>'Step B - Weight by Scl Impact'!K30*'Step C weights'!C$40</f>
        <v>0</v>
      </c>
      <c r="L29" s="5">
        <f>'Step B - Weight by Scl Impact'!L30*'Step C weights'!D$40</f>
        <v>0.37684478203274019</v>
      </c>
      <c r="M29" s="5">
        <f>'Step B - Weight by Scl Impact'!M30*'Step C weights'!E$40</f>
        <v>0.50911539409531492</v>
      </c>
      <c r="N29" s="5">
        <f>'Step B - Weight by Scl Impact'!N30*'Step C weights'!F$40</f>
        <v>0.19990402601225374</v>
      </c>
      <c r="O29" s="5">
        <f>'Step B - Weight by Scl Impact'!O30*'Step C weights'!G$40</f>
        <v>8.9063911728709741E-3</v>
      </c>
      <c r="Q29" s="29" t="str">
        <f t="shared" si="5"/>
        <v>AoW6-Regional, continental FS leadership development events to promote BDN outcomes for FST</v>
      </c>
      <c r="R29" s="5">
        <f>'Step B - Weight by Scl Impact'!R30*'Step C weights'!B$40</f>
        <v>0</v>
      </c>
      <c r="S29" s="5">
        <f>'Step B - Weight by Scl Impact'!S30*'Step C weights'!C$40</f>
        <v>0</v>
      </c>
      <c r="T29" s="5">
        <f>'Step B - Weight by Scl Impact'!T30*'Step C weights'!D$40</f>
        <v>0</v>
      </c>
      <c r="U29" s="5">
        <f>'Step B - Weight by Scl Impact'!U30*'Step C weights'!E$40</f>
        <v>0.26832411994574579</v>
      </c>
      <c r="V29" s="5">
        <f>'Step B - Weight by Scl Impact'!V30*'Step C weights'!F$40</f>
        <v>0.24113775931519857</v>
      </c>
      <c r="W29" s="5">
        <f>'Step B - Weight by Scl Impact'!W30*'Step C weights'!G$40</f>
        <v>0.147540327653296</v>
      </c>
      <c r="Y29" s="29" t="str">
        <f t="shared" si="6"/>
        <v>AoW6-Regional, continental FS leadership development events to promote BDN outcomes for FST</v>
      </c>
      <c r="Z29" s="5">
        <f>'Step B - Weight by Scl Impact'!Z30*'Step C weights'!B$40</f>
        <v>0.22253768662536108</v>
      </c>
      <c r="AA29" s="5">
        <f>'Step B - Weight by Scl Impact'!AA30*'Step C weights'!C$40</f>
        <v>5.3128572226533201E-2</v>
      </c>
      <c r="AB29" s="5">
        <f>'Step B - Weight by Scl Impact'!AB30*'Step C weights'!D$40</f>
        <v>9.4828532474255975E-2</v>
      </c>
      <c r="AC29" s="5">
        <f>'Step B - Weight by Scl Impact'!AC30*'Step C weights'!E$40</f>
        <v>0.17123092531193837</v>
      </c>
      <c r="AD29" s="5">
        <f>'Step B - Weight by Scl Impact'!AD30*'Step C weights'!F$40</f>
        <v>0.36551212566402691</v>
      </c>
      <c r="AE29" s="5">
        <f>'Step B - Weight by Scl Impact'!AE30*'Step C weights'!G$40</f>
        <v>0.25985954430349789</v>
      </c>
      <c r="AG29" s="29" t="str">
        <f t="shared" si="7"/>
        <v>AoW6-Regional, continental FS leadership development events to promote BDN outcomes for FST</v>
      </c>
      <c r="AH29" s="5">
        <f>'Step B - Weight by Scl Impact'!AH30*'Step C weights'!B$40</f>
        <v>0.22253768662536108</v>
      </c>
      <c r="AI29" s="5">
        <f>'Step B - Weight by Scl Impact'!AI30*'Step C weights'!C$40</f>
        <v>5.3128572226533201E-2</v>
      </c>
      <c r="AJ29" s="5">
        <f>'Step B - Weight by Scl Impact'!AJ30*'Step C weights'!D$40</f>
        <v>6.3219021649503979E-2</v>
      </c>
      <c r="AK29" s="5">
        <f>'Step B - Weight by Scl Impact'!AK30*'Step C weights'!E$40</f>
        <v>0.17123092531193837</v>
      </c>
      <c r="AL29" s="5">
        <f>'Step B - Weight by Scl Impact'!AL30*'Step C weights'!F$40</f>
        <v>0.36551212566402691</v>
      </c>
      <c r="AM29" s="5">
        <f>'Step B - Weight by Scl Impact'!AM30*'Step C weights'!G$40</f>
        <v>0.38978931645524678</v>
      </c>
    </row>
    <row r="30" spans="1:39">
      <c r="A30" s="29" t="str">
        <f>IF(NOT(ISBLANK(HLOs!D29)),HLOs!D29,"")</f>
        <v>AoW6-Task force that guides the CGIAR Portfolio along pathways that lead to credible impacts on nutrition, health, and food security</v>
      </c>
      <c r="B30" s="5">
        <f>'Step B - Weight by Scl Impact'!B31*'Step C weights'!B$40</f>
        <v>9.4585290863251154E-2</v>
      </c>
      <c r="C30" s="5">
        <f>'Step B - Weight by Scl Impact'!C31*'Step C weights'!C$40</f>
        <v>0.12235789656677233</v>
      </c>
      <c r="D30" s="5">
        <f>'Step B - Weight by Scl Impact'!D31*'Step C weights'!D$40</f>
        <v>0.23144311542586568</v>
      </c>
      <c r="E30" s="5">
        <f>'Step B - Weight by Scl Impact'!E31*'Step C weights'!E$40</f>
        <v>0.31616550823477063</v>
      </c>
      <c r="F30" s="5">
        <f>'Step B - Weight by Scl Impact'!F31*'Step C weights'!F$40</f>
        <v>0.4854897792309385</v>
      </c>
      <c r="G30" s="5">
        <f>'Step B - Weight by Scl Impact'!G31*'Step C weights'!G$40</f>
        <v>0.10249050558462312</v>
      </c>
      <c r="I30" s="29" t="str">
        <f t="shared" si="4"/>
        <v>AoW6-Task force that guides the CGIAR Portfolio along pathways that lead to credible impacts on nutrition, health, and food security</v>
      </c>
      <c r="J30" s="5">
        <f>'Step B - Weight by Scl Impact'!J31*'Step C weights'!B$40</f>
        <v>7.003860203626229E-2</v>
      </c>
      <c r="K30" s="5">
        <f>'Step B - Weight by Scl Impact'!K31*'Step C weights'!C$40</f>
        <v>4.4244222299748968E-2</v>
      </c>
      <c r="L30" s="5">
        <f>'Step B - Weight by Scl Impact'!L31*'Step C weights'!D$40</f>
        <v>0.50245970937698692</v>
      </c>
      <c r="M30" s="5">
        <f>'Step B - Weight by Scl Impact'!M31*'Step C weights'!E$40</f>
        <v>0.67882052546041993</v>
      </c>
      <c r="N30" s="5">
        <f>'Step B - Weight by Scl Impact'!N31*'Step C weights'!F$40</f>
        <v>0.29985603901838059</v>
      </c>
      <c r="O30" s="5">
        <f>'Step B - Weight by Scl Impact'!O31*'Step C weights'!G$40</f>
        <v>1.3359586759306461E-2</v>
      </c>
      <c r="Q30" s="29" t="str">
        <f t="shared" si="5"/>
        <v>AoW6-Task force that guides the CGIAR Portfolio along pathways that lead to credible impacts on nutrition, health, and food security</v>
      </c>
      <c r="R30" s="5">
        <f>'Step B - Weight by Scl Impact'!R31*'Step C weights'!B$40</f>
        <v>0.21359119900102561</v>
      </c>
      <c r="S30" s="5">
        <f>'Step B - Weight by Scl Impact'!S31*'Step C weights'!C$40</f>
        <v>0.20980506725060508</v>
      </c>
      <c r="T30" s="5">
        <f>'Step B - Weight by Scl Impact'!T31*'Step C weights'!D$40</f>
        <v>0.27161980288053988</v>
      </c>
      <c r="U30" s="5">
        <f>'Step B - Weight by Scl Impact'!U31*'Step C weights'!E$40</f>
        <v>0.26832411994574579</v>
      </c>
      <c r="V30" s="5">
        <f>'Step B - Weight by Scl Impact'!V31*'Step C weights'!F$40</f>
        <v>0.24113775931519857</v>
      </c>
      <c r="W30" s="5">
        <f>'Step B - Weight by Scl Impact'!W31*'Step C weights'!G$40</f>
        <v>0.147540327653296</v>
      </c>
      <c r="Y30" s="29" t="str">
        <f t="shared" si="6"/>
        <v>AoW6-Task force that guides the CGIAR Portfolio along pathways that lead to credible impacts on nutrition, health, and food security</v>
      </c>
      <c r="Z30" s="5">
        <f>'Step B - Weight by Scl Impact'!Z31*'Step C weights'!B$40</f>
        <v>0.33380652993804161</v>
      </c>
      <c r="AA30" s="5">
        <f>'Step B - Weight by Scl Impact'!AA31*'Step C weights'!C$40</f>
        <v>7.9692858339799805E-2</v>
      </c>
      <c r="AB30" s="5">
        <f>'Step B - Weight by Scl Impact'!AB31*'Step C weights'!D$40</f>
        <v>9.4828532474255975E-2</v>
      </c>
      <c r="AC30" s="5">
        <f>'Step B - Weight by Scl Impact'!AC31*'Step C weights'!E$40</f>
        <v>0.17123092531193837</v>
      </c>
      <c r="AD30" s="5">
        <f>'Step B - Weight by Scl Impact'!AD31*'Step C weights'!F$40</f>
        <v>0.36551212566402691</v>
      </c>
      <c r="AE30" s="5">
        <f>'Step B - Weight by Scl Impact'!AE31*'Step C weights'!G$40</f>
        <v>0.38978931645524678</v>
      </c>
      <c r="AG30" s="29" t="str">
        <f t="shared" si="7"/>
        <v>AoW6-Task force that guides the CGIAR Portfolio along pathways that lead to credible impacts on nutrition, health, and food security</v>
      </c>
      <c r="AH30" s="5">
        <f>'Step B - Weight by Scl Impact'!AH31*'Step C weights'!B$40</f>
        <v>0.44507537325072216</v>
      </c>
      <c r="AI30" s="5">
        <f>'Step B - Weight by Scl Impact'!AI31*'Step C weights'!C$40</f>
        <v>0.1062571444530664</v>
      </c>
      <c r="AJ30" s="5">
        <f>'Step B - Weight by Scl Impact'!AJ31*'Step C weights'!D$40</f>
        <v>0.12643804329900796</v>
      </c>
      <c r="AK30" s="5">
        <f>'Step B - Weight by Scl Impact'!AK31*'Step C weights'!E$40</f>
        <v>0.22830790041591781</v>
      </c>
      <c r="AL30" s="5">
        <f>'Step B - Weight by Scl Impact'!AL31*'Step C weights'!F$40</f>
        <v>0.48734950088536921</v>
      </c>
      <c r="AM30" s="5">
        <f>'Step B - Weight by Scl Impact'!AM31*'Step C weights'!G$40</f>
        <v>0.51971908860699578</v>
      </c>
    </row>
    <row r="32" spans="1:39">
      <c r="A32" s="1" t="s">
        <v>546</v>
      </c>
      <c r="B32" t="str">
        <f>$A$7</f>
        <v xml:space="preserve">Food Security </v>
      </c>
      <c r="C32" t="str">
        <f>$I$7</f>
        <v>Poverty reduction</v>
      </c>
      <c r="D32" t="str">
        <f>$Q$7</f>
        <v>Social Inclusion</v>
      </c>
      <c r="E32" t="str">
        <f>$Y$7</f>
        <v>Climate Adaptation</v>
      </c>
      <c r="F32" t="str">
        <f>$AG$7</f>
        <v>Environmental health</v>
      </c>
      <c r="G32" s="1"/>
      <c r="H32" s="1"/>
      <c r="I32" t="s">
        <v>547</v>
      </c>
    </row>
    <row r="33" spans="1:18">
      <c r="A33" t="s">
        <v>117</v>
      </c>
      <c r="B33" s="47">
        <f>AVERAGEIF($B$9:$G$11,"&gt;0",$B$9:$G$11)</f>
        <v>0.26409723112822631</v>
      </c>
      <c r="C33" s="47">
        <f>AVERAGEIF($I$9:$O$11,"&gt;0",$I$9:$O$11)</f>
        <v>0.25384288078840089</v>
      </c>
      <c r="D33" s="47">
        <f>AVERAGEIF($Q$9:$W$11,"&gt;0",$Q$9:$W$11)</f>
        <v>0.27779710464385948</v>
      </c>
      <c r="E33" s="47">
        <f>AVERAGEIF($Z$9:$AE$11,"&gt;0",$Z$9:$AE$11)</f>
        <v>0.21452846964183617</v>
      </c>
      <c r="F33" s="47">
        <f>AVERAGEIF($AH$9:$AM$11,"&gt;0",$AH$9:$AM$11)</f>
        <v>0.28126327837177484</v>
      </c>
      <c r="G33" s="89"/>
      <c r="H33" s="89"/>
      <c r="I33" t="str">
        <f>CONCATENATE("The final Step C scores range from ",ROUND(B42,2)," to ",ROUND(B51,2)," across regions, average around ",ROUND(B33,2)," in Nutrition, Food Security and Health, and range from ",ROUND(MIN(C33:F33),2)," to ",ROUND(MAX(C33:F33),2)," for the other Impact Areas.")</f>
        <v>The final Step C scores range from 0.09 to 0.65 across regions, average around 0.26 in Nutrition, Food Security and Health, and range from 0.21 to 0.28 for the other Impact Areas.</v>
      </c>
      <c r="J33" s="90"/>
      <c r="K33" s="90"/>
    </row>
    <row r="34" spans="1:18">
      <c r="A34" t="s">
        <v>120</v>
      </c>
      <c r="B34" s="47">
        <f>AVERAGEIF($B$12:$G$14,"&gt;0",$B$12:$G$14)</f>
        <v>0.28192092343870651</v>
      </c>
      <c r="C34" s="47">
        <f>AVERAGEIF($I$12:$O$14,"&gt;0",$I$12:$O$14)</f>
        <v>0.40889068877808521</v>
      </c>
      <c r="D34" s="47">
        <f>AVERAGEIF($Q$12:$W$14,"&gt;0",$Q$12:$W$14)</f>
        <v>0.30189218274180524</v>
      </c>
      <c r="E34" s="47">
        <f>AVERAGEIF($Z$12:$AE$14,"&gt;0",$Z$12:$AE$14)</f>
        <v>0.18771241093660662</v>
      </c>
      <c r="F34" s="47"/>
      <c r="G34" s="89"/>
      <c r="H34" s="89"/>
      <c r="I34" t="str">
        <f t="shared" ref="I34:I38" si="8">CONCATENATE("The final Step C scores range from ",ROUND(B43,2)," to ",ROUND(B52,2)," across regions, average around ",ROUND(B34,2)," in Nutrition, Food Security and Health, and range from ",ROUND(MIN(C34:F34),2)," to ",ROUND(MAX(C34:F34),2)," for the other Impact Areas.")</f>
        <v>The final Step C scores range from 0.03 to 0.65 across regions, average around 0.28 in Nutrition, Food Security and Health, and range from 0.19 to 0.41 for the other Impact Areas.</v>
      </c>
      <c r="J34" s="90"/>
      <c r="K34" s="90"/>
    </row>
    <row r="35" spans="1:18">
      <c r="A35" t="s">
        <v>122</v>
      </c>
      <c r="B35" s="47">
        <f>AVERAGEIF($B$15:$G$19,"&gt;0",$B$15:$G$19)</f>
        <v>0.28617769666773524</v>
      </c>
      <c r="C35" s="47">
        <f>AVERAGEIF($I$15:$O$19,"&gt;0",$I$15:$O$19)</f>
        <v>0.24337716321730668</v>
      </c>
      <c r="D35" s="47">
        <f>AVERAGEIF($Q$15:$W$19,"&gt;0",$Q$15:$W$19)</f>
        <v>0.26132685139655132</v>
      </c>
      <c r="E35" s="47">
        <f>AVERAGEIF($Z$15:$AE$19,"&gt;0",$Z$15:$AE$19)</f>
        <v>0.29313039748944275</v>
      </c>
      <c r="F35" s="47">
        <f>AVERAGEIF($AH$15:$AM$19,"&gt;0",$AH$15:$AM$19)</f>
        <v>0.31739476452901288</v>
      </c>
      <c r="G35" s="89"/>
      <c r="H35" s="89"/>
      <c r="I35" t="str">
        <f t="shared" si="8"/>
        <v>The final Step C scores range from 0.06 to 0.81 across regions, average around 0.29 in Nutrition, Food Security and Health, and range from 0.24 to 0.32 for the other Impact Areas.</v>
      </c>
      <c r="J35" s="90"/>
      <c r="K35" s="90"/>
    </row>
    <row r="36" spans="1:18">
      <c r="A36" t="s">
        <v>124</v>
      </c>
      <c r="B36" s="47">
        <f>AVERAGEIF($B$20:$G$24,"&gt;0",$B$20:$G$24)</f>
        <v>0.21734453689413324</v>
      </c>
      <c r="C36" s="47">
        <f>AVERAGEIF($I$20:$O$24,"&gt;0",$I$20:$O$24)</f>
        <v>0.24469918331764962</v>
      </c>
      <c r="D36" s="47">
        <f>AVERAGEIF($Q$20:$W$24,"&gt;0",$Q$20:$W$24)</f>
        <v>0.22818965843181441</v>
      </c>
      <c r="E36" s="47">
        <f>AVERAGEIF($Z$20:$AE$24,"&gt;0",$Z$20:$AE$24)</f>
        <v>0.23812920754809452</v>
      </c>
      <c r="F36" s="47">
        <f>AVERAGEIF($AH$20:$AM$24,"&gt;0",$AH$20:$AM$24)</f>
        <v>0.2381292075480945</v>
      </c>
      <c r="G36" s="89"/>
      <c r="H36" s="89"/>
      <c r="I36" t="str">
        <f t="shared" si="8"/>
        <v>The final Step C scores range from 0.06 to 0.65 across regions, average around 0.22 in Nutrition, Food Security and Health, and range from 0.23 to 0.24 for the other Impact Areas.</v>
      </c>
      <c r="J36" s="90"/>
      <c r="K36" s="90"/>
    </row>
    <row r="37" spans="1:18">
      <c r="A37" t="s">
        <v>126</v>
      </c>
      <c r="B37" s="47">
        <f>AVERAGEIF($B$25:$G$25,"&gt;0",$B$25:$G$25)</f>
        <v>0.31543508104208628</v>
      </c>
      <c r="C37" s="47">
        <f>AVERAGEIF($I$25:$O$25,"&gt;0",$I$25:$O$25)</f>
        <v>0.13959080156374976</v>
      </c>
      <c r="D37" s="47">
        <f>AVERAGEIF($Q$25:$W$25,"&gt;0",$Q$25:$W$25)</f>
        <v>0.2481673537764891</v>
      </c>
      <c r="E37" s="47"/>
      <c r="F37" s="47"/>
      <c r="G37" s="89"/>
      <c r="H37" s="89"/>
      <c r="I37" t="str">
        <f t="shared" si="8"/>
        <v>The final Step C scores range from 0.06 to 0.65 across regions, average around 0.32 in Nutrition, Food Security and Health, and range from 0.14 to 0.25 for the other Impact Areas.</v>
      </c>
      <c r="J37" s="90"/>
      <c r="K37" s="90"/>
    </row>
    <row r="38" spans="1:18">
      <c r="A38" t="s">
        <v>128</v>
      </c>
      <c r="B38" s="47">
        <f>AVERAGEIF($B$26:$G$30,"&gt;0",$B$26:$G$30)</f>
        <v>0.21410425515219547</v>
      </c>
      <c r="C38" s="47">
        <f>AVERAGEIF($I$26:$O$30,"&gt;0",$I$26:$O$30)</f>
        <v>0.2721755026456284</v>
      </c>
      <c r="D38" s="47">
        <f>AVERAGEIF($Q$26:$W$30,"&gt;0",$Q$26:$W$30)</f>
        <v>0.2135878972577808</v>
      </c>
      <c r="E38" s="47">
        <f>AVERAGEIF($Z$26:$AE$30,"&gt;0",$Z$26:$AE$30)</f>
        <v>0.22129252125870516</v>
      </c>
      <c r="F38" s="47">
        <f>AVERAGEIF($AH$26:$AM$30,"&gt;0",$AH$26:$AM$30)</f>
        <v>0.26538107753737955</v>
      </c>
      <c r="G38" s="89"/>
      <c r="H38" s="89"/>
      <c r="I38" t="str">
        <f t="shared" si="8"/>
        <v>The final Step C scores range from 0.06 to 0.65 across regions, average around 0.21 in Nutrition, Food Security and Health, and range from 0.21 to 0.27 for the other Impact Areas.</v>
      </c>
      <c r="J38" s="90"/>
      <c r="K38" s="90"/>
    </row>
    <row r="39" spans="1:18">
      <c r="A39" s="96" t="s">
        <v>546</v>
      </c>
      <c r="B39" s="97">
        <f>AVERAGE(B33:B38)</f>
        <v>0.2631799540538472</v>
      </c>
      <c r="C39" s="97">
        <f t="shared" ref="C39:F39" si="9">AVERAGE(C33:C38)</f>
        <v>0.26042937005180344</v>
      </c>
      <c r="D39" s="97">
        <f t="shared" si="9"/>
        <v>0.25516017470805002</v>
      </c>
      <c r="E39" s="97">
        <f t="shared" si="9"/>
        <v>0.23095860137493704</v>
      </c>
      <c r="F39" s="97">
        <f t="shared" si="9"/>
        <v>0.27554208199656544</v>
      </c>
      <c r="G39" s="89"/>
      <c r="H39" s="89"/>
      <c r="J39" s="90"/>
      <c r="K39" s="90"/>
    </row>
    <row r="40" spans="1:18">
      <c r="A40" s="1"/>
      <c r="B40" s="89"/>
      <c r="C40" s="89"/>
      <c r="D40" s="89"/>
      <c r="E40" s="89"/>
      <c r="F40" s="89"/>
      <c r="H40" s="89"/>
    </row>
    <row r="41" spans="1:18">
      <c r="A41" s="1" t="s">
        <v>548</v>
      </c>
      <c r="B41" t="str">
        <f>$A$7</f>
        <v xml:space="preserve">Food Security </v>
      </c>
      <c r="C41" t="str">
        <f>$I$7</f>
        <v>Poverty reduction</v>
      </c>
      <c r="D41" t="str">
        <f>$Q$7</f>
        <v>Social Inclusion</v>
      </c>
      <c r="E41" t="str">
        <f>$Y$7</f>
        <v>Climate Adaptation</v>
      </c>
      <c r="F41" t="str">
        <f>$AG$7</f>
        <v>Environmental health</v>
      </c>
      <c r="G41" s="89"/>
      <c r="H41" s="89"/>
    </row>
    <row r="42" spans="1:18">
      <c r="A42" t="s">
        <v>117</v>
      </c>
      <c r="B42" s="47">
        <f>_xlfn.MINIFS($B$9:$G$11,$B$9:$G$11,"&gt;0")</f>
        <v>9.4585290863251154E-2</v>
      </c>
      <c r="C42" s="47">
        <f>_xlfn.MINIFS($I$9:$O$11,$I$9:$O$11,"&gt;0")</f>
        <v>4.453195586435487E-3</v>
      </c>
      <c r="D42" s="47">
        <f>_xlfn.MINIFS($Q$9:$W$11,$Q$9:$W$11,"&gt;0")</f>
        <v>8.0379253105066203E-2</v>
      </c>
      <c r="E42" s="47">
        <f>_xlfn.MINIFS($Z$9:$AE$11,$Z$9:$AE$11,"&gt;0")</f>
        <v>6.3219021649503979E-2</v>
      </c>
      <c r="F42" s="47">
        <f>_xlfn.MINIFS($AH$9:$AM$11,$AH$9:$AM$11,"&gt;0")</f>
        <v>9.4828532474255975E-2</v>
      </c>
      <c r="J42" t="s">
        <v>549</v>
      </c>
      <c r="K42" t="s">
        <v>550</v>
      </c>
      <c r="L42" t="s">
        <v>551</v>
      </c>
      <c r="M42" t="s">
        <v>552</v>
      </c>
      <c r="N42" t="s">
        <v>553</v>
      </c>
      <c r="O42" t="s">
        <v>550</v>
      </c>
      <c r="P42" t="s">
        <v>554</v>
      </c>
    </row>
    <row r="43" spans="1:18">
      <c r="A43" t="s">
        <v>120</v>
      </c>
      <c r="B43" s="47">
        <f>_xlfn.MINIFS($B$12:$G$14,$B$12:$G$14,"&gt;0")</f>
        <v>3.1528430287750382E-2</v>
      </c>
      <c r="C43" s="47">
        <f>_xlfn.MINIFS($I$12:$O$14,$I$12:$O$14,"&gt;0")</f>
        <v>2.3346200678754096E-2</v>
      </c>
      <c r="D43" s="47">
        <f>_xlfn.MINIFS($Q$12:$W$14,$Q$12:$W$14,"&gt;0")</f>
        <v>7.1197066333675202E-2</v>
      </c>
      <c r="E43" s="47">
        <f>_xlfn.MINIFS($Z$12:$AE$14,$Z$12:$AE$14,"&gt;0")</f>
        <v>3.1609510824751989E-2</v>
      </c>
      <c r="F43" s="47"/>
      <c r="I43" t="s">
        <v>555</v>
      </c>
      <c r="J43" s="61">
        <v>479110</v>
      </c>
      <c r="K43" s="98">
        <v>0.03</v>
      </c>
      <c r="M43" t="s">
        <v>556</v>
      </c>
    </row>
    <row r="44" spans="1:18">
      <c r="A44" t="s">
        <v>122</v>
      </c>
      <c r="B44" s="47">
        <f>_xlfn.MINIFS($B$15:$G$19,$B$15:$G$19,"&gt;0")</f>
        <v>6.3056860575500764E-2</v>
      </c>
      <c r="C44" s="47">
        <f>_xlfn.MINIFS($I$15:$O$19,$I$15:$O$19,"&gt;0")</f>
        <v>1.3359586759306461E-2</v>
      </c>
      <c r="D44" s="47">
        <f>_xlfn.MINIFS($Q$15:$W$19,$Q$15:$W$19,"&gt;0")</f>
        <v>0.147540327653296</v>
      </c>
      <c r="E44" s="47">
        <f>_xlfn.MINIFS($Z$15:$AE$19,$Z$15:$AE$19,"&gt;0")</f>
        <v>6.3219021649503979E-2</v>
      </c>
      <c r="F44" s="47">
        <f>_xlfn.MINIFS($AH$15:$AM$19,$AH$15:$AM$19,"&gt;0")</f>
        <v>9.4828532474255975E-2</v>
      </c>
      <c r="I44" t="s">
        <v>557</v>
      </c>
      <c r="J44" s="61">
        <v>880376</v>
      </c>
      <c r="K44" s="98">
        <v>0.05</v>
      </c>
      <c r="M44" t="s">
        <v>556</v>
      </c>
    </row>
    <row r="45" spans="1:18">
      <c r="A45" t="s">
        <v>124</v>
      </c>
      <c r="B45" s="47">
        <f>_xlfn.MINIFS($B$20:$G$24,$B$20:$G$24,"&gt;0")</f>
        <v>6.3056860575500764E-2</v>
      </c>
      <c r="C45" s="47">
        <f>_xlfn.MINIFS($I$20:$O$24,$I$20:$O$24,"&gt;0")</f>
        <v>1.3359586759306461E-2</v>
      </c>
      <c r="D45" s="47">
        <f>_xlfn.MINIFS($Q$20:$W$24,$Q$20:$W$24,"&gt;0")</f>
        <v>9.836021843553068E-2</v>
      </c>
      <c r="E45" s="47">
        <f>_xlfn.MINIFS($Z$20:$AE$24,$Z$20:$AE$24,"&gt;0")</f>
        <v>6.3219021649503979E-2</v>
      </c>
      <c r="F45" s="47">
        <f>_xlfn.MINIFS($AH$20:$AM$24,$AH$20:$AM$24,"&gt;0")</f>
        <v>6.3219021649503979E-2</v>
      </c>
      <c r="I45" t="s">
        <v>558</v>
      </c>
      <c r="J45" s="61">
        <v>875816</v>
      </c>
      <c r="K45" s="98">
        <v>0.05</v>
      </c>
      <c r="M45" t="s">
        <v>556</v>
      </c>
      <c r="R45" t="s">
        <v>547</v>
      </c>
    </row>
    <row r="46" spans="1:18">
      <c r="A46" t="s">
        <v>126</v>
      </c>
      <c r="B46" s="47">
        <f>_xlfn.MINIFS($B$25:$G$25,$B$25:$G$25,"&gt;0")</f>
        <v>6.3056860575500764E-2</v>
      </c>
      <c r="C46" s="47">
        <f>_xlfn.MINIFS($I$25:$O$25,$I$25:$O$25,"&gt;0")</f>
        <v>8.9063911728709741E-3</v>
      </c>
      <c r="D46" s="47">
        <f>_xlfn.MINIFS($Q$25:$W$25,$Q$25:$W$25,"&gt;0")</f>
        <v>0.1423941326673504</v>
      </c>
      <c r="E46" s="47"/>
      <c r="F46" s="47"/>
      <c r="I46" t="s">
        <v>117</v>
      </c>
      <c r="J46" s="61">
        <v>5562477</v>
      </c>
      <c r="K46" s="98">
        <f>J46/$J$52</f>
        <v>0.34549546583850932</v>
      </c>
      <c r="L46">
        <v>4</v>
      </c>
      <c r="M46" s="61">
        <v>135231</v>
      </c>
      <c r="N46" s="61">
        <f t="shared" ref="N46:N52" si="10">J46+M46</f>
        <v>5697708</v>
      </c>
      <c r="O46" s="90">
        <f t="shared" ref="O46:O52" si="11">N46/$N$52</f>
        <v>0.16370741302454314</v>
      </c>
      <c r="R46" t="str">
        <f t="shared" ref="R46:R51" si="12">CONCATENATE(I46," receives ",TEXT(K46,"0%")," of W1/2 funding allocated among ",L46," CGIAR Centers, and ",TEXT(O46,"0%")," of total funding including bilateral/W3 grants.")</f>
        <v>AoW1 receives 35% of W1/2 funding allocated among 4 CGIAR Centers, and 16% of total funding including bilateral/W3 grants.</v>
      </c>
    </row>
    <row r="47" spans="1:18">
      <c r="A47" t="s">
        <v>128</v>
      </c>
      <c r="B47" s="47">
        <f>_xlfn.MINIFS($B$26:$G$30,$B$26:$G$30,"&gt;0")</f>
        <v>6.3056860575500764E-2</v>
      </c>
      <c r="C47" s="47">
        <f>_xlfn.MINIFS($I$26:$O$30,$I$26:$O$30,"&gt;0")</f>
        <v>8.9063911728709741E-3</v>
      </c>
      <c r="D47" s="47">
        <f>_xlfn.MINIFS($Q$26:$W$30,$Q$26:$W$30,"&gt;0")</f>
        <v>9.836021843553068E-2</v>
      </c>
      <c r="E47" s="47">
        <f>_xlfn.MINIFS($Z$26:$AE$30,$Z$26:$AE$30,"&gt;0")</f>
        <v>5.3128572226533201E-2</v>
      </c>
      <c r="F47" s="47">
        <f>_xlfn.MINIFS($AH$26:$AM$30,$AH$26:$AM$30,"&gt;0")</f>
        <v>5.3128572226533201E-2</v>
      </c>
      <c r="I47" t="s">
        <v>120</v>
      </c>
      <c r="J47" s="61">
        <v>2242941</v>
      </c>
      <c r="K47" s="98">
        <f t="shared" ref="K47:K52" si="13">J47/$J$52</f>
        <v>0.1393131055900621</v>
      </c>
      <c r="L47">
        <v>6</v>
      </c>
      <c r="M47" s="61">
        <v>1656440</v>
      </c>
      <c r="N47" s="61">
        <f t="shared" si="10"/>
        <v>3899381</v>
      </c>
      <c r="O47" s="90">
        <f t="shared" si="11"/>
        <v>0.11203760808856054</v>
      </c>
      <c r="R47" t="str">
        <f t="shared" si="12"/>
        <v>AoW2 receives 14% of W1/2 funding allocated among 6 CGIAR Centers, and 11% of total funding including bilateral/W3 grants.</v>
      </c>
    </row>
    <row r="48" spans="1:18">
      <c r="A48" s="96" t="s">
        <v>546</v>
      </c>
      <c r="B48" s="97">
        <f>AVERAGE(B42:B47)</f>
        <v>6.3056860575500764E-2</v>
      </c>
      <c r="C48" s="97">
        <f t="shared" ref="C48" si="14">AVERAGE(C42:C47)</f>
        <v>1.2055225354924074E-2</v>
      </c>
      <c r="D48" s="97">
        <f t="shared" ref="D48" si="15">AVERAGE(D42:D47)</f>
        <v>0.10637186943840819</v>
      </c>
      <c r="E48" s="97">
        <f t="shared" ref="E48" si="16">AVERAGE(E42:E47)</f>
        <v>5.4879029599959425E-2</v>
      </c>
      <c r="F48" s="97">
        <f t="shared" ref="F48" si="17">AVERAGE(F42:F47)</f>
        <v>7.6501164706137284E-2</v>
      </c>
      <c r="I48" t="s">
        <v>122</v>
      </c>
      <c r="J48" s="61">
        <v>5491346</v>
      </c>
      <c r="K48" s="98">
        <f t="shared" si="13"/>
        <v>0.34107739130434783</v>
      </c>
      <c r="L48">
        <v>9</v>
      </c>
      <c r="M48" s="61">
        <v>824739</v>
      </c>
      <c r="N48" s="61">
        <f t="shared" si="10"/>
        <v>6316085</v>
      </c>
      <c r="O48" s="90">
        <f t="shared" si="11"/>
        <v>0.18147471505965584</v>
      </c>
      <c r="R48" t="str">
        <f t="shared" si="12"/>
        <v>AoW3 receives 34% of W1/2 funding allocated among 9 CGIAR Centers, and 18% of total funding including bilateral/W3 grants.</v>
      </c>
    </row>
    <row r="49" spans="1:18">
      <c r="I49" t="s">
        <v>124</v>
      </c>
      <c r="J49" s="61">
        <v>160899</v>
      </c>
      <c r="K49" s="98">
        <f t="shared" si="13"/>
        <v>9.9937267080745344E-3</v>
      </c>
      <c r="L49">
        <v>2</v>
      </c>
      <c r="M49" s="61">
        <v>10296916</v>
      </c>
      <c r="N49" s="61">
        <f t="shared" si="10"/>
        <v>10457815</v>
      </c>
      <c r="O49" s="90">
        <f t="shared" si="11"/>
        <v>0.3004755314837585</v>
      </c>
      <c r="P49">
        <v>9</v>
      </c>
      <c r="R49" t="str">
        <f t="shared" si="12"/>
        <v>AoW4 receives 1% of W1/2 funding allocated among 2 CGIAR Centers, and 30% of total funding including bilateral/W3 grants.</v>
      </c>
    </row>
    <row r="50" spans="1:18">
      <c r="A50" s="1" t="s">
        <v>559</v>
      </c>
      <c r="B50" t="str">
        <f>$A$7</f>
        <v xml:space="preserve">Food Security </v>
      </c>
      <c r="C50" t="str">
        <f>$I$7</f>
        <v>Poverty reduction</v>
      </c>
      <c r="D50" t="str">
        <f>$Q$7</f>
        <v>Social Inclusion</v>
      </c>
      <c r="E50" t="str">
        <f>$Y$7</f>
        <v>Climate Adaptation</v>
      </c>
      <c r="F50" t="str">
        <f>$AG$7</f>
        <v>Environmental health</v>
      </c>
      <c r="I50" t="s">
        <v>126</v>
      </c>
      <c r="J50">
        <v>0</v>
      </c>
      <c r="K50" s="98">
        <f t="shared" si="13"/>
        <v>0</v>
      </c>
      <c r="L50">
        <v>1</v>
      </c>
      <c r="M50" s="61">
        <v>5101787</v>
      </c>
      <c r="N50" s="61">
        <f t="shared" si="10"/>
        <v>5101787</v>
      </c>
      <c r="O50" s="90">
        <f t="shared" si="11"/>
        <v>0.14658532019756804</v>
      </c>
      <c r="R50" t="str">
        <f t="shared" si="12"/>
        <v>AoW5 receives 0% of W1/2 funding allocated among 1 CGIAR Centers, and 15% of total funding including bilateral/W3 grants.</v>
      </c>
    </row>
    <row r="51" spans="1:18">
      <c r="A51" t="s">
        <v>117</v>
      </c>
      <c r="B51" s="47">
        <f>_xlfn.MAXIFS($B$9:$G$11,$B$9:$G$11,"&gt;0")</f>
        <v>0.6473197056412513</v>
      </c>
      <c r="C51" s="47">
        <f>_xlfn.MAXIFS($I$9:$O$11,$I$9:$O$11,"&gt;0")</f>
        <v>0.84852565682552494</v>
      </c>
      <c r="D51" s="47">
        <f>_xlfn.MAXIFS($Q$9:$W$11,$Q$9:$W$11,"&gt;0")</f>
        <v>0.45269967146756646</v>
      </c>
      <c r="E51" s="47">
        <f>_xlfn.MAXIFS($Z$9:$AE$11,$Z$9:$AE$11,"&gt;0")</f>
        <v>0.36551212566402691</v>
      </c>
      <c r="F51" s="47">
        <f>_xlfn.MAXIFS($AH$9:$AM$11,$AH$9:$AM$11,"&gt;0")</f>
        <v>0.48734950088536921</v>
      </c>
      <c r="I51" t="s">
        <v>128</v>
      </c>
      <c r="J51" s="61">
        <v>407034</v>
      </c>
      <c r="K51" s="98">
        <f t="shared" si="13"/>
        <v>2.5281614906832298E-2</v>
      </c>
      <c r="L51">
        <v>3</v>
      </c>
      <c r="M51" s="61">
        <v>689102</v>
      </c>
      <c r="N51" s="61">
        <f t="shared" si="10"/>
        <v>1096136</v>
      </c>
      <c r="O51" s="90">
        <f t="shared" si="11"/>
        <v>3.1494346302595823E-2</v>
      </c>
      <c r="R51" t="str">
        <f t="shared" si="12"/>
        <v>AoW6 receives 3% of W1/2 funding allocated among 3 CGIAR Centers, and 3% of total funding including bilateral/W3 grants.</v>
      </c>
    </row>
    <row r="52" spans="1:18">
      <c r="A52" t="s">
        <v>120</v>
      </c>
      <c r="B52" s="47">
        <f>_xlfn.MAXIFS($B$12:$G$14,$B$12:$G$14,"&gt;0")</f>
        <v>0.6473197056412513</v>
      </c>
      <c r="C52" s="47">
        <f>_xlfn.MAXIFS($I$12:$O$14,$I$12:$O$14,"&gt;0")</f>
        <v>0.84852565682552494</v>
      </c>
      <c r="D52" s="47">
        <f>_xlfn.MAXIFS($Q$12:$W$14,$Q$12:$W$14,"&gt;0")</f>
        <v>0.45269967146756646</v>
      </c>
      <c r="E52" s="47">
        <f>_xlfn.MAXIFS($Z$12:$AE$14,$Z$12:$AE$14,"&gt;0")</f>
        <v>0.60918687610671152</v>
      </c>
      <c r="F52" s="47"/>
      <c r="I52" t="s">
        <v>553</v>
      </c>
      <c r="J52" s="61">
        <v>16100000</v>
      </c>
      <c r="K52" s="98">
        <f t="shared" si="13"/>
        <v>1</v>
      </c>
      <c r="L52">
        <v>13</v>
      </c>
      <c r="M52" s="61">
        <v>18704215</v>
      </c>
      <c r="N52" s="61">
        <f t="shared" si="10"/>
        <v>34804215</v>
      </c>
      <c r="O52" s="90">
        <f t="shared" si="11"/>
        <v>1</v>
      </c>
    </row>
    <row r="53" spans="1:18">
      <c r="A53" t="s">
        <v>122</v>
      </c>
      <c r="B53" s="47">
        <f>_xlfn.MAXIFS($B$15:$G$19,$B$15:$G$19,"&gt;0")</f>
        <v>0.80914963205156409</v>
      </c>
      <c r="C53" s="47">
        <f>_xlfn.MAXIFS($I$15:$O$19,$I$15:$O$19,"&gt;0")</f>
        <v>0.50911539409531492</v>
      </c>
      <c r="D53" s="47">
        <f>_xlfn.MAXIFS($Q$15:$W$19,$Q$15:$W$19,"&gt;0")</f>
        <v>0.40189626552533098</v>
      </c>
      <c r="E53" s="47">
        <f>_xlfn.MAXIFS($Z$15:$AE$19,$Z$15:$AE$19,"&gt;0")</f>
        <v>0.51971908860699578</v>
      </c>
      <c r="F53" s="47">
        <f>_xlfn.MAXIFS($AH$15:$AM$19,$AH$15:$AM$19,"&gt;0")</f>
        <v>0.51971908860699578</v>
      </c>
    </row>
    <row r="54" spans="1:18">
      <c r="A54" t="s">
        <v>124</v>
      </c>
      <c r="B54" s="47">
        <f>_xlfn.MAXIFS($B$20:$G$24,$B$20:$G$24,"&gt;0")</f>
        <v>0.6473197056412513</v>
      </c>
      <c r="C54" s="47">
        <f>_xlfn.MAXIFS($I$20:$O$24,$I$20:$O$24,"&gt;0")</f>
        <v>0.84852565682552494</v>
      </c>
      <c r="D54" s="47">
        <f>_xlfn.MAXIFS($Q$20:$W$24,$Q$20:$W$24,"&gt;0")</f>
        <v>0.45269967146756646</v>
      </c>
      <c r="E54" s="47">
        <f>_xlfn.MAXIFS($Z$20:$AE$24,$Z$20:$AE$24,"&gt;0")</f>
        <v>0.64964886075874462</v>
      </c>
      <c r="F54" s="47">
        <f>_xlfn.MAXIFS($AH$20:$AM$24,$AH$20:$AM$24,"&gt;0")</f>
        <v>0.64964886075874462</v>
      </c>
    </row>
    <row r="55" spans="1:18">
      <c r="A55" t="s">
        <v>126</v>
      </c>
      <c r="B55" s="47">
        <f>_xlfn.MAXIFS($B$25:$G$25,$B$25:$G$25,"&gt;0")</f>
        <v>0.6473197056412513</v>
      </c>
      <c r="C55" s="47">
        <f>_xlfn.MAXIFS($I$25:$O$25,$I$25:$O$25,"&gt;0")</f>
        <v>0.33941026273020997</v>
      </c>
      <c r="D55" s="47">
        <f>_xlfn.MAXIFS($Q$25:$W$25,$Q$25:$W$25,"&gt;0")</f>
        <v>0.35776549326099438</v>
      </c>
      <c r="E55" s="47"/>
      <c r="F55" s="47"/>
    </row>
    <row r="56" spans="1:18">
      <c r="A56" t="s">
        <v>128</v>
      </c>
      <c r="B56" s="47">
        <f>_xlfn.MAXIFS($B$26:$G$30,$B$26:$G$30,"&gt;0")</f>
        <v>0.6473197056412513</v>
      </c>
      <c r="C56" s="47">
        <f>_xlfn.MAXIFS($I$26:$O$30,$I$26:$O$30,"&gt;0")</f>
        <v>0.67882052546041993</v>
      </c>
      <c r="D56" s="47">
        <f>_xlfn.MAXIFS($Q$26:$W$30,$Q$26:$W$30,"&gt;0")</f>
        <v>0.27161980288053988</v>
      </c>
      <c r="E56" s="47">
        <f>_xlfn.MAXIFS($Z$26:$AE$30,$Z$26:$AE$30,"&gt;0")</f>
        <v>0.38978931645524678</v>
      </c>
      <c r="F56" s="47">
        <f>_xlfn.MAXIFS($AH$26:$AM$30,$AH$26:$AM$30,"&gt;0")</f>
        <v>0.51971908860699578</v>
      </c>
    </row>
    <row r="57" spans="1:18">
      <c r="A57" s="96" t="s">
        <v>546</v>
      </c>
      <c r="B57" s="97">
        <f>AVERAGE(B51:B56)</f>
        <v>0.67429136004297019</v>
      </c>
      <c r="C57" s="97">
        <f t="shared" ref="C57" si="18">AVERAGE(C51:C56)</f>
        <v>0.67882052546041993</v>
      </c>
      <c r="D57" s="97">
        <f t="shared" ref="D57" si="19">AVERAGE(D51:D56)</f>
        <v>0.39823009601159409</v>
      </c>
      <c r="E57" s="97">
        <f t="shared" ref="E57" si="20">AVERAGE(E51:E56)</f>
        <v>0.50677125351834518</v>
      </c>
      <c r="F57" s="97">
        <f t="shared" ref="F57" si="21">AVERAGE(F51:F56)</f>
        <v>0.54410913471452638</v>
      </c>
    </row>
  </sheetData>
  <mergeCells count="1">
    <mergeCell ref="A1:P1"/>
  </mergeCells>
  <conditionalFormatting sqref="B48:F48">
    <cfRule type="colorScale" priority="2">
      <colorScale>
        <cfvo type="min"/>
        <cfvo type="percentile" val="50"/>
        <cfvo type="max"/>
        <color rgb="FFF8696B"/>
        <color rgb="FFFFEB84"/>
        <color rgb="FF63BE7B"/>
      </colorScale>
    </cfRule>
  </conditionalFormatting>
  <conditionalFormatting sqref="B51:F56">
    <cfRule type="colorScale" priority="3">
      <colorScale>
        <cfvo type="min"/>
        <cfvo type="percentile" val="50"/>
        <cfvo type="max"/>
        <color rgb="FFF8696B"/>
        <color rgb="FFFFEB84"/>
        <color rgb="FF63BE7B"/>
      </colorScale>
    </cfRule>
  </conditionalFormatting>
  <conditionalFormatting sqref="B57:F57">
    <cfRule type="colorScale" priority="1">
      <colorScale>
        <cfvo type="min"/>
        <cfvo type="percentile" val="50"/>
        <cfvo type="max"/>
        <color rgb="FFF8696B"/>
        <color rgb="FFFFEB84"/>
        <color rgb="FF63BE7B"/>
      </colorScale>
    </cfRule>
  </conditionalFormatting>
  <conditionalFormatting sqref="B9:G31 C32:G33 B33 G34:G39 B34:F40">
    <cfRule type="colorScale" priority="91">
      <colorScale>
        <cfvo type="min"/>
        <cfvo type="percentile" val="50"/>
        <cfvo type="max"/>
        <color rgb="FFF8696B"/>
        <color rgb="FFFFEB84"/>
        <color rgb="FF63BE7B"/>
      </colorScale>
    </cfRule>
  </conditionalFormatting>
  <conditionalFormatting sqref="C41:F42 B42 B43:F47">
    <cfRule type="colorScale" priority="5">
      <colorScale>
        <cfvo type="min"/>
        <cfvo type="percentile" val="50"/>
        <cfvo type="max"/>
        <color rgb="FFF8696B"/>
        <color rgb="FFFFEB84"/>
        <color rgb="FF63BE7B"/>
      </colorScale>
    </cfRule>
  </conditionalFormatting>
  <conditionalFormatting sqref="C50:F50">
    <cfRule type="colorScale" priority="4">
      <colorScale>
        <cfvo type="min"/>
        <cfvo type="percentile" val="50"/>
        <cfvo type="max"/>
        <color rgb="FFF8696B"/>
        <color rgb="FFFFEB84"/>
        <color rgb="FF63BE7B"/>
      </colorScale>
    </cfRule>
  </conditionalFormatting>
  <conditionalFormatting sqref="H40">
    <cfRule type="colorScale" priority="8">
      <colorScale>
        <cfvo type="min"/>
        <cfvo type="percentile" val="50"/>
        <cfvo type="max"/>
        <color rgb="FFF8696B"/>
        <color rgb="FFFFEB84"/>
        <color rgb="FF63BE7B"/>
      </colorScale>
    </cfRule>
  </conditionalFormatting>
  <conditionalFormatting sqref="J9:O31 K32:O33 K34:K39">
    <cfRule type="colorScale" priority="84">
      <colorScale>
        <cfvo type="min"/>
        <cfvo type="percentile" val="50"/>
        <cfvo type="max"/>
        <color rgb="FFF8696B"/>
        <color rgb="FFFFEB84"/>
        <color rgb="FF63BE7B"/>
      </colorScale>
    </cfRule>
  </conditionalFormatting>
  <conditionalFormatting sqref="R9:W33">
    <cfRule type="colorScale" priority="86">
      <colorScale>
        <cfvo type="min"/>
        <cfvo type="percentile" val="50"/>
        <cfvo type="max"/>
        <color rgb="FFF8696B"/>
        <color rgb="FFFFEB84"/>
        <color rgb="FF63BE7B"/>
      </colorScale>
    </cfRule>
  </conditionalFormatting>
  <conditionalFormatting sqref="Z9:AE33">
    <cfRule type="colorScale" priority="88">
      <colorScale>
        <cfvo type="min"/>
        <cfvo type="percentile" val="50"/>
        <cfvo type="max"/>
        <color rgb="FFF8696B"/>
        <color rgb="FFFFEB84"/>
        <color rgb="FF63BE7B"/>
      </colorScale>
    </cfRule>
  </conditionalFormatting>
  <conditionalFormatting sqref="AH9:AM33">
    <cfRule type="colorScale" priority="90">
      <colorScale>
        <cfvo type="min"/>
        <cfvo type="percentile" val="50"/>
        <cfvo type="max"/>
        <color rgb="FFF8696B"/>
        <color rgb="FFFFEB84"/>
        <color rgb="FF63BE7B"/>
      </colorScale>
    </cfRule>
  </conditionalFormatting>
  <pageMargins left="0.7" right="0.7" top="0.75" bottom="0.75" header="0.3" footer="0.3"/>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4DABE-6049-4560-9FFE-BA028B1DD554}">
  <dimension ref="A1:D23"/>
  <sheetViews>
    <sheetView topLeftCell="B8" zoomScale="90" zoomScaleNormal="90" workbookViewId="0">
      <selection activeCell="D8" sqref="D8"/>
    </sheetView>
  </sheetViews>
  <sheetFormatPr defaultColWidth="8.5703125" defaultRowHeight="15"/>
  <cols>
    <col min="1" max="1" width="47" style="38" customWidth="1"/>
    <col min="2" max="2" width="43.85546875" style="38" customWidth="1"/>
    <col min="3" max="3" width="39.42578125" style="38" customWidth="1"/>
    <col min="4" max="4" width="83.42578125" style="38" customWidth="1"/>
    <col min="5" max="16384" width="8.5703125" style="38"/>
  </cols>
  <sheetData>
    <row r="1" spans="1:4" customFormat="1" ht="30" customHeight="1">
      <c r="A1" s="119" t="s">
        <v>560</v>
      </c>
      <c r="B1" s="119"/>
      <c r="C1" s="119"/>
      <c r="D1" s="119"/>
    </row>
    <row r="2" spans="1:4" customFormat="1"/>
    <row r="3" spans="1:4" customFormat="1"/>
    <row r="4" spans="1:4" customFormat="1">
      <c r="A4" s="40" t="s">
        <v>561</v>
      </c>
      <c r="B4" s="40" t="s">
        <v>562</v>
      </c>
      <c r="C4" s="40" t="s">
        <v>563</v>
      </c>
      <c r="D4" s="40" t="s">
        <v>564</v>
      </c>
    </row>
    <row r="5" spans="1:4" s="39" customFormat="1">
      <c r="A5" s="94" t="s">
        <v>565</v>
      </c>
    </row>
    <row r="6" spans="1:4" s="39" customFormat="1" ht="355.35" customHeight="1">
      <c r="A6" s="72" t="s">
        <v>566</v>
      </c>
      <c r="B6" s="100" t="s">
        <v>567</v>
      </c>
      <c r="C6" s="71" t="s">
        <v>568</v>
      </c>
      <c r="D6" s="71" t="s">
        <v>569</v>
      </c>
    </row>
    <row r="7" spans="1:4" s="39" customFormat="1" ht="134.1" customHeight="1">
      <c r="A7" s="72" t="s">
        <v>570</v>
      </c>
      <c r="B7" s="71" t="s">
        <v>571</v>
      </c>
      <c r="C7" s="99"/>
      <c r="D7" s="71" t="s">
        <v>572</v>
      </c>
    </row>
    <row r="8" spans="1:4" s="39" customFormat="1" ht="282" customHeight="1">
      <c r="A8" s="72" t="s">
        <v>573</v>
      </c>
      <c r="B8" s="71" t="s">
        <v>574</v>
      </c>
      <c r="C8" s="102" t="s">
        <v>575</v>
      </c>
      <c r="D8" s="71" t="s">
        <v>576</v>
      </c>
    </row>
    <row r="9" spans="1:4" s="39" customFormat="1" ht="329.45" customHeight="1">
      <c r="A9" s="72" t="s">
        <v>577</v>
      </c>
      <c r="B9" s="71" t="s">
        <v>578</v>
      </c>
      <c r="C9" s="71" t="s">
        <v>579</v>
      </c>
      <c r="D9" s="71" t="s">
        <v>580</v>
      </c>
    </row>
    <row r="10" spans="1:4" s="39" customFormat="1" ht="105.6" customHeight="1">
      <c r="A10" s="72" t="s">
        <v>581</v>
      </c>
      <c r="B10" s="71" t="s">
        <v>582</v>
      </c>
      <c r="C10" s="71" t="s">
        <v>583</v>
      </c>
      <c r="D10" s="71" t="s">
        <v>584</v>
      </c>
    </row>
    <row r="11" spans="1:4" s="39" customFormat="1" ht="191.1" customHeight="1">
      <c r="A11" s="72" t="s">
        <v>585</v>
      </c>
      <c r="B11" s="71" t="s">
        <v>586</v>
      </c>
      <c r="C11" s="71" t="s">
        <v>587</v>
      </c>
      <c r="D11" s="71" t="s">
        <v>588</v>
      </c>
    </row>
    <row r="12" spans="1:4" s="39" customFormat="1">
      <c r="A12" s="72"/>
    </row>
    <row r="13" spans="1:4" s="39" customFormat="1">
      <c r="A13" s="72"/>
    </row>
    <row r="14" spans="1:4">
      <c r="A14" s="93"/>
    </row>
    <row r="15" spans="1:4">
      <c r="A15" s="92"/>
    </row>
    <row r="16" spans="1:4">
      <c r="A16" s="92"/>
    </row>
    <row r="17" spans="1:1">
      <c r="A17" s="92"/>
    </row>
    <row r="18" spans="1:1">
      <c r="A18" s="92"/>
    </row>
    <row r="19" spans="1:1">
      <c r="A19" s="92"/>
    </row>
    <row r="20" spans="1:1">
      <c r="A20" s="92"/>
    </row>
    <row r="21" spans="1:1">
      <c r="A21" s="92"/>
    </row>
    <row r="22" spans="1:1">
      <c r="A22" s="92"/>
    </row>
    <row r="23" spans="1:1">
      <c r="A23" s="92"/>
    </row>
  </sheetData>
  <mergeCells count="1">
    <mergeCell ref="A1:D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F63BE929BDCF546A78ACA0901734FD5" ma:contentTypeVersion="16" ma:contentTypeDescription="Create a new document." ma:contentTypeScope="" ma:versionID="cbf09b4b23241c996752c0ade279d763">
  <xsd:schema xmlns:xsd="http://www.w3.org/2001/XMLSchema" xmlns:xs="http://www.w3.org/2001/XMLSchema" xmlns:p="http://schemas.microsoft.com/office/2006/metadata/properties" xmlns:ns2="51ae4611-cb70-4579-927e-75165a4a042a" xmlns:ns3="c1f1eeb5-978f-4917-95f2-e6174f037949" targetNamespace="http://schemas.microsoft.com/office/2006/metadata/properties" ma:root="true" ma:fieldsID="53f3159b134a3505b41c654feefda9b2" ns2:_="" ns3:_="">
    <xsd:import namespace="51ae4611-cb70-4579-927e-75165a4a042a"/>
    <xsd:import namespace="c1f1eeb5-978f-4917-95f2-e6174f03794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ae4611-cb70-4579-927e-75165a4a04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1eeb5-978f-4917-95f2-e6174f03794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0b1f6b79-8ac0-43e6-8607-0549256be88c}" ma:internalName="TaxCatchAll" ma:showField="CatchAllData" ma:web="c1f1eeb5-978f-4917-95f2-e6174f0379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1f1eeb5-978f-4917-95f2-e6174f037949" xsi:nil="true"/>
    <lcf76f155ced4ddcb4097134ff3c332f xmlns="51ae4611-cb70-4579-927e-75165a4a042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A923BCD-4158-4438-84E4-BC1FD2541C0B}"/>
</file>

<file path=customXml/itemProps2.xml><?xml version="1.0" encoding="utf-8"?>
<ds:datastoreItem xmlns:ds="http://schemas.openxmlformats.org/officeDocument/2006/customXml" ds:itemID="{CD4A1241-0DBA-457C-80A9-ADB56B740A05}"/>
</file>

<file path=customXml/itemProps3.xml><?xml version="1.0" encoding="utf-8"?>
<ds:datastoreItem xmlns:ds="http://schemas.openxmlformats.org/officeDocument/2006/customXml" ds:itemID="{894DB8E4-B0AC-475A-9BAE-C6C19014D07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CHAMBERLIN, Jordan (CIMMYT-Kenya)</dc:creator>
  <cp:keywords/>
  <dc:description/>
  <cp:lastModifiedBy/>
  <cp:revision/>
  <dcterms:created xsi:type="dcterms:W3CDTF">2025-02-27T13:45:38Z</dcterms:created>
  <dcterms:modified xsi:type="dcterms:W3CDTF">2025-09-19T06:00:31Z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0x0101008F63BE929BDCF546A78ACA0901734FD5</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xd_Signature">
    <vt:bool>false</vt:bool>
  </property>
  <property fmtid="{D5CDD505-2E9C-101B-9397-08002B2CF9AE}" pid="9" name="MediaServiceImageTags">
    <vt:lpwstr/>
  </property>
</Properties>
</file>