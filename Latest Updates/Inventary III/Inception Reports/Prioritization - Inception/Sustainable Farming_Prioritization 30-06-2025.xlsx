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3.xml" ContentType="application/vnd.ms-excel.threadedcomments+xml"/>
  <Override PartName="/xl/comments7.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mc:AlternateContent xmlns:mc="http://schemas.openxmlformats.org/markup-compatibility/2006">
    <mc:Choice Requires="x15">
      <x15ac:absPath xmlns:x15ac="http://schemas.microsoft.com/office/spreadsheetml/2010/11/ac" url="/Users/admin/Library/CloudStorage/OneDrive-CGIAR/SUSTAINABLE FARMING SCIENCE PROGRAM/Program Management Unit/MELIA/Inception Report/Final Inception Report Submitted 9 June 2025/"/>
    </mc:Choice>
  </mc:AlternateContent>
  <xr:revisionPtr revIDLastSave="0" documentId="8_{74F0515C-3BE1-4683-A659-DA9C5399AAA8}" xr6:coauthVersionLast="47" xr6:coauthVersionMax="47" xr10:uidLastSave="{00000000-0000-0000-0000-000000000000}"/>
  <bookViews>
    <workbookView xWindow="0" yWindow="740" windowWidth="30240" windowHeight="18900" tabRatio="713" xr2:uid="{7E8C8093-AF25-40C4-A5EB-49CC7314E97D}"/>
  </bookViews>
  <sheets>
    <sheet name="README" sheetId="15" r:id="rId1"/>
    <sheet name="Country-regions" sheetId="12" r:id="rId2"/>
    <sheet name="HLOs" sheetId="1" r:id="rId3"/>
    <sheet name="Indicators" sheetId="3" r:id="rId4"/>
    <sheet name="1.Food_security" sheetId="2" r:id="rId5"/>
    <sheet name="2.Poverty_reduction" sheetId="4" r:id="rId6"/>
    <sheet name="3.Social_inclusion" sheetId="5" r:id="rId7"/>
    <sheet name="4.Climate_adaptation" sheetId="6" r:id="rId8"/>
    <sheet name="5.Environmental_health" sheetId="7" r:id="rId9"/>
    <sheet name="Step B - Weight by Scl Impact" sheetId="8" r:id="rId10"/>
    <sheet name="Step B weights" sheetId="13" r:id="rId11"/>
    <sheet name="Step C weights" sheetId="14" r:id="rId12"/>
    <sheet name="Step C - Weight by Enable Env" sheetId="9" r:id="rId13"/>
    <sheet name="Phase 2 - Final decisions" sheetId="11" r:id="rId14"/>
  </sheets>
  <externalReferences>
    <externalReference r:id="rId15"/>
    <externalReference r:id="rId1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9" l="1"/>
  <c r="B42" i="9"/>
  <c r="C42" i="9"/>
  <c r="D42" i="9"/>
  <c r="E42" i="9"/>
  <c r="F42" i="9"/>
  <c r="G42" i="9"/>
  <c r="I42" i="9"/>
  <c r="Q42" i="9" s="1"/>
  <c r="Y42" i="9" s="1"/>
  <c r="J42" i="9"/>
  <c r="K42" i="9"/>
  <c r="L42" i="9"/>
  <c r="M42" i="9"/>
  <c r="N42" i="9"/>
  <c r="O42" i="9"/>
  <c r="R42" i="9"/>
  <c r="S42" i="9"/>
  <c r="T42" i="9"/>
  <c r="U42" i="9"/>
  <c r="V42" i="9"/>
  <c r="W42" i="9"/>
  <c r="Z42" i="9"/>
  <c r="AA42" i="9"/>
  <c r="AB42" i="9"/>
  <c r="AC42" i="9"/>
  <c r="AD42" i="9"/>
  <c r="AE42" i="9"/>
  <c r="AG42" i="9"/>
  <c r="AH42" i="9"/>
  <c r="AI42" i="9"/>
  <c r="AJ42" i="9"/>
  <c r="AK42" i="9"/>
  <c r="AL42" i="9"/>
  <c r="AM42" i="9"/>
  <c r="A31" i="9"/>
  <c r="I31" i="9" s="1"/>
  <c r="Q31" i="9" s="1"/>
  <c r="Y31" i="9" s="1"/>
  <c r="B31" i="9"/>
  <c r="C31" i="9"/>
  <c r="D31" i="9"/>
  <c r="E31" i="9"/>
  <c r="F31" i="9"/>
  <c r="G31" i="9"/>
  <c r="J31" i="9"/>
  <c r="K31" i="9"/>
  <c r="L31" i="9"/>
  <c r="M31" i="9"/>
  <c r="N31" i="9"/>
  <c r="O31" i="9"/>
  <c r="R31" i="9"/>
  <c r="S31" i="9"/>
  <c r="T31" i="9"/>
  <c r="U31" i="9"/>
  <c r="V31" i="9"/>
  <c r="W31" i="9"/>
  <c r="Z31" i="9"/>
  <c r="AA31" i="9"/>
  <c r="AB31" i="9"/>
  <c r="AC31" i="9"/>
  <c r="AD31" i="9"/>
  <c r="AE31" i="9"/>
  <c r="AG31" i="9"/>
  <c r="AH31" i="9"/>
  <c r="AI31" i="9"/>
  <c r="AJ31" i="9"/>
  <c r="AK31" i="9"/>
  <c r="AL31" i="9"/>
  <c r="AM31" i="9"/>
  <c r="A32" i="9"/>
  <c r="I32" i="9" s="1"/>
  <c r="Q32" i="9" s="1"/>
  <c r="Y32" i="9" s="1"/>
  <c r="B32" i="9"/>
  <c r="C32" i="9"/>
  <c r="D32" i="9"/>
  <c r="E32" i="9"/>
  <c r="F32" i="9"/>
  <c r="G32" i="9"/>
  <c r="J32" i="9"/>
  <c r="K32" i="9"/>
  <c r="L32" i="9"/>
  <c r="M32" i="9"/>
  <c r="N32" i="9"/>
  <c r="O32" i="9"/>
  <c r="R32" i="9"/>
  <c r="S32" i="9"/>
  <c r="T32" i="9"/>
  <c r="U32" i="9"/>
  <c r="V32" i="9"/>
  <c r="W32" i="9"/>
  <c r="Z32" i="9"/>
  <c r="AA32" i="9"/>
  <c r="AB32" i="9"/>
  <c r="AC32" i="9"/>
  <c r="AD32" i="9"/>
  <c r="AE32" i="9"/>
  <c r="AG32" i="9"/>
  <c r="AH32" i="9"/>
  <c r="AI32" i="9"/>
  <c r="AJ32" i="9"/>
  <c r="AK32" i="9"/>
  <c r="AL32" i="9"/>
  <c r="AM32" i="9"/>
  <c r="A33" i="9"/>
  <c r="I33" i="9" s="1"/>
  <c r="Q33" i="9" s="1"/>
  <c r="Y33" i="9" s="1"/>
  <c r="B33" i="9"/>
  <c r="C33" i="9"/>
  <c r="D33" i="9"/>
  <c r="E33" i="9"/>
  <c r="F33" i="9"/>
  <c r="G33" i="9"/>
  <c r="J33" i="9"/>
  <c r="K33" i="9"/>
  <c r="L33" i="9"/>
  <c r="M33" i="9"/>
  <c r="N33" i="9"/>
  <c r="O33" i="9"/>
  <c r="R33" i="9"/>
  <c r="S33" i="9"/>
  <c r="T33" i="9"/>
  <c r="U33" i="9"/>
  <c r="V33" i="9"/>
  <c r="W33" i="9"/>
  <c r="Z33" i="9"/>
  <c r="AA33" i="9"/>
  <c r="AB33" i="9"/>
  <c r="AC33" i="9"/>
  <c r="AD33" i="9"/>
  <c r="AE33" i="9"/>
  <c r="AH33" i="9"/>
  <c r="AI33" i="9"/>
  <c r="AJ33" i="9"/>
  <c r="AK33" i="9"/>
  <c r="AL33" i="9"/>
  <c r="AM33" i="9"/>
  <c r="A34" i="9"/>
  <c r="I34" i="9" s="1"/>
  <c r="Q34" i="9" s="1"/>
  <c r="Y34" i="9" s="1"/>
  <c r="B34" i="9"/>
  <c r="C34" i="9"/>
  <c r="D34" i="9"/>
  <c r="E34" i="9"/>
  <c r="F34" i="9"/>
  <c r="G34" i="9"/>
  <c r="J34" i="9"/>
  <c r="K34" i="9"/>
  <c r="L34" i="9"/>
  <c r="M34" i="9"/>
  <c r="N34" i="9"/>
  <c r="O34" i="9"/>
  <c r="R34" i="9"/>
  <c r="S34" i="9"/>
  <c r="T34" i="9"/>
  <c r="U34" i="9"/>
  <c r="V34" i="9"/>
  <c r="W34" i="9"/>
  <c r="Z34" i="9"/>
  <c r="AA34" i="9"/>
  <c r="AB34" i="9"/>
  <c r="AC34" i="9"/>
  <c r="AD34" i="9"/>
  <c r="AE34" i="9"/>
  <c r="AG34" i="9"/>
  <c r="AH34" i="9"/>
  <c r="AI34" i="9"/>
  <c r="AJ34" i="9"/>
  <c r="AK34" i="9"/>
  <c r="AL34" i="9"/>
  <c r="AM34" i="9"/>
  <c r="A35" i="9"/>
  <c r="AG35" i="9" s="1"/>
  <c r="B35" i="9"/>
  <c r="C35" i="9"/>
  <c r="D35" i="9"/>
  <c r="E35" i="9"/>
  <c r="F35" i="9"/>
  <c r="G35" i="9"/>
  <c r="J35" i="9"/>
  <c r="K35" i="9"/>
  <c r="L35" i="9"/>
  <c r="M35" i="9"/>
  <c r="N35" i="9"/>
  <c r="O35" i="9"/>
  <c r="R35" i="9"/>
  <c r="S35" i="9"/>
  <c r="T35" i="9"/>
  <c r="U35" i="9"/>
  <c r="V35" i="9"/>
  <c r="W35" i="9"/>
  <c r="Z35" i="9"/>
  <c r="AA35" i="9"/>
  <c r="AB35" i="9"/>
  <c r="AC35" i="9"/>
  <c r="AD35" i="9"/>
  <c r="AE35" i="9"/>
  <c r="AH35" i="9"/>
  <c r="AI35" i="9"/>
  <c r="AJ35" i="9"/>
  <c r="AK35" i="9"/>
  <c r="AL35" i="9"/>
  <c r="AM35" i="9"/>
  <c r="A36" i="9"/>
  <c r="I36" i="9" s="1"/>
  <c r="Q36" i="9" s="1"/>
  <c r="Y36" i="9" s="1"/>
  <c r="B36" i="9"/>
  <c r="C36" i="9"/>
  <c r="D36" i="9"/>
  <c r="E36" i="9"/>
  <c r="F36" i="9"/>
  <c r="G36" i="9"/>
  <c r="J36" i="9"/>
  <c r="K36" i="9"/>
  <c r="L36" i="9"/>
  <c r="M36" i="9"/>
  <c r="N36" i="9"/>
  <c r="O36" i="9"/>
  <c r="R36" i="9"/>
  <c r="S36" i="9"/>
  <c r="T36" i="9"/>
  <c r="U36" i="9"/>
  <c r="V36" i="9"/>
  <c r="W36" i="9"/>
  <c r="Z36" i="9"/>
  <c r="AA36" i="9"/>
  <c r="AB36" i="9"/>
  <c r="AC36" i="9"/>
  <c r="AD36" i="9"/>
  <c r="AE36" i="9"/>
  <c r="AH36" i="9"/>
  <c r="AI36" i="9"/>
  <c r="AJ36" i="9"/>
  <c r="AK36" i="9"/>
  <c r="AL36" i="9"/>
  <c r="AM36" i="9"/>
  <c r="A37" i="9"/>
  <c r="I37" i="9" s="1"/>
  <c r="Q37" i="9" s="1"/>
  <c r="Y37" i="9" s="1"/>
  <c r="B37" i="9"/>
  <c r="C37" i="9"/>
  <c r="D37" i="9"/>
  <c r="E37" i="9"/>
  <c r="F37" i="9"/>
  <c r="G37" i="9"/>
  <c r="J37" i="9"/>
  <c r="K37" i="9"/>
  <c r="L37" i="9"/>
  <c r="M37" i="9"/>
  <c r="N37" i="9"/>
  <c r="O37" i="9"/>
  <c r="R37" i="9"/>
  <c r="S37" i="9"/>
  <c r="T37" i="9"/>
  <c r="U37" i="9"/>
  <c r="V37" i="9"/>
  <c r="W37" i="9"/>
  <c r="Z37" i="9"/>
  <c r="AA37" i="9"/>
  <c r="AB37" i="9"/>
  <c r="AC37" i="9"/>
  <c r="AD37" i="9"/>
  <c r="AE37" i="9"/>
  <c r="AG37" i="9"/>
  <c r="AH37" i="9"/>
  <c r="AI37" i="9"/>
  <c r="AJ37" i="9"/>
  <c r="AK37" i="9"/>
  <c r="AL37" i="9"/>
  <c r="AM37" i="9"/>
  <c r="A38" i="9"/>
  <c r="I38" i="9" s="1"/>
  <c r="Q38" i="9" s="1"/>
  <c r="Y38" i="9" s="1"/>
  <c r="B38" i="9"/>
  <c r="C38" i="9"/>
  <c r="D38" i="9"/>
  <c r="E38" i="9"/>
  <c r="F38" i="9"/>
  <c r="G38" i="9"/>
  <c r="J38" i="9"/>
  <c r="K38" i="9"/>
  <c r="L38" i="9"/>
  <c r="M38" i="9"/>
  <c r="N38" i="9"/>
  <c r="O38" i="9"/>
  <c r="R38" i="9"/>
  <c r="S38" i="9"/>
  <c r="T38" i="9"/>
  <c r="U38" i="9"/>
  <c r="V38" i="9"/>
  <c r="W38" i="9"/>
  <c r="Z38" i="9"/>
  <c r="AA38" i="9"/>
  <c r="AB38" i="9"/>
  <c r="AC38" i="9"/>
  <c r="AD38" i="9"/>
  <c r="AE38" i="9"/>
  <c r="AH38" i="9"/>
  <c r="AI38" i="9"/>
  <c r="AJ38" i="9"/>
  <c r="AK38" i="9"/>
  <c r="AL38" i="9"/>
  <c r="AM38" i="9"/>
  <c r="A39" i="9"/>
  <c r="I39" i="9" s="1"/>
  <c r="Q39" i="9" s="1"/>
  <c r="Y39" i="9" s="1"/>
  <c r="B39" i="9"/>
  <c r="C39" i="9"/>
  <c r="D39" i="9"/>
  <c r="E39" i="9"/>
  <c r="F39" i="9"/>
  <c r="G39" i="9"/>
  <c r="J39" i="9"/>
  <c r="K39" i="9"/>
  <c r="L39" i="9"/>
  <c r="M39" i="9"/>
  <c r="N39" i="9"/>
  <c r="O39" i="9"/>
  <c r="R39" i="9"/>
  <c r="S39" i="9"/>
  <c r="T39" i="9"/>
  <c r="U39" i="9"/>
  <c r="V39" i="9"/>
  <c r="W39" i="9"/>
  <c r="Z39" i="9"/>
  <c r="AA39" i="9"/>
  <c r="AB39" i="9"/>
  <c r="AC39" i="9"/>
  <c r="AD39" i="9"/>
  <c r="AE39" i="9"/>
  <c r="AG39" i="9"/>
  <c r="AH39" i="9"/>
  <c r="AI39" i="9"/>
  <c r="AJ39" i="9"/>
  <c r="AK39" i="9"/>
  <c r="AL39" i="9"/>
  <c r="AM39" i="9"/>
  <c r="A40" i="9"/>
  <c r="I40" i="9" s="1"/>
  <c r="Q40" i="9" s="1"/>
  <c r="Y40" i="9" s="1"/>
  <c r="B40" i="9"/>
  <c r="C40" i="9"/>
  <c r="D40" i="9"/>
  <c r="E40" i="9"/>
  <c r="F40" i="9"/>
  <c r="G40" i="9"/>
  <c r="J40" i="9"/>
  <c r="K40" i="9"/>
  <c r="L40" i="9"/>
  <c r="M40" i="9"/>
  <c r="N40" i="9"/>
  <c r="O40" i="9"/>
  <c r="R40" i="9"/>
  <c r="S40" i="9"/>
  <c r="T40" i="9"/>
  <c r="U40" i="9"/>
  <c r="V40" i="9"/>
  <c r="W40" i="9"/>
  <c r="Z40" i="9"/>
  <c r="AA40" i="9"/>
  <c r="AB40" i="9"/>
  <c r="AC40" i="9"/>
  <c r="AD40" i="9"/>
  <c r="AE40" i="9"/>
  <c r="AG40" i="9"/>
  <c r="AH40" i="9"/>
  <c r="AI40" i="9"/>
  <c r="AJ40" i="9"/>
  <c r="AK40" i="9"/>
  <c r="AL40" i="9"/>
  <c r="AM40" i="9"/>
  <c r="A41" i="9"/>
  <c r="I41" i="9" s="1"/>
  <c r="Q41" i="9" s="1"/>
  <c r="Y41" i="9" s="1"/>
  <c r="B41" i="9"/>
  <c r="C41" i="9"/>
  <c r="D41" i="9"/>
  <c r="E41" i="9"/>
  <c r="F41" i="9"/>
  <c r="G41" i="9"/>
  <c r="J41" i="9"/>
  <c r="K41" i="9"/>
  <c r="L41" i="9"/>
  <c r="M41" i="9"/>
  <c r="N41" i="9"/>
  <c r="O41" i="9"/>
  <c r="R41" i="9"/>
  <c r="S41" i="9"/>
  <c r="T41" i="9"/>
  <c r="U41" i="9"/>
  <c r="V41" i="9"/>
  <c r="W41" i="9"/>
  <c r="Z41" i="9"/>
  <c r="AA41" i="9"/>
  <c r="AB41" i="9"/>
  <c r="AC41" i="9"/>
  <c r="AD41" i="9"/>
  <c r="AE41" i="9"/>
  <c r="AH41" i="9"/>
  <c r="AI41" i="9"/>
  <c r="AJ41" i="9"/>
  <c r="AK41" i="9"/>
  <c r="AL41" i="9"/>
  <c r="AM41" i="9"/>
  <c r="A32" i="8"/>
  <c r="B32" i="8"/>
  <c r="C32" i="8"/>
  <c r="D32" i="8"/>
  <c r="E32" i="8"/>
  <c r="F32" i="8"/>
  <c r="G32" i="8"/>
  <c r="I32" i="8"/>
  <c r="J32" i="8"/>
  <c r="K32" i="8"/>
  <c r="L32" i="8"/>
  <c r="M32" i="8"/>
  <c r="N32" i="8"/>
  <c r="O32" i="8"/>
  <c r="Q32" i="8"/>
  <c r="R32" i="8"/>
  <c r="S32" i="8"/>
  <c r="T32" i="8"/>
  <c r="U32" i="8"/>
  <c r="V32" i="8"/>
  <c r="W32" i="8"/>
  <c r="Y32" i="8"/>
  <c r="Z32" i="8"/>
  <c r="AA32" i="8"/>
  <c r="AB32" i="8"/>
  <c r="AC32" i="8"/>
  <c r="AD32" i="8"/>
  <c r="AE32" i="8"/>
  <c r="AG32" i="8"/>
  <c r="AH32" i="8"/>
  <c r="AI32" i="8"/>
  <c r="AJ32" i="8"/>
  <c r="AK32" i="8"/>
  <c r="AL32" i="8"/>
  <c r="AM32" i="8"/>
  <c r="A33" i="8"/>
  <c r="Y33" i="8" s="1"/>
  <c r="B33" i="8"/>
  <c r="C33" i="8"/>
  <c r="D33" i="8"/>
  <c r="E33" i="8"/>
  <c r="F33" i="8"/>
  <c r="G33" i="8"/>
  <c r="J33" i="8"/>
  <c r="K33" i="8"/>
  <c r="L33" i="8"/>
  <c r="M33" i="8"/>
  <c r="N33" i="8"/>
  <c r="O33" i="8"/>
  <c r="R33" i="8"/>
  <c r="S33" i="8"/>
  <c r="T33" i="8"/>
  <c r="U33" i="8"/>
  <c r="V33" i="8"/>
  <c r="W33" i="8"/>
  <c r="Z33" i="8"/>
  <c r="AA33" i="8"/>
  <c r="AB33" i="8"/>
  <c r="AC33" i="8"/>
  <c r="AD33" i="8"/>
  <c r="AE33" i="8"/>
  <c r="AG33" i="8"/>
  <c r="AH33" i="8"/>
  <c r="AI33" i="8"/>
  <c r="AJ33" i="8"/>
  <c r="AK33" i="8"/>
  <c r="AL33" i="8"/>
  <c r="AM33" i="8"/>
  <c r="A34" i="8"/>
  <c r="Q34" i="8" s="1"/>
  <c r="B34" i="8"/>
  <c r="C34" i="8"/>
  <c r="D34" i="8"/>
  <c r="E34" i="8"/>
  <c r="F34" i="8"/>
  <c r="G34" i="8"/>
  <c r="J34" i="8"/>
  <c r="K34" i="8"/>
  <c r="L34" i="8"/>
  <c r="M34" i="8"/>
  <c r="N34" i="8"/>
  <c r="O34" i="8"/>
  <c r="R34" i="8"/>
  <c r="S34" i="8"/>
  <c r="T34" i="8"/>
  <c r="U34" i="8"/>
  <c r="V34" i="8"/>
  <c r="W34" i="8"/>
  <c r="Z34" i="8"/>
  <c r="AA34" i="8"/>
  <c r="AB34" i="8"/>
  <c r="AC34" i="8"/>
  <c r="AD34" i="8"/>
  <c r="AE34" i="8"/>
  <c r="AH34" i="8"/>
  <c r="AI34" i="8"/>
  <c r="AJ34" i="8"/>
  <c r="AK34" i="8"/>
  <c r="AL34" i="8"/>
  <c r="AM34" i="8"/>
  <c r="A35" i="8"/>
  <c r="I35" i="8" s="1"/>
  <c r="B35" i="8"/>
  <c r="C35" i="8"/>
  <c r="D35" i="8"/>
  <c r="E35" i="8"/>
  <c r="F35" i="8"/>
  <c r="G35" i="8"/>
  <c r="J35" i="8"/>
  <c r="K35" i="8"/>
  <c r="L35" i="8"/>
  <c r="M35" i="8"/>
  <c r="N35" i="8"/>
  <c r="O35" i="8"/>
  <c r="Q35" i="8"/>
  <c r="R35" i="8"/>
  <c r="S35" i="8"/>
  <c r="T35" i="8"/>
  <c r="U35" i="8"/>
  <c r="V35" i="8"/>
  <c r="W35" i="8"/>
  <c r="Y35" i="8"/>
  <c r="Z35" i="8"/>
  <c r="AA35" i="8"/>
  <c r="AB35" i="8"/>
  <c r="AC35" i="8"/>
  <c r="AD35" i="8"/>
  <c r="AE35" i="8"/>
  <c r="AG35" i="8"/>
  <c r="AH35" i="8"/>
  <c r="AI35" i="8"/>
  <c r="AJ35" i="8"/>
  <c r="AK35" i="8"/>
  <c r="AL35" i="8"/>
  <c r="AM35" i="8"/>
  <c r="A36" i="8"/>
  <c r="AG36" i="8" s="1"/>
  <c r="B36" i="8"/>
  <c r="C36" i="8"/>
  <c r="D36" i="8"/>
  <c r="E36" i="8"/>
  <c r="F36" i="8"/>
  <c r="G36" i="8"/>
  <c r="J36" i="8"/>
  <c r="K36" i="8"/>
  <c r="L36" i="8"/>
  <c r="M36" i="8"/>
  <c r="N36" i="8"/>
  <c r="O36" i="8"/>
  <c r="R36" i="8"/>
  <c r="S36" i="8"/>
  <c r="T36" i="8"/>
  <c r="U36" i="8"/>
  <c r="V36" i="8"/>
  <c r="W36" i="8"/>
  <c r="Z36" i="8"/>
  <c r="AA36" i="8"/>
  <c r="AB36" i="8"/>
  <c r="AC36" i="8"/>
  <c r="AD36" i="8"/>
  <c r="AE36" i="8"/>
  <c r="AH36" i="8"/>
  <c r="AI36" i="8"/>
  <c r="AJ36" i="8"/>
  <c r="AK36" i="8"/>
  <c r="AL36" i="8"/>
  <c r="AM36" i="8"/>
  <c r="A37" i="8"/>
  <c r="Y37" i="8" s="1"/>
  <c r="B37" i="8"/>
  <c r="C37" i="8"/>
  <c r="D37" i="8"/>
  <c r="E37" i="8"/>
  <c r="F37" i="8"/>
  <c r="G37" i="8"/>
  <c r="J37" i="8"/>
  <c r="K37" i="8"/>
  <c r="L37" i="8"/>
  <c r="M37" i="8"/>
  <c r="N37" i="8"/>
  <c r="O37" i="8"/>
  <c r="R37" i="8"/>
  <c r="S37" i="8"/>
  <c r="T37" i="8"/>
  <c r="U37" i="8"/>
  <c r="V37" i="8"/>
  <c r="W37" i="8"/>
  <c r="Z37" i="8"/>
  <c r="AA37" i="8"/>
  <c r="AB37" i="8"/>
  <c r="AC37" i="8"/>
  <c r="AD37" i="8"/>
  <c r="AE37" i="8"/>
  <c r="AH37" i="8"/>
  <c r="AI37" i="8"/>
  <c r="AJ37" i="8"/>
  <c r="AK37" i="8"/>
  <c r="AL37" i="8"/>
  <c r="AM37" i="8"/>
  <c r="A38" i="8"/>
  <c r="Q38" i="8" s="1"/>
  <c r="B38" i="8"/>
  <c r="C38" i="8"/>
  <c r="D38" i="8"/>
  <c r="E38" i="8"/>
  <c r="F38" i="8"/>
  <c r="G38" i="8"/>
  <c r="J38" i="8"/>
  <c r="K38" i="8"/>
  <c r="L38" i="8"/>
  <c r="M38" i="8"/>
  <c r="N38" i="8"/>
  <c r="O38" i="8"/>
  <c r="R38" i="8"/>
  <c r="S38" i="8"/>
  <c r="T38" i="8"/>
  <c r="U38" i="8"/>
  <c r="V38" i="8"/>
  <c r="W38" i="8"/>
  <c r="Y38" i="8"/>
  <c r="Z38" i="8"/>
  <c r="AA38" i="8"/>
  <c r="AB38" i="8"/>
  <c r="AC38" i="8"/>
  <c r="AD38" i="8"/>
  <c r="AE38" i="8"/>
  <c r="AG38" i="8"/>
  <c r="AH38" i="8"/>
  <c r="AI38" i="8"/>
  <c r="AJ38" i="8"/>
  <c r="AK38" i="8"/>
  <c r="AL38" i="8"/>
  <c r="AM38" i="8"/>
  <c r="A39" i="8"/>
  <c r="AG39" i="8" s="1"/>
  <c r="B39" i="8"/>
  <c r="C39" i="8"/>
  <c r="D39" i="8"/>
  <c r="E39" i="8"/>
  <c r="F39" i="8"/>
  <c r="G39" i="8"/>
  <c r="J39" i="8"/>
  <c r="K39" i="8"/>
  <c r="L39" i="8"/>
  <c r="M39" i="8"/>
  <c r="N39" i="8"/>
  <c r="O39" i="8"/>
  <c r="R39" i="8"/>
  <c r="S39" i="8"/>
  <c r="T39" i="8"/>
  <c r="U39" i="8"/>
  <c r="V39" i="8"/>
  <c r="W39" i="8"/>
  <c r="Z39" i="8"/>
  <c r="AA39" i="8"/>
  <c r="AB39" i="8"/>
  <c r="AC39" i="8"/>
  <c r="AD39" i="8"/>
  <c r="AE39" i="8"/>
  <c r="AH39" i="8"/>
  <c r="AI39" i="8"/>
  <c r="AJ39" i="8"/>
  <c r="AK39" i="8"/>
  <c r="AL39" i="8"/>
  <c r="AM39" i="8"/>
  <c r="A40" i="8"/>
  <c r="Q40" i="8" s="1"/>
  <c r="B40" i="8"/>
  <c r="C40" i="8"/>
  <c r="D40" i="8"/>
  <c r="E40" i="8"/>
  <c r="F40" i="8"/>
  <c r="G40" i="8"/>
  <c r="J40" i="8"/>
  <c r="K40" i="8"/>
  <c r="L40" i="8"/>
  <c r="M40" i="8"/>
  <c r="N40" i="8"/>
  <c r="O40" i="8"/>
  <c r="R40" i="8"/>
  <c r="S40" i="8"/>
  <c r="T40" i="8"/>
  <c r="U40" i="8"/>
  <c r="V40" i="8"/>
  <c r="W40" i="8"/>
  <c r="Y40" i="8"/>
  <c r="Z40" i="8"/>
  <c r="AA40" i="8"/>
  <c r="AB40" i="8"/>
  <c r="AC40" i="8"/>
  <c r="AD40" i="8"/>
  <c r="AE40" i="8"/>
  <c r="AG40" i="8"/>
  <c r="AH40" i="8"/>
  <c r="AI40" i="8"/>
  <c r="AJ40" i="8"/>
  <c r="AK40" i="8"/>
  <c r="AL40" i="8"/>
  <c r="AM40" i="8"/>
  <c r="A41" i="8"/>
  <c r="Y41" i="8" s="1"/>
  <c r="B41" i="8"/>
  <c r="C41" i="8"/>
  <c r="D41" i="8"/>
  <c r="E41" i="8"/>
  <c r="F41" i="8"/>
  <c r="G41" i="8"/>
  <c r="J41" i="8"/>
  <c r="K41" i="8"/>
  <c r="L41" i="8"/>
  <c r="M41" i="8"/>
  <c r="N41" i="8"/>
  <c r="O41" i="8"/>
  <c r="R41" i="8"/>
  <c r="S41" i="8"/>
  <c r="T41" i="8"/>
  <c r="U41" i="8"/>
  <c r="V41" i="8"/>
  <c r="W41" i="8"/>
  <c r="Z41" i="8"/>
  <c r="AA41" i="8"/>
  <c r="AB41" i="8"/>
  <c r="AC41" i="8"/>
  <c r="AD41" i="8"/>
  <c r="AE41" i="8"/>
  <c r="AG41" i="8"/>
  <c r="AH41" i="8"/>
  <c r="AI41" i="8"/>
  <c r="AJ41" i="8"/>
  <c r="AK41" i="8"/>
  <c r="AL41" i="8"/>
  <c r="AM41" i="8"/>
  <c r="A42" i="8"/>
  <c r="Y42" i="8" s="1"/>
  <c r="B42" i="8"/>
  <c r="C42" i="8"/>
  <c r="D42" i="8"/>
  <c r="E42" i="8"/>
  <c r="F42" i="8"/>
  <c r="G42" i="8"/>
  <c r="J42" i="8"/>
  <c r="K42" i="8"/>
  <c r="L42" i="8"/>
  <c r="M42" i="8"/>
  <c r="N42" i="8"/>
  <c r="O42" i="8"/>
  <c r="R42" i="8"/>
  <c r="S42" i="8"/>
  <c r="T42" i="8"/>
  <c r="U42" i="8"/>
  <c r="V42" i="8"/>
  <c r="W42" i="8"/>
  <c r="Z42" i="8"/>
  <c r="AA42" i="8"/>
  <c r="AB42" i="8"/>
  <c r="AC42" i="8"/>
  <c r="AD42" i="8"/>
  <c r="AE42" i="8"/>
  <c r="AH42" i="8"/>
  <c r="AI42" i="8"/>
  <c r="AJ42" i="8"/>
  <c r="AK42" i="8"/>
  <c r="AL42" i="8"/>
  <c r="AM42" i="8"/>
  <c r="A43" i="8"/>
  <c r="I43" i="8" s="1"/>
  <c r="B43" i="8"/>
  <c r="C43" i="8"/>
  <c r="D43" i="8"/>
  <c r="E43" i="8"/>
  <c r="F43" i="8"/>
  <c r="G43" i="8"/>
  <c r="J43" i="8"/>
  <c r="K43" i="8"/>
  <c r="L43" i="8"/>
  <c r="M43" i="8"/>
  <c r="N43" i="8"/>
  <c r="O43" i="8"/>
  <c r="R43" i="8"/>
  <c r="S43" i="8"/>
  <c r="T43" i="8"/>
  <c r="U43" i="8"/>
  <c r="V43" i="8"/>
  <c r="W43" i="8"/>
  <c r="Z43" i="8"/>
  <c r="AA43" i="8"/>
  <c r="AB43" i="8"/>
  <c r="AC43" i="8"/>
  <c r="AD43" i="8"/>
  <c r="AE43" i="8"/>
  <c r="AG43" i="8"/>
  <c r="AH43" i="8"/>
  <c r="AI43" i="8"/>
  <c r="AJ43" i="8"/>
  <c r="AK43" i="8"/>
  <c r="AL43" i="8"/>
  <c r="AM43" i="8"/>
  <c r="E5" i="2"/>
  <c r="D3" i="2"/>
  <c r="I3" i="4"/>
  <c r="A10" i="8"/>
  <c r="V30" i="13"/>
  <c r="V39" i="13"/>
  <c r="W50" i="13"/>
  <c r="A10" i="9"/>
  <c r="I10" i="9" s="1"/>
  <c r="Q10" i="9" s="1"/>
  <c r="Y10" i="9" s="1"/>
  <c r="A11" i="9"/>
  <c r="AG11" i="9" s="1"/>
  <c r="A12" i="9"/>
  <c r="I12" i="9" s="1"/>
  <c r="Q12" i="9" s="1"/>
  <c r="Y12" i="9" s="1"/>
  <c r="A13" i="9"/>
  <c r="I13" i="9" s="1"/>
  <c r="Q13" i="9" s="1"/>
  <c r="Y13" i="9" s="1"/>
  <c r="A14" i="9"/>
  <c r="AG14" i="9" s="1"/>
  <c r="A15" i="9"/>
  <c r="AG15" i="9" s="1"/>
  <c r="A16" i="9"/>
  <c r="I16" i="9" s="1"/>
  <c r="Q16" i="9" s="1"/>
  <c r="Y16" i="9" s="1"/>
  <c r="A17" i="9"/>
  <c r="AG17" i="9" s="1"/>
  <c r="A18" i="9"/>
  <c r="I18" i="9" s="1"/>
  <c r="Q18" i="9" s="1"/>
  <c r="Y18" i="9" s="1"/>
  <c r="A19" i="9"/>
  <c r="AG19" i="9" s="1"/>
  <c r="A20" i="9"/>
  <c r="AG20" i="9" s="1"/>
  <c r="A21" i="9"/>
  <c r="AG21" i="9" s="1"/>
  <c r="A22" i="9"/>
  <c r="I22" i="9" s="1"/>
  <c r="Q22" i="9" s="1"/>
  <c r="Y22" i="9" s="1"/>
  <c r="A23" i="9"/>
  <c r="I23" i="9" s="1"/>
  <c r="Q23" i="9" s="1"/>
  <c r="Y23" i="9" s="1"/>
  <c r="A24" i="9"/>
  <c r="I24" i="9" s="1"/>
  <c r="Q24" i="9" s="1"/>
  <c r="Y24" i="9" s="1"/>
  <c r="A25" i="9"/>
  <c r="I25" i="9" s="1"/>
  <c r="Q25" i="9" s="1"/>
  <c r="Y25" i="9" s="1"/>
  <c r="A26" i="9"/>
  <c r="AG26" i="9" s="1"/>
  <c r="A27" i="9"/>
  <c r="AG27" i="9" s="1"/>
  <c r="A28" i="9"/>
  <c r="I28" i="9" s="1"/>
  <c r="Q28" i="9" s="1"/>
  <c r="Y28" i="9" s="1"/>
  <c r="A29" i="9"/>
  <c r="AG29" i="9" s="1"/>
  <c r="A30" i="9"/>
  <c r="AG30" i="9" s="1"/>
  <c r="A9" i="9"/>
  <c r="AG9" i="9" s="1"/>
  <c r="I10" i="8"/>
  <c r="AL35" i="13"/>
  <c r="AL34" i="13"/>
  <c r="AL33" i="13"/>
  <c r="AL42" i="13" s="1"/>
  <c r="AK50" i="13" s="1"/>
  <c r="AL32" i="13"/>
  <c r="AL31" i="13"/>
  <c r="AL30" i="13"/>
  <c r="AD41" i="13"/>
  <c r="AD42" i="13"/>
  <c r="AD43" i="13"/>
  <c r="AD35" i="13"/>
  <c r="AD34" i="13"/>
  <c r="AD40" i="13" s="1"/>
  <c r="AD33" i="13"/>
  <c r="AD32" i="13"/>
  <c r="AD31" i="13"/>
  <c r="AD30" i="13"/>
  <c r="V35" i="13"/>
  <c r="V34" i="13"/>
  <c r="V33" i="13"/>
  <c r="V32" i="13"/>
  <c r="V31" i="13"/>
  <c r="N31" i="13"/>
  <c r="N32" i="13"/>
  <c r="N41" i="13" s="1"/>
  <c r="L50" i="13" s="1"/>
  <c r="N33" i="13"/>
  <c r="N34" i="13"/>
  <c r="N35" i="13"/>
  <c r="N30" i="13"/>
  <c r="G20" i="14"/>
  <c r="G21" i="14"/>
  <c r="G22" i="14"/>
  <c r="G23" i="14"/>
  <c r="G24" i="14"/>
  <c r="G19" i="14"/>
  <c r="F20" i="14"/>
  <c r="F21" i="14"/>
  <c r="F22" i="14"/>
  <c r="F23" i="14"/>
  <c r="F24" i="14"/>
  <c r="F19" i="14"/>
  <c r="E19" i="14"/>
  <c r="E20" i="14"/>
  <c r="E21" i="14"/>
  <c r="E22" i="14"/>
  <c r="E23" i="14"/>
  <c r="E24" i="14"/>
  <c r="D20" i="14"/>
  <c r="D21" i="14"/>
  <c r="D22" i="14"/>
  <c r="D23" i="14"/>
  <c r="D24" i="14"/>
  <c r="D19" i="14"/>
  <c r="C20" i="14"/>
  <c r="C21" i="14"/>
  <c r="C31" i="14" s="1"/>
  <c r="D40" i="14" s="1"/>
  <c r="C22" i="14"/>
  <c r="C23" i="14"/>
  <c r="C24" i="14"/>
  <c r="C19" i="14"/>
  <c r="C29" i="14" s="1"/>
  <c r="B40" i="14" s="1"/>
  <c r="A11" i="8"/>
  <c r="Q11" i="8" s="1"/>
  <c r="A12" i="8"/>
  <c r="Q12" i="8" s="1"/>
  <c r="A13" i="8"/>
  <c r="I13" i="8" s="1"/>
  <c r="A14" i="8"/>
  <c r="I14" i="8" s="1"/>
  <c r="A15" i="8"/>
  <c r="I15" i="8" s="1"/>
  <c r="A16" i="8"/>
  <c r="I16" i="8" s="1"/>
  <c r="A17" i="8"/>
  <c r="I17" i="8" s="1"/>
  <c r="A18" i="8"/>
  <c r="I18" i="8" s="1"/>
  <c r="A19" i="8"/>
  <c r="AG19" i="8" s="1"/>
  <c r="A20" i="8"/>
  <c r="Y20" i="8" s="1"/>
  <c r="A21" i="8"/>
  <c r="Y21" i="8" s="1"/>
  <c r="A22" i="8"/>
  <c r="AG22" i="8" s="1"/>
  <c r="A23" i="8"/>
  <c r="Q23" i="8" s="1"/>
  <c r="A24" i="8"/>
  <c r="Q24" i="8" s="1"/>
  <c r="A25" i="8"/>
  <c r="I25" i="8" s="1"/>
  <c r="A26" i="8"/>
  <c r="I26" i="8" s="1"/>
  <c r="A27" i="8"/>
  <c r="I27" i="8" s="1"/>
  <c r="A28" i="8"/>
  <c r="I28" i="8" s="1"/>
  <c r="A29" i="8"/>
  <c r="I29" i="8" s="1"/>
  <c r="A30" i="8"/>
  <c r="I30" i="8" s="1"/>
  <c r="A31" i="8"/>
  <c r="AG31" i="8" s="1"/>
  <c r="AG36" i="9" l="1"/>
  <c r="AG41" i="9"/>
  <c r="AG33" i="9"/>
  <c r="AG38" i="9"/>
  <c r="I35" i="9"/>
  <c r="Q35" i="9" s="1"/>
  <c r="Y35" i="9" s="1"/>
  <c r="Q43" i="8"/>
  <c r="I40" i="8"/>
  <c r="Y43" i="8"/>
  <c r="I37" i="8"/>
  <c r="Q37" i="8"/>
  <c r="I34" i="8"/>
  <c r="I42" i="8"/>
  <c r="Q42" i="8"/>
  <c r="I39" i="8"/>
  <c r="Q39" i="8"/>
  <c r="AG37" i="8"/>
  <c r="I36" i="8"/>
  <c r="Y34" i="8"/>
  <c r="AG42" i="8"/>
  <c r="I41" i="8"/>
  <c r="Y39" i="8"/>
  <c r="Q36" i="8"/>
  <c r="AG34" i="8"/>
  <c r="I33" i="8"/>
  <c r="Q41" i="8"/>
  <c r="I38" i="8"/>
  <c r="Y36" i="8"/>
  <c r="Q33" i="8"/>
  <c r="B11" i="2"/>
  <c r="R50" i="13"/>
  <c r="I22" i="8"/>
  <c r="Q31" i="8"/>
  <c r="Q22" i="8"/>
  <c r="Q21" i="8"/>
  <c r="Q20" i="8"/>
  <c r="Y19" i="8"/>
  <c r="AG27" i="8"/>
  <c r="Y18" i="8"/>
  <c r="Y17" i="8"/>
  <c r="C32" i="14"/>
  <c r="E40" i="14" s="1"/>
  <c r="C33" i="14"/>
  <c r="F40" i="14" s="1"/>
  <c r="C34" i="14"/>
  <c r="G40" i="14" s="1"/>
  <c r="C30" i="14"/>
  <c r="C40" i="14" s="1"/>
  <c r="N40" i="13"/>
  <c r="K50" i="13" s="1"/>
  <c r="V42" i="13"/>
  <c r="U50" i="13" s="1"/>
  <c r="AK19" i="8"/>
  <c r="AK18" i="9" s="1"/>
  <c r="AK31" i="8"/>
  <c r="AK30" i="9" s="1"/>
  <c r="AK12" i="8"/>
  <c r="AK11" i="9" s="1"/>
  <c r="AK24" i="8"/>
  <c r="AK23" i="9" s="1"/>
  <c r="AK17" i="8"/>
  <c r="AK16" i="9" s="1"/>
  <c r="AK29" i="8"/>
  <c r="AK28" i="9" s="1"/>
  <c r="AK10" i="8"/>
  <c r="AK9" i="9" s="1"/>
  <c r="AK22" i="8"/>
  <c r="AK21" i="9" s="1"/>
  <c r="AK15" i="8"/>
  <c r="AK14" i="9" s="1"/>
  <c r="AK27" i="8"/>
  <c r="AK26" i="9" s="1"/>
  <c r="AK20" i="8"/>
  <c r="AK19" i="9" s="1"/>
  <c r="AK13" i="8"/>
  <c r="AK12" i="9" s="1"/>
  <c r="AK25" i="8"/>
  <c r="AK24" i="9" s="1"/>
  <c r="AK18" i="8"/>
  <c r="AK17" i="9" s="1"/>
  <c r="AK30" i="8"/>
  <c r="AK29" i="9" s="1"/>
  <c r="AK11" i="8"/>
  <c r="AK10" i="9" s="1"/>
  <c r="AK23" i="8"/>
  <c r="AK22" i="9" s="1"/>
  <c r="AK16" i="8"/>
  <c r="AK15" i="9" s="1"/>
  <c r="AK28" i="8"/>
  <c r="AK27" i="9" s="1"/>
  <c r="AK14" i="8"/>
  <c r="AK13" i="9" s="1"/>
  <c r="L11" i="8"/>
  <c r="L10" i="9" s="1"/>
  <c r="L13" i="8"/>
  <c r="L12" i="9" s="1"/>
  <c r="L17" i="8"/>
  <c r="L16" i="9" s="1"/>
  <c r="L19" i="8"/>
  <c r="L18" i="9" s="1"/>
  <c r="L21" i="8"/>
  <c r="L20" i="9" s="1"/>
  <c r="L25" i="8"/>
  <c r="L24" i="9" s="1"/>
  <c r="L27" i="8"/>
  <c r="L26" i="9" s="1"/>
  <c r="L31" i="8"/>
  <c r="L30" i="9" s="1"/>
  <c r="L15" i="8"/>
  <c r="L14" i="9" s="1"/>
  <c r="L23" i="8"/>
  <c r="L22" i="9" s="1"/>
  <c r="L29" i="8"/>
  <c r="L28" i="9" s="1"/>
  <c r="L12" i="8"/>
  <c r="L11" i="9" s="1"/>
  <c r="L14" i="8"/>
  <c r="L13" i="9" s="1"/>
  <c r="L16" i="8"/>
  <c r="L15" i="9" s="1"/>
  <c r="L18" i="8"/>
  <c r="L17" i="9" s="1"/>
  <c r="L20" i="8"/>
  <c r="L19" i="9" s="1"/>
  <c r="L22" i="8"/>
  <c r="L21" i="9" s="1"/>
  <c r="L24" i="8"/>
  <c r="L23" i="9" s="1"/>
  <c r="L26" i="8"/>
  <c r="L25" i="9" s="1"/>
  <c r="L28" i="8"/>
  <c r="L27" i="9" s="1"/>
  <c r="L30" i="8"/>
  <c r="L29" i="9" s="1"/>
  <c r="L10" i="8"/>
  <c r="L9" i="9" s="1"/>
  <c r="V43" i="13"/>
  <c r="V50" i="13" s="1"/>
  <c r="AK26" i="8"/>
  <c r="AK25" i="9" s="1"/>
  <c r="V40" i="13"/>
  <c r="S50" i="13" s="1"/>
  <c r="V41" i="13"/>
  <c r="T50" i="13" s="1"/>
  <c r="AL39" i="13"/>
  <c r="AH50" i="13" s="1"/>
  <c r="AL41" i="13"/>
  <c r="AJ50" i="13" s="1"/>
  <c r="AL43" i="13"/>
  <c r="AL50" i="13" s="1"/>
  <c r="AK21" i="8"/>
  <c r="AK20" i="9" s="1"/>
  <c r="AL44" i="13"/>
  <c r="AM50" i="13" s="1"/>
  <c r="N42" i="13"/>
  <c r="M50" i="13" s="1"/>
  <c r="Z50" i="13"/>
  <c r="AA50" i="13"/>
  <c r="V44" i="13"/>
  <c r="AB50" i="13"/>
  <c r="AC50" i="13"/>
  <c r="N39" i="13"/>
  <c r="J50" i="13" s="1"/>
  <c r="N44" i="13"/>
  <c r="O50" i="13" s="1"/>
  <c r="AD39" i="13"/>
  <c r="AL40" i="13"/>
  <c r="N43" i="13"/>
  <c r="N50" i="13" s="1"/>
  <c r="AD44" i="13"/>
  <c r="AE50" i="13" s="1"/>
  <c r="AI50" i="13"/>
  <c r="I31" i="8"/>
  <c r="I24" i="8"/>
  <c r="Q19" i="8"/>
  <c r="AG30" i="8"/>
  <c r="AG10" i="8"/>
  <c r="I23" i="8"/>
  <c r="Q18" i="8"/>
  <c r="AG29" i="8"/>
  <c r="Y10" i="8"/>
  <c r="I21" i="8"/>
  <c r="Y31" i="8"/>
  <c r="AG20" i="8"/>
  <c r="I20" i="8"/>
  <c r="Y30" i="8"/>
  <c r="AG18" i="8"/>
  <c r="I19" i="8"/>
  <c r="Y29" i="8"/>
  <c r="AG17" i="8"/>
  <c r="I12" i="8"/>
  <c r="Y22" i="8"/>
  <c r="AG15" i="8"/>
  <c r="I11" i="8"/>
  <c r="Y9" i="9"/>
  <c r="I26" i="9"/>
  <c r="Q26" i="9" s="1"/>
  <c r="Y26" i="9" s="1"/>
  <c r="I9" i="9"/>
  <c r="Q9" i="9" s="1"/>
  <c r="I27" i="9"/>
  <c r="Q27" i="9" s="1"/>
  <c r="Y27" i="9" s="1"/>
  <c r="I21" i="9"/>
  <c r="Q21" i="9" s="1"/>
  <c r="Y21" i="9" s="1"/>
  <c r="I20" i="9"/>
  <c r="Q20" i="9" s="1"/>
  <c r="Y20" i="9" s="1"/>
  <c r="I19" i="9"/>
  <c r="Q19" i="9" s="1"/>
  <c r="Y19" i="9" s="1"/>
  <c r="I15" i="9"/>
  <c r="Q15" i="9" s="1"/>
  <c r="Y15" i="9" s="1"/>
  <c r="I14" i="9"/>
  <c r="Q14" i="9" s="1"/>
  <c r="Y14" i="9" s="1"/>
  <c r="AG18" i="9"/>
  <c r="AG28" i="9"/>
  <c r="AG16" i="9"/>
  <c r="I30" i="9"/>
  <c r="Q30" i="9" s="1"/>
  <c r="Y30" i="9" s="1"/>
  <c r="I29" i="9"/>
  <c r="Q29" i="9" s="1"/>
  <c r="Y29" i="9" s="1"/>
  <c r="I17" i="9"/>
  <c r="Q17" i="9" s="1"/>
  <c r="Y17" i="9" s="1"/>
  <c r="AG25" i="9"/>
  <c r="AG13" i="9"/>
  <c r="AG24" i="9"/>
  <c r="AG12" i="9"/>
  <c r="AG23" i="9"/>
  <c r="AG22" i="9"/>
  <c r="AG10" i="9"/>
  <c r="I11" i="9"/>
  <c r="Q11" i="9" s="1"/>
  <c r="Y11" i="9" s="1"/>
  <c r="Q10" i="8"/>
  <c r="AG28" i="8"/>
  <c r="AG16" i="8"/>
  <c r="Q30" i="8"/>
  <c r="Y28" i="8"/>
  <c r="AG26" i="8"/>
  <c r="AG14" i="8"/>
  <c r="Q29" i="8"/>
  <c r="Q17" i="8"/>
  <c r="Y27" i="8"/>
  <c r="Y15" i="8"/>
  <c r="AG25" i="8"/>
  <c r="AG13" i="8"/>
  <c r="Q28" i="8"/>
  <c r="Q16" i="8"/>
  <c r="Y26" i="8"/>
  <c r="Y14" i="8"/>
  <c r="AG24" i="8"/>
  <c r="AG12" i="8"/>
  <c r="Q27" i="8"/>
  <c r="Q15" i="8"/>
  <c r="Y25" i="8"/>
  <c r="Y13" i="8"/>
  <c r="AG23" i="8"/>
  <c r="AG11" i="8"/>
  <c r="Y16" i="8"/>
  <c r="Q26" i="8"/>
  <c r="Q14" i="8"/>
  <c r="Y24" i="8"/>
  <c r="Y12" i="8"/>
  <c r="Q25" i="8"/>
  <c r="Q13" i="8"/>
  <c r="Y23" i="8"/>
  <c r="Y11" i="8"/>
  <c r="AG21" i="8"/>
  <c r="AD50" i="13"/>
  <c r="U19" i="8" l="1"/>
  <c r="U18" i="9" s="1"/>
  <c r="U31" i="8"/>
  <c r="U30" i="9" s="1"/>
  <c r="U12" i="8"/>
  <c r="U11" i="9" s="1"/>
  <c r="U24" i="8"/>
  <c r="U23" i="9" s="1"/>
  <c r="U17" i="8"/>
  <c r="U16" i="9" s="1"/>
  <c r="U29" i="8"/>
  <c r="U28" i="9" s="1"/>
  <c r="U10" i="8"/>
  <c r="U9" i="9" s="1"/>
  <c r="U22" i="8"/>
  <c r="U21" i="9" s="1"/>
  <c r="U16" i="8"/>
  <c r="U15" i="9" s="1"/>
  <c r="U28" i="8"/>
  <c r="U27" i="9" s="1"/>
  <c r="U15" i="8"/>
  <c r="U14" i="9" s="1"/>
  <c r="U27" i="8"/>
  <c r="U26" i="9" s="1"/>
  <c r="U20" i="8"/>
  <c r="U19" i="9" s="1"/>
  <c r="U13" i="8"/>
  <c r="U12" i="9" s="1"/>
  <c r="U25" i="8"/>
  <c r="U24" i="9" s="1"/>
  <c r="U18" i="8"/>
  <c r="U17" i="9" s="1"/>
  <c r="U30" i="8"/>
  <c r="U29" i="9" s="1"/>
  <c r="U11" i="8"/>
  <c r="U10" i="9" s="1"/>
  <c r="U23" i="8"/>
  <c r="U22" i="9" s="1"/>
  <c r="U14" i="8"/>
  <c r="U13" i="9" s="1"/>
  <c r="U26" i="8"/>
  <c r="U25" i="9" s="1"/>
  <c r="U21" i="8"/>
  <c r="U20" i="9" s="1"/>
  <c r="AH20" i="8"/>
  <c r="AH19" i="9" s="1"/>
  <c r="AH10" i="8"/>
  <c r="AH9" i="9" s="1"/>
  <c r="AH21" i="8"/>
  <c r="AH20" i="9" s="1"/>
  <c r="AH22" i="8"/>
  <c r="AH21" i="9" s="1"/>
  <c r="AH11" i="8"/>
  <c r="AH10" i="9" s="1"/>
  <c r="AH23" i="8"/>
  <c r="AH22" i="9" s="1"/>
  <c r="AH12" i="8"/>
  <c r="AH11" i="9" s="1"/>
  <c r="AH24" i="8"/>
  <c r="AH23" i="9" s="1"/>
  <c r="AH13" i="8"/>
  <c r="AH12" i="9" s="1"/>
  <c r="AH25" i="8"/>
  <c r="AH24" i="9" s="1"/>
  <c r="AH14" i="8"/>
  <c r="AH13" i="9" s="1"/>
  <c r="AH26" i="8"/>
  <c r="AH25" i="9" s="1"/>
  <c r="AH15" i="8"/>
  <c r="AH14" i="9" s="1"/>
  <c r="AH27" i="8"/>
  <c r="AH26" i="9" s="1"/>
  <c r="AH16" i="8"/>
  <c r="AH15" i="9" s="1"/>
  <c r="AH28" i="8"/>
  <c r="AH27" i="9" s="1"/>
  <c r="AH17" i="8"/>
  <c r="AH16" i="9" s="1"/>
  <c r="AH29" i="8"/>
  <c r="AH28" i="9" s="1"/>
  <c r="AH30" i="8"/>
  <c r="AH29" i="9" s="1"/>
  <c r="AH31" i="8"/>
  <c r="AH30" i="9" s="1"/>
  <c r="AH19" i="8"/>
  <c r="AH18" i="9" s="1"/>
  <c r="AH18" i="8"/>
  <c r="AH17" i="9" s="1"/>
  <c r="R20" i="8"/>
  <c r="R19" i="9" s="1"/>
  <c r="R10" i="8"/>
  <c r="R9" i="9" s="1"/>
  <c r="R21" i="8"/>
  <c r="R20" i="9" s="1"/>
  <c r="R22" i="8"/>
  <c r="R21" i="9" s="1"/>
  <c r="R11" i="8"/>
  <c r="R10" i="9" s="1"/>
  <c r="R23" i="8"/>
  <c r="R22" i="9" s="1"/>
  <c r="R17" i="8"/>
  <c r="R16" i="9" s="1"/>
  <c r="R29" i="8"/>
  <c r="R28" i="9" s="1"/>
  <c r="R12" i="8"/>
  <c r="R11" i="9" s="1"/>
  <c r="R24" i="8"/>
  <c r="R23" i="9" s="1"/>
  <c r="R13" i="8"/>
  <c r="R12" i="9" s="1"/>
  <c r="R25" i="8"/>
  <c r="R24" i="9" s="1"/>
  <c r="R14" i="8"/>
  <c r="R13" i="9" s="1"/>
  <c r="R26" i="8"/>
  <c r="R25" i="9" s="1"/>
  <c r="R15" i="8"/>
  <c r="R14" i="9" s="1"/>
  <c r="R27" i="8"/>
  <c r="R26" i="9" s="1"/>
  <c r="R16" i="8"/>
  <c r="R15" i="9" s="1"/>
  <c r="R28" i="8"/>
  <c r="R27" i="9" s="1"/>
  <c r="R19" i="8"/>
  <c r="R18" i="9" s="1"/>
  <c r="R31" i="8"/>
  <c r="R30" i="9" s="1"/>
  <c r="R18" i="8"/>
  <c r="R17" i="9" s="1"/>
  <c r="R30" i="8"/>
  <c r="R29" i="9" s="1"/>
  <c r="T12" i="8"/>
  <c r="T11" i="9" s="1"/>
  <c r="T24" i="8"/>
  <c r="T23" i="9" s="1"/>
  <c r="T17" i="8"/>
  <c r="T16" i="9" s="1"/>
  <c r="T29" i="8"/>
  <c r="T28" i="9" s="1"/>
  <c r="T10" i="8"/>
  <c r="T9" i="9" s="1"/>
  <c r="T22" i="8"/>
  <c r="T21" i="9" s="1"/>
  <c r="T15" i="8"/>
  <c r="T14" i="9" s="1"/>
  <c r="T27" i="8"/>
  <c r="T26" i="9" s="1"/>
  <c r="T21" i="8"/>
  <c r="T20" i="9" s="1"/>
  <c r="T20" i="8"/>
  <c r="T19" i="9" s="1"/>
  <c r="T13" i="8"/>
  <c r="T12" i="9" s="1"/>
  <c r="T25" i="8"/>
  <c r="T24" i="9" s="1"/>
  <c r="T18" i="8"/>
  <c r="T17" i="9" s="1"/>
  <c r="T30" i="8"/>
  <c r="T29" i="9" s="1"/>
  <c r="T11" i="8"/>
  <c r="T10" i="9" s="1"/>
  <c r="T23" i="8"/>
  <c r="T22" i="9" s="1"/>
  <c r="T16" i="8"/>
  <c r="T15" i="9" s="1"/>
  <c r="T28" i="8"/>
  <c r="T27" i="9" s="1"/>
  <c r="T26" i="8"/>
  <c r="T25" i="9" s="1"/>
  <c r="T14" i="8"/>
  <c r="T13" i="9" s="1"/>
  <c r="T31" i="8"/>
  <c r="T30" i="9" s="1"/>
  <c r="T19" i="8"/>
  <c r="T18" i="9" s="1"/>
  <c r="S17" i="8"/>
  <c r="S16" i="9" s="1"/>
  <c r="S29" i="8"/>
  <c r="S28" i="9" s="1"/>
  <c r="S10" i="8"/>
  <c r="S9" i="9" s="1"/>
  <c r="S22" i="8"/>
  <c r="S21" i="9" s="1"/>
  <c r="S15" i="8"/>
  <c r="S14" i="9" s="1"/>
  <c r="S27" i="8"/>
  <c r="S26" i="9" s="1"/>
  <c r="S20" i="8"/>
  <c r="S19" i="9" s="1"/>
  <c r="S13" i="8"/>
  <c r="S12" i="9" s="1"/>
  <c r="S25" i="8"/>
  <c r="S24" i="9" s="1"/>
  <c r="S18" i="8"/>
  <c r="S17" i="9" s="1"/>
  <c r="S30" i="8"/>
  <c r="S29" i="9" s="1"/>
  <c r="S11" i="8"/>
  <c r="S10" i="9" s="1"/>
  <c r="S23" i="8"/>
  <c r="S22" i="9" s="1"/>
  <c r="S16" i="8"/>
  <c r="S15" i="9" s="1"/>
  <c r="S28" i="8"/>
  <c r="S27" i="9" s="1"/>
  <c r="S21" i="8"/>
  <c r="S20" i="9" s="1"/>
  <c r="S26" i="8"/>
  <c r="S25" i="9" s="1"/>
  <c r="S24" i="8"/>
  <c r="S23" i="9" s="1"/>
  <c r="S12" i="8"/>
  <c r="S11" i="9" s="1"/>
  <c r="S19" i="8"/>
  <c r="S18" i="9" s="1"/>
  <c r="S14" i="8"/>
  <c r="S13" i="9" s="1"/>
  <c r="S31" i="8"/>
  <c r="S30" i="9" s="1"/>
  <c r="W21" i="8"/>
  <c r="W20" i="9" s="1"/>
  <c r="W14" i="8"/>
  <c r="W13" i="9" s="1"/>
  <c r="W26" i="8"/>
  <c r="W25" i="9" s="1"/>
  <c r="W19" i="8"/>
  <c r="W18" i="9" s="1"/>
  <c r="W31" i="8"/>
  <c r="W30" i="9" s="1"/>
  <c r="W24" i="8"/>
  <c r="W23" i="9" s="1"/>
  <c r="W12" i="8"/>
  <c r="W11" i="9" s="1"/>
  <c r="W18" i="8"/>
  <c r="W17" i="9" s="1"/>
  <c r="W30" i="8"/>
  <c r="W29" i="9" s="1"/>
  <c r="W17" i="8"/>
  <c r="W16" i="9" s="1"/>
  <c r="W29" i="8"/>
  <c r="W28" i="9" s="1"/>
  <c r="W10" i="8"/>
  <c r="W9" i="9" s="1"/>
  <c r="W22" i="8"/>
  <c r="W21" i="9" s="1"/>
  <c r="W15" i="8"/>
  <c r="W14" i="9" s="1"/>
  <c r="W27" i="8"/>
  <c r="W26" i="9" s="1"/>
  <c r="W20" i="8"/>
  <c r="W19" i="9" s="1"/>
  <c r="W13" i="8"/>
  <c r="W12" i="9" s="1"/>
  <c r="W25" i="8"/>
  <c r="W24" i="9" s="1"/>
  <c r="W23" i="8"/>
  <c r="W22" i="9" s="1"/>
  <c r="W11" i="8"/>
  <c r="W10" i="9" s="1"/>
  <c r="W28" i="8"/>
  <c r="W27" i="9" s="1"/>
  <c r="W16" i="8"/>
  <c r="W15" i="9" s="1"/>
  <c r="AE12" i="8"/>
  <c r="AE11" i="9" s="1"/>
  <c r="AE14" i="8"/>
  <c r="AE13" i="9" s="1"/>
  <c r="AE16" i="8"/>
  <c r="AE15" i="9" s="1"/>
  <c r="AE18" i="8"/>
  <c r="AE17" i="9" s="1"/>
  <c r="AE20" i="8"/>
  <c r="AE19" i="9" s="1"/>
  <c r="AE22" i="8"/>
  <c r="AE21" i="9" s="1"/>
  <c r="AE24" i="8"/>
  <c r="AE23" i="9" s="1"/>
  <c r="AE26" i="8"/>
  <c r="AE25" i="9" s="1"/>
  <c r="AE28" i="8"/>
  <c r="AE27" i="9" s="1"/>
  <c r="AE30" i="8"/>
  <c r="AE29" i="9" s="1"/>
  <c r="AE11" i="8"/>
  <c r="AE10" i="9" s="1"/>
  <c r="AE13" i="8"/>
  <c r="AE12" i="9" s="1"/>
  <c r="AE15" i="8"/>
  <c r="AE14" i="9" s="1"/>
  <c r="AE17" i="8"/>
  <c r="AE16" i="9" s="1"/>
  <c r="AE19" i="8"/>
  <c r="AE18" i="9" s="1"/>
  <c r="AE21" i="8"/>
  <c r="AE20" i="9" s="1"/>
  <c r="AE23" i="8"/>
  <c r="AE22" i="9" s="1"/>
  <c r="AE25" i="8"/>
  <c r="AE24" i="9" s="1"/>
  <c r="AE27" i="8"/>
  <c r="AE26" i="9" s="1"/>
  <c r="AE29" i="8"/>
  <c r="AE28" i="9" s="1"/>
  <c r="AE31" i="8"/>
  <c r="AE30" i="9" s="1"/>
  <c r="AE10" i="8"/>
  <c r="AE9" i="9" s="1"/>
  <c r="AB19" i="8"/>
  <c r="AB18" i="9" s="1"/>
  <c r="AB11" i="8"/>
  <c r="AB10" i="9" s="1"/>
  <c r="AB13" i="8"/>
  <c r="AB12" i="9" s="1"/>
  <c r="AB15" i="8"/>
  <c r="AB14" i="9" s="1"/>
  <c r="AB17" i="8"/>
  <c r="AB16" i="9" s="1"/>
  <c r="AB21" i="8"/>
  <c r="AB20" i="9" s="1"/>
  <c r="AB23" i="8"/>
  <c r="AB22" i="9" s="1"/>
  <c r="AB25" i="8"/>
  <c r="AB24" i="9" s="1"/>
  <c r="AB27" i="8"/>
  <c r="AB26" i="9" s="1"/>
  <c r="AB29" i="8"/>
  <c r="AB28" i="9" s="1"/>
  <c r="AB31" i="8"/>
  <c r="AB30" i="9" s="1"/>
  <c r="AB10" i="8"/>
  <c r="AB9" i="9" s="1"/>
  <c r="AB12" i="8"/>
  <c r="AB11" i="9" s="1"/>
  <c r="AB14" i="8"/>
  <c r="AB13" i="9" s="1"/>
  <c r="AB16" i="8"/>
  <c r="AB15" i="9" s="1"/>
  <c r="AB18" i="8"/>
  <c r="AB17" i="9" s="1"/>
  <c r="AB20" i="8"/>
  <c r="AB19" i="9" s="1"/>
  <c r="AB22" i="8"/>
  <c r="AB21" i="9" s="1"/>
  <c r="AB24" i="8"/>
  <c r="AB23" i="9" s="1"/>
  <c r="AB26" i="8"/>
  <c r="AB25" i="9" s="1"/>
  <c r="AB28" i="8"/>
  <c r="AB27" i="9" s="1"/>
  <c r="AB30" i="8"/>
  <c r="AB29" i="9" s="1"/>
  <c r="K11" i="8"/>
  <c r="K10" i="9" s="1"/>
  <c r="K13" i="8"/>
  <c r="K12" i="9" s="1"/>
  <c r="K15" i="8"/>
  <c r="K14" i="9" s="1"/>
  <c r="K17" i="8"/>
  <c r="K16" i="9" s="1"/>
  <c r="K19" i="8"/>
  <c r="K18" i="9" s="1"/>
  <c r="K21" i="8"/>
  <c r="K20" i="9" s="1"/>
  <c r="K23" i="8"/>
  <c r="K22" i="9" s="1"/>
  <c r="K25" i="8"/>
  <c r="K24" i="9" s="1"/>
  <c r="K27" i="8"/>
  <c r="K26" i="9" s="1"/>
  <c r="K29" i="8"/>
  <c r="K28" i="9" s="1"/>
  <c r="K31" i="8"/>
  <c r="K30" i="9" s="1"/>
  <c r="K10" i="8"/>
  <c r="K9" i="9" s="1"/>
  <c r="K12" i="8"/>
  <c r="K11" i="9" s="1"/>
  <c r="K14" i="8"/>
  <c r="K13" i="9" s="1"/>
  <c r="K16" i="8"/>
  <c r="K15" i="9" s="1"/>
  <c r="K18" i="8"/>
  <c r="K17" i="9" s="1"/>
  <c r="K20" i="8"/>
  <c r="K19" i="9" s="1"/>
  <c r="K22" i="8"/>
  <c r="K21" i="9" s="1"/>
  <c r="K24" i="8"/>
  <c r="K23" i="9" s="1"/>
  <c r="K26" i="8"/>
  <c r="K25" i="9" s="1"/>
  <c r="K28" i="8"/>
  <c r="K27" i="9" s="1"/>
  <c r="K30" i="8"/>
  <c r="K29" i="9" s="1"/>
  <c r="AD11" i="8"/>
  <c r="AD10" i="9" s="1"/>
  <c r="AD13" i="8"/>
  <c r="AD12" i="9" s="1"/>
  <c r="AD15" i="8"/>
  <c r="AD14" i="9" s="1"/>
  <c r="AD17" i="8"/>
  <c r="AD16" i="9" s="1"/>
  <c r="AD19" i="8"/>
  <c r="AD18" i="9" s="1"/>
  <c r="AD21" i="8"/>
  <c r="AD20" i="9" s="1"/>
  <c r="AD23" i="8"/>
  <c r="AD22" i="9" s="1"/>
  <c r="AD25" i="8"/>
  <c r="AD24" i="9" s="1"/>
  <c r="AD27" i="8"/>
  <c r="AD26" i="9" s="1"/>
  <c r="AD29" i="8"/>
  <c r="AD28" i="9" s="1"/>
  <c r="AD31" i="8"/>
  <c r="AD30" i="9" s="1"/>
  <c r="AD20" i="8"/>
  <c r="AD19" i="9" s="1"/>
  <c r="AD22" i="8"/>
  <c r="AD21" i="9" s="1"/>
  <c r="AD12" i="8"/>
  <c r="AD11" i="9" s="1"/>
  <c r="AD24" i="8"/>
  <c r="AD23" i="9" s="1"/>
  <c r="AD16" i="8"/>
  <c r="AD15" i="9" s="1"/>
  <c r="AD10" i="8"/>
  <c r="AD9" i="9" s="1"/>
  <c r="AD28" i="8"/>
  <c r="AD27" i="9" s="1"/>
  <c r="AD18" i="8"/>
  <c r="AD17" i="9" s="1"/>
  <c r="AD14" i="8"/>
  <c r="AD13" i="9" s="1"/>
  <c r="AD26" i="8"/>
  <c r="AD25" i="9" s="1"/>
  <c r="AD30" i="8"/>
  <c r="AD29" i="9" s="1"/>
  <c r="V14" i="8"/>
  <c r="V13" i="9" s="1"/>
  <c r="V26" i="8"/>
  <c r="V25" i="9" s="1"/>
  <c r="V19" i="8"/>
  <c r="V18" i="9" s="1"/>
  <c r="V31" i="8"/>
  <c r="V30" i="9" s="1"/>
  <c r="V12" i="8"/>
  <c r="V11" i="9" s="1"/>
  <c r="V24" i="8"/>
  <c r="V23" i="9" s="1"/>
  <c r="V29" i="8"/>
  <c r="V28" i="9" s="1"/>
  <c r="V17" i="8"/>
  <c r="V16" i="9" s="1"/>
  <c r="V11" i="8"/>
  <c r="V10" i="9" s="1"/>
  <c r="V23" i="8"/>
  <c r="V22" i="9" s="1"/>
  <c r="V10" i="8"/>
  <c r="V9" i="9" s="1"/>
  <c r="V22" i="8"/>
  <c r="V21" i="9" s="1"/>
  <c r="V15" i="8"/>
  <c r="V14" i="9" s="1"/>
  <c r="V27" i="8"/>
  <c r="V26" i="9" s="1"/>
  <c r="V20" i="8"/>
  <c r="V19" i="9" s="1"/>
  <c r="V13" i="8"/>
  <c r="V12" i="9" s="1"/>
  <c r="V25" i="8"/>
  <c r="V24" i="9" s="1"/>
  <c r="V18" i="8"/>
  <c r="V17" i="9" s="1"/>
  <c r="V30" i="8"/>
  <c r="V29" i="9" s="1"/>
  <c r="V28" i="8"/>
  <c r="V27" i="9" s="1"/>
  <c r="V21" i="8"/>
  <c r="V20" i="9" s="1"/>
  <c r="V16" i="8"/>
  <c r="V15" i="9" s="1"/>
  <c r="N11" i="8"/>
  <c r="N10" i="9" s="1"/>
  <c r="N13" i="8"/>
  <c r="N12" i="9" s="1"/>
  <c r="N15" i="8"/>
  <c r="N14" i="9" s="1"/>
  <c r="N17" i="8"/>
  <c r="N16" i="9" s="1"/>
  <c r="N19" i="8"/>
  <c r="N18" i="9" s="1"/>
  <c r="N21" i="8"/>
  <c r="N20" i="9" s="1"/>
  <c r="N23" i="8"/>
  <c r="N22" i="9" s="1"/>
  <c r="N25" i="8"/>
  <c r="N24" i="9" s="1"/>
  <c r="N27" i="8"/>
  <c r="N26" i="9" s="1"/>
  <c r="N29" i="8"/>
  <c r="N28" i="9" s="1"/>
  <c r="N31" i="8"/>
  <c r="N30" i="9" s="1"/>
  <c r="N12" i="8"/>
  <c r="N11" i="9" s="1"/>
  <c r="N24" i="8"/>
  <c r="N23" i="9" s="1"/>
  <c r="N18" i="8"/>
  <c r="N17" i="9" s="1"/>
  <c r="N10" i="8"/>
  <c r="N9" i="9" s="1"/>
  <c r="N20" i="8"/>
  <c r="N19" i="9" s="1"/>
  <c r="N16" i="8"/>
  <c r="N15" i="9" s="1"/>
  <c r="N28" i="8"/>
  <c r="N27" i="9" s="1"/>
  <c r="N14" i="8"/>
  <c r="N13" i="9" s="1"/>
  <c r="N26" i="8"/>
  <c r="N25" i="9" s="1"/>
  <c r="N30" i="8"/>
  <c r="N29" i="9" s="1"/>
  <c r="N22" i="8"/>
  <c r="N21" i="9" s="1"/>
  <c r="AM21" i="8"/>
  <c r="AM20" i="9" s="1"/>
  <c r="AM14" i="8"/>
  <c r="AM13" i="9" s="1"/>
  <c r="AM26" i="8"/>
  <c r="AM25" i="9" s="1"/>
  <c r="AM19" i="8"/>
  <c r="AM18" i="9" s="1"/>
  <c r="AM31" i="8"/>
  <c r="AM30" i="9" s="1"/>
  <c r="AM12" i="8"/>
  <c r="AM11" i="9" s="1"/>
  <c r="AM24" i="8"/>
  <c r="AM23" i="9" s="1"/>
  <c r="AM17" i="8"/>
  <c r="AM16" i="9" s="1"/>
  <c r="AM29" i="8"/>
  <c r="AM28" i="9" s="1"/>
  <c r="AM10" i="8"/>
  <c r="AM9" i="9" s="1"/>
  <c r="AM22" i="8"/>
  <c r="AM21" i="9" s="1"/>
  <c r="AM15" i="8"/>
  <c r="AM14" i="9" s="1"/>
  <c r="AM27" i="8"/>
  <c r="AM26" i="9" s="1"/>
  <c r="AM13" i="8"/>
  <c r="AM12" i="9" s="1"/>
  <c r="AM25" i="8"/>
  <c r="AM24" i="9" s="1"/>
  <c r="AM18" i="8"/>
  <c r="AM17" i="9" s="1"/>
  <c r="AM30" i="8"/>
  <c r="AM29" i="9" s="1"/>
  <c r="AM16" i="8"/>
  <c r="AM15" i="9" s="1"/>
  <c r="AM20" i="8"/>
  <c r="AM19" i="9" s="1"/>
  <c r="AM28" i="8"/>
  <c r="AM27" i="9" s="1"/>
  <c r="AM11" i="8"/>
  <c r="AM10" i="9" s="1"/>
  <c r="AM23" i="8"/>
  <c r="AM22" i="9" s="1"/>
  <c r="AL14" i="8"/>
  <c r="AL13" i="9" s="1"/>
  <c r="AL26" i="8"/>
  <c r="AL25" i="9" s="1"/>
  <c r="AL19" i="8"/>
  <c r="AL18" i="9" s="1"/>
  <c r="AL31" i="8"/>
  <c r="AL30" i="9" s="1"/>
  <c r="AL12" i="8"/>
  <c r="AL11" i="9" s="1"/>
  <c r="AL24" i="8"/>
  <c r="AL23" i="9" s="1"/>
  <c r="AL17" i="8"/>
  <c r="AL16" i="9" s="1"/>
  <c r="AL29" i="8"/>
  <c r="AL28" i="9" s="1"/>
  <c r="AL10" i="8"/>
  <c r="AL9" i="9" s="1"/>
  <c r="AL22" i="8"/>
  <c r="AL21" i="9" s="1"/>
  <c r="AL15" i="8"/>
  <c r="AL14" i="9" s="1"/>
  <c r="AL27" i="8"/>
  <c r="AL26" i="9" s="1"/>
  <c r="AL20" i="8"/>
  <c r="AL19" i="9" s="1"/>
  <c r="AL13" i="8"/>
  <c r="AL12" i="9" s="1"/>
  <c r="AL25" i="8"/>
  <c r="AL24" i="9" s="1"/>
  <c r="AL18" i="8"/>
  <c r="AL17" i="9" s="1"/>
  <c r="AL30" i="8"/>
  <c r="AL29" i="9" s="1"/>
  <c r="AL11" i="8"/>
  <c r="AL10" i="9" s="1"/>
  <c r="AL23" i="8"/>
  <c r="AL22" i="9" s="1"/>
  <c r="AL21" i="8"/>
  <c r="AL20" i="9" s="1"/>
  <c r="AL16" i="8"/>
  <c r="AL15" i="9" s="1"/>
  <c r="AL28" i="8"/>
  <c r="AL27" i="9" s="1"/>
  <c r="J10" i="8"/>
  <c r="J9" i="9" s="1"/>
  <c r="J11" i="8"/>
  <c r="J10" i="9" s="1"/>
  <c r="J13" i="8"/>
  <c r="J12" i="9" s="1"/>
  <c r="J15" i="8"/>
  <c r="J14" i="9" s="1"/>
  <c r="J17" i="8"/>
  <c r="J16" i="9" s="1"/>
  <c r="J19" i="8"/>
  <c r="J18" i="9" s="1"/>
  <c r="J21" i="8"/>
  <c r="J20" i="9" s="1"/>
  <c r="J23" i="8"/>
  <c r="J22" i="9" s="1"/>
  <c r="J25" i="8"/>
  <c r="J24" i="9" s="1"/>
  <c r="J27" i="8"/>
  <c r="J26" i="9" s="1"/>
  <c r="J29" i="8"/>
  <c r="J28" i="9" s="1"/>
  <c r="J31" i="8"/>
  <c r="J30" i="9" s="1"/>
  <c r="J12" i="8"/>
  <c r="J11" i="9" s="1"/>
  <c r="J14" i="8"/>
  <c r="J13" i="9" s="1"/>
  <c r="J16" i="8"/>
  <c r="J15" i="9" s="1"/>
  <c r="J18" i="8"/>
  <c r="J17" i="9" s="1"/>
  <c r="J20" i="8"/>
  <c r="J19" i="9" s="1"/>
  <c r="J22" i="8"/>
  <c r="J21" i="9" s="1"/>
  <c r="J24" i="8"/>
  <c r="J23" i="9" s="1"/>
  <c r="J26" i="8"/>
  <c r="J25" i="9" s="1"/>
  <c r="J28" i="8"/>
  <c r="J27" i="9" s="1"/>
  <c r="J30" i="8"/>
  <c r="J29" i="9" s="1"/>
  <c r="AC11" i="8"/>
  <c r="AC10" i="9" s="1"/>
  <c r="AC13" i="8"/>
  <c r="AC12" i="9" s="1"/>
  <c r="AC15" i="8"/>
  <c r="AC14" i="9" s="1"/>
  <c r="AC17" i="8"/>
  <c r="AC16" i="9" s="1"/>
  <c r="AC19" i="8"/>
  <c r="AC18" i="9" s="1"/>
  <c r="AC21" i="8"/>
  <c r="AC20" i="9" s="1"/>
  <c r="AC23" i="8"/>
  <c r="AC22" i="9" s="1"/>
  <c r="AC25" i="8"/>
  <c r="AC24" i="9" s="1"/>
  <c r="AC27" i="8"/>
  <c r="AC26" i="9" s="1"/>
  <c r="AC29" i="8"/>
  <c r="AC28" i="9" s="1"/>
  <c r="AC31" i="8"/>
  <c r="AC30" i="9" s="1"/>
  <c r="AC10" i="8"/>
  <c r="AC9" i="9" s="1"/>
  <c r="AC22" i="8"/>
  <c r="AC21" i="9" s="1"/>
  <c r="AC12" i="8"/>
  <c r="AC11" i="9" s="1"/>
  <c r="AC28" i="8"/>
  <c r="AC27" i="9" s="1"/>
  <c r="AC20" i="8"/>
  <c r="AC19" i="9" s="1"/>
  <c r="AC14" i="8"/>
  <c r="AC13" i="9" s="1"/>
  <c r="AC26" i="8"/>
  <c r="AC25" i="9" s="1"/>
  <c r="AC18" i="8"/>
  <c r="AC17" i="9" s="1"/>
  <c r="AC30" i="8"/>
  <c r="AC29" i="9" s="1"/>
  <c r="AC24" i="8"/>
  <c r="AC23" i="9" s="1"/>
  <c r="AC16" i="8"/>
  <c r="AC15" i="9" s="1"/>
  <c r="AI17" i="8"/>
  <c r="AI16" i="9" s="1"/>
  <c r="AI29" i="8"/>
  <c r="AI28" i="9" s="1"/>
  <c r="AI10" i="8"/>
  <c r="AI9" i="9" s="1"/>
  <c r="AI22" i="8"/>
  <c r="AI21" i="9" s="1"/>
  <c r="AI15" i="8"/>
  <c r="AI14" i="9" s="1"/>
  <c r="AI27" i="8"/>
  <c r="AI26" i="9" s="1"/>
  <c r="AI20" i="8"/>
  <c r="AI19" i="9" s="1"/>
  <c r="AI13" i="8"/>
  <c r="AI12" i="9" s="1"/>
  <c r="AI25" i="8"/>
  <c r="AI24" i="9" s="1"/>
  <c r="AI18" i="8"/>
  <c r="AI17" i="9" s="1"/>
  <c r="AI30" i="8"/>
  <c r="AI29" i="9" s="1"/>
  <c r="AI11" i="8"/>
  <c r="AI10" i="9" s="1"/>
  <c r="AI23" i="8"/>
  <c r="AI22" i="9" s="1"/>
  <c r="AI16" i="8"/>
  <c r="AI15" i="9" s="1"/>
  <c r="AI28" i="8"/>
  <c r="AI27" i="9" s="1"/>
  <c r="AI21" i="8"/>
  <c r="AI20" i="9" s="1"/>
  <c r="AI14" i="8"/>
  <c r="AI13" i="9" s="1"/>
  <c r="AI26" i="8"/>
  <c r="AI25" i="9" s="1"/>
  <c r="AI12" i="8"/>
  <c r="AI11" i="9" s="1"/>
  <c r="AI24" i="8"/>
  <c r="AI23" i="9" s="1"/>
  <c r="AI19" i="8"/>
  <c r="AI18" i="9" s="1"/>
  <c r="AI31" i="8"/>
  <c r="AI30" i="9" s="1"/>
  <c r="AA11" i="8"/>
  <c r="AA10" i="9" s="1"/>
  <c r="AA13" i="8"/>
  <c r="AA12" i="9" s="1"/>
  <c r="AA15" i="8"/>
  <c r="AA14" i="9" s="1"/>
  <c r="AA17" i="8"/>
  <c r="AA16" i="9" s="1"/>
  <c r="AA19" i="8"/>
  <c r="AA18" i="9" s="1"/>
  <c r="AA21" i="8"/>
  <c r="AA20" i="9" s="1"/>
  <c r="AA23" i="8"/>
  <c r="AA22" i="9" s="1"/>
  <c r="AA25" i="8"/>
  <c r="AA24" i="9" s="1"/>
  <c r="AA27" i="8"/>
  <c r="AA26" i="9" s="1"/>
  <c r="AA29" i="8"/>
  <c r="AA28" i="9" s="1"/>
  <c r="AA31" i="8"/>
  <c r="AA30" i="9" s="1"/>
  <c r="AA10" i="8"/>
  <c r="AA9" i="9" s="1"/>
  <c r="AA12" i="8"/>
  <c r="AA11" i="9" s="1"/>
  <c r="AA16" i="8"/>
  <c r="AA15" i="9" s="1"/>
  <c r="AA18" i="8"/>
  <c r="AA17" i="9" s="1"/>
  <c r="AA20" i="8"/>
  <c r="AA19" i="9" s="1"/>
  <c r="AA22" i="8"/>
  <c r="AA21" i="9" s="1"/>
  <c r="AA24" i="8"/>
  <c r="AA23" i="9" s="1"/>
  <c r="AA26" i="8"/>
  <c r="AA25" i="9" s="1"/>
  <c r="AA28" i="8"/>
  <c r="AA27" i="9" s="1"/>
  <c r="AA30" i="8"/>
  <c r="AA29" i="9" s="1"/>
  <c r="AA14" i="8"/>
  <c r="AA13" i="9" s="1"/>
  <c r="Z10" i="8"/>
  <c r="Z9" i="9" s="1"/>
  <c r="Z11" i="8"/>
  <c r="Z10" i="9" s="1"/>
  <c r="Z13" i="8"/>
  <c r="Z12" i="9" s="1"/>
  <c r="Z15" i="8"/>
  <c r="Z14" i="9" s="1"/>
  <c r="Z17" i="8"/>
  <c r="Z16" i="9" s="1"/>
  <c r="Z19" i="8"/>
  <c r="Z18" i="9" s="1"/>
  <c r="Z21" i="8"/>
  <c r="Z20" i="9" s="1"/>
  <c r="Z23" i="8"/>
  <c r="Z22" i="9" s="1"/>
  <c r="Z25" i="8"/>
  <c r="Z24" i="9" s="1"/>
  <c r="Z27" i="8"/>
  <c r="Z26" i="9" s="1"/>
  <c r="Z29" i="8"/>
  <c r="Z28" i="9" s="1"/>
  <c r="Z31" i="8"/>
  <c r="Z30" i="9" s="1"/>
  <c r="Z12" i="8"/>
  <c r="Z11" i="9" s="1"/>
  <c r="Z14" i="8"/>
  <c r="Z13" i="9" s="1"/>
  <c r="Z16" i="8"/>
  <c r="Z15" i="9" s="1"/>
  <c r="Z18" i="8"/>
  <c r="Z17" i="9" s="1"/>
  <c r="Z20" i="8"/>
  <c r="Z19" i="9" s="1"/>
  <c r="Z22" i="8"/>
  <c r="Z21" i="9" s="1"/>
  <c r="Z24" i="8"/>
  <c r="Z23" i="9" s="1"/>
  <c r="Z26" i="8"/>
  <c r="Z25" i="9" s="1"/>
  <c r="Z28" i="8"/>
  <c r="Z27" i="9" s="1"/>
  <c r="Z30" i="8"/>
  <c r="Z29" i="9" s="1"/>
  <c r="M10" i="8"/>
  <c r="M9" i="9" s="1"/>
  <c r="M11" i="8"/>
  <c r="M10" i="9" s="1"/>
  <c r="M13" i="8"/>
  <c r="M12" i="9" s="1"/>
  <c r="M15" i="8"/>
  <c r="M14" i="9" s="1"/>
  <c r="M17" i="8"/>
  <c r="M16" i="9" s="1"/>
  <c r="M19" i="8"/>
  <c r="M18" i="9" s="1"/>
  <c r="M21" i="8"/>
  <c r="M20" i="9" s="1"/>
  <c r="M23" i="8"/>
  <c r="M22" i="9" s="1"/>
  <c r="M25" i="8"/>
  <c r="M24" i="9" s="1"/>
  <c r="M27" i="8"/>
  <c r="M26" i="9" s="1"/>
  <c r="M29" i="8"/>
  <c r="M28" i="9" s="1"/>
  <c r="M31" i="8"/>
  <c r="M30" i="9" s="1"/>
  <c r="M12" i="8"/>
  <c r="M11" i="9" s="1"/>
  <c r="M24" i="8"/>
  <c r="M23" i="9" s="1"/>
  <c r="M14" i="8"/>
  <c r="M13" i="9" s="1"/>
  <c r="M26" i="8"/>
  <c r="M25" i="9" s="1"/>
  <c r="M16" i="8"/>
  <c r="M15" i="9" s="1"/>
  <c r="M28" i="8"/>
  <c r="M27" i="9" s="1"/>
  <c r="M22" i="8"/>
  <c r="M21" i="9" s="1"/>
  <c r="M20" i="8"/>
  <c r="M19" i="9" s="1"/>
  <c r="M18" i="8"/>
  <c r="M17" i="9" s="1"/>
  <c r="M30" i="8"/>
  <c r="M29" i="9" s="1"/>
  <c r="O12" i="8"/>
  <c r="O11" i="9" s="1"/>
  <c r="O14" i="8"/>
  <c r="O13" i="9" s="1"/>
  <c r="O16" i="8"/>
  <c r="O15" i="9" s="1"/>
  <c r="O18" i="8"/>
  <c r="O17" i="9" s="1"/>
  <c r="O20" i="8"/>
  <c r="O19" i="9" s="1"/>
  <c r="O22" i="8"/>
  <c r="O21" i="9" s="1"/>
  <c r="O24" i="8"/>
  <c r="O23" i="9" s="1"/>
  <c r="O26" i="8"/>
  <c r="O25" i="9" s="1"/>
  <c r="O28" i="8"/>
  <c r="O27" i="9" s="1"/>
  <c r="O30" i="8"/>
  <c r="O29" i="9" s="1"/>
  <c r="O11" i="8"/>
  <c r="O10" i="9" s="1"/>
  <c r="O13" i="8"/>
  <c r="O12" i="9" s="1"/>
  <c r="O15" i="8"/>
  <c r="O14" i="9" s="1"/>
  <c r="O17" i="8"/>
  <c r="O16" i="9" s="1"/>
  <c r="O19" i="8"/>
  <c r="O18" i="9" s="1"/>
  <c r="O21" i="8"/>
  <c r="O20" i="9" s="1"/>
  <c r="O23" i="8"/>
  <c r="O22" i="9" s="1"/>
  <c r="O25" i="8"/>
  <c r="O24" i="9" s="1"/>
  <c r="O27" i="8"/>
  <c r="O26" i="9" s="1"/>
  <c r="O29" i="8"/>
  <c r="O28" i="9" s="1"/>
  <c r="O31" i="8"/>
  <c r="O30" i="9" s="1"/>
  <c r="O10" i="8"/>
  <c r="O9" i="9" s="1"/>
  <c r="AJ12" i="8"/>
  <c r="AJ11" i="9" s="1"/>
  <c r="AJ24" i="8"/>
  <c r="AJ23" i="9" s="1"/>
  <c r="AJ17" i="8"/>
  <c r="AJ16" i="9" s="1"/>
  <c r="AJ29" i="8"/>
  <c r="AJ28" i="9" s="1"/>
  <c r="AJ10" i="8"/>
  <c r="AJ9" i="9" s="1"/>
  <c r="AJ22" i="8"/>
  <c r="AJ21" i="9" s="1"/>
  <c r="AJ15" i="8"/>
  <c r="AJ14" i="9" s="1"/>
  <c r="AJ27" i="8"/>
  <c r="AJ26" i="9" s="1"/>
  <c r="AJ20" i="8"/>
  <c r="AJ19" i="9" s="1"/>
  <c r="AJ13" i="8"/>
  <c r="AJ12" i="9" s="1"/>
  <c r="AJ25" i="8"/>
  <c r="AJ24" i="9" s="1"/>
  <c r="AJ18" i="8"/>
  <c r="AJ17" i="9" s="1"/>
  <c r="AJ30" i="8"/>
  <c r="AJ29" i="9" s="1"/>
  <c r="AJ11" i="8"/>
  <c r="AJ10" i="9" s="1"/>
  <c r="AJ23" i="8"/>
  <c r="AJ22" i="9" s="1"/>
  <c r="AJ16" i="8"/>
  <c r="AJ15" i="9" s="1"/>
  <c r="AJ28" i="8"/>
  <c r="AJ27" i="9" s="1"/>
  <c r="AJ21" i="8"/>
  <c r="AJ20" i="9" s="1"/>
  <c r="AJ19" i="8"/>
  <c r="AJ18" i="9" s="1"/>
  <c r="AJ26" i="8"/>
  <c r="AJ25" i="9" s="1"/>
  <c r="AJ31" i="8"/>
  <c r="AJ30" i="9" s="1"/>
  <c r="AJ14" i="8"/>
  <c r="AJ13" i="9" s="1"/>
  <c r="F31" i="13"/>
  <c r="F32" i="13"/>
  <c r="F33" i="13"/>
  <c r="F34" i="13"/>
  <c r="F35" i="13"/>
  <c r="F30" i="13"/>
  <c r="F39" i="13" s="1"/>
  <c r="B50" i="13" s="1"/>
  <c r="B20" i="8" l="1"/>
  <c r="B19" i="9" s="1"/>
  <c r="B10" i="8"/>
  <c r="B9" i="9" s="1"/>
  <c r="B21" i="8"/>
  <c r="B20" i="9" s="1"/>
  <c r="B22" i="8"/>
  <c r="B21" i="9" s="1"/>
  <c r="B23" i="8"/>
  <c r="B22" i="9" s="1"/>
  <c r="B12" i="8"/>
  <c r="B11" i="9" s="1"/>
  <c r="B24" i="8"/>
  <c r="B23" i="9" s="1"/>
  <c r="B13" i="8"/>
  <c r="B12" i="9" s="1"/>
  <c r="B25" i="8"/>
  <c r="B24" i="9" s="1"/>
  <c r="B14" i="8"/>
  <c r="B13" i="9" s="1"/>
  <c r="B26" i="8"/>
  <c r="B25" i="9" s="1"/>
  <c r="B15" i="8"/>
  <c r="B14" i="9" s="1"/>
  <c r="B27" i="8"/>
  <c r="B26" i="9" s="1"/>
  <c r="B16" i="8"/>
  <c r="B15" i="9" s="1"/>
  <c r="B28" i="8"/>
  <c r="B27" i="9" s="1"/>
  <c r="B31" i="8"/>
  <c r="B30" i="9" s="1"/>
  <c r="B11" i="8"/>
  <c r="B10" i="9" s="1"/>
  <c r="B17" i="8"/>
  <c r="B16" i="9" s="1"/>
  <c r="B19" i="8"/>
  <c r="B18" i="9" s="1"/>
  <c r="B29" i="8"/>
  <c r="B28" i="9" s="1"/>
  <c r="B30" i="8"/>
  <c r="B29" i="9" s="1"/>
  <c r="B18" i="8"/>
  <c r="B17" i="9" s="1"/>
  <c r="F40" i="13"/>
  <c r="C50" i="13" s="1"/>
  <c r="F44" i="13"/>
  <c r="G50" i="13" s="1"/>
  <c r="F41" i="13"/>
  <c r="D50" i="13" s="1"/>
  <c r="F43" i="13"/>
  <c r="F50" i="13" s="1"/>
  <c r="F42" i="13"/>
  <c r="E50" i="13" s="1"/>
  <c r="G21" i="8" l="1"/>
  <c r="G20" i="9" s="1"/>
  <c r="G14" i="8"/>
  <c r="G13" i="9" s="1"/>
  <c r="G26" i="8"/>
  <c r="G25" i="9" s="1"/>
  <c r="G19" i="8"/>
  <c r="G18" i="9" s="1"/>
  <c r="G31" i="8"/>
  <c r="G30" i="9" s="1"/>
  <c r="G12" i="8"/>
  <c r="G11" i="9" s="1"/>
  <c r="G24" i="8"/>
  <c r="G23" i="9" s="1"/>
  <c r="G18" i="8"/>
  <c r="G17" i="9" s="1"/>
  <c r="G17" i="8"/>
  <c r="G16" i="9" s="1"/>
  <c r="G29" i="8"/>
  <c r="G28" i="9" s="1"/>
  <c r="G10" i="8"/>
  <c r="G9" i="9" s="1"/>
  <c r="G22" i="8"/>
  <c r="G21" i="9" s="1"/>
  <c r="G15" i="8"/>
  <c r="G14" i="9" s="1"/>
  <c r="G27" i="8"/>
  <c r="G26" i="9" s="1"/>
  <c r="G20" i="8"/>
  <c r="G19" i="9" s="1"/>
  <c r="G13" i="8"/>
  <c r="G12" i="9" s="1"/>
  <c r="G25" i="8"/>
  <c r="G24" i="9" s="1"/>
  <c r="G28" i="8"/>
  <c r="G27" i="9" s="1"/>
  <c r="G23" i="8"/>
  <c r="G22" i="9" s="1"/>
  <c r="G16" i="8"/>
  <c r="G15" i="9" s="1"/>
  <c r="G11" i="8"/>
  <c r="G10" i="9" s="1"/>
  <c r="G30" i="8"/>
  <c r="G29" i="9" s="1"/>
  <c r="C17" i="8"/>
  <c r="C16" i="9" s="1"/>
  <c r="C29" i="8"/>
  <c r="C28" i="9" s="1"/>
  <c r="C10" i="8"/>
  <c r="C9" i="9" s="1"/>
  <c r="C22" i="8"/>
  <c r="C21" i="9" s="1"/>
  <c r="C15" i="8"/>
  <c r="C14" i="9" s="1"/>
  <c r="C27" i="8"/>
  <c r="C26" i="9" s="1"/>
  <c r="C20" i="8"/>
  <c r="C19" i="9" s="1"/>
  <c r="C14" i="8"/>
  <c r="C13" i="9" s="1"/>
  <c r="C26" i="8"/>
  <c r="C25" i="9" s="1"/>
  <c r="C13" i="8"/>
  <c r="C12" i="9" s="1"/>
  <c r="C25" i="8"/>
  <c r="C24" i="9" s="1"/>
  <c r="C18" i="8"/>
  <c r="C17" i="9" s="1"/>
  <c r="C30" i="8"/>
  <c r="C29" i="9" s="1"/>
  <c r="C11" i="8"/>
  <c r="C10" i="9" s="1"/>
  <c r="C23" i="8"/>
  <c r="C22" i="9" s="1"/>
  <c r="C16" i="8"/>
  <c r="C15" i="9" s="1"/>
  <c r="C28" i="8"/>
  <c r="C27" i="9" s="1"/>
  <c r="C21" i="8"/>
  <c r="C20" i="9" s="1"/>
  <c r="C19" i="8"/>
  <c r="C18" i="9" s="1"/>
  <c r="C31" i="8"/>
  <c r="C30" i="9" s="1"/>
  <c r="C24" i="8"/>
  <c r="C23" i="9" s="1"/>
  <c r="C12" i="8"/>
  <c r="C11" i="9" s="1"/>
  <c r="E19" i="8"/>
  <c r="E18" i="9" s="1"/>
  <c r="E31" i="8"/>
  <c r="E30" i="9" s="1"/>
  <c r="E12" i="8"/>
  <c r="E11" i="9" s="1"/>
  <c r="E24" i="8"/>
  <c r="E23" i="9" s="1"/>
  <c r="E17" i="8"/>
  <c r="E16" i="9" s="1"/>
  <c r="E29" i="8"/>
  <c r="E28" i="9" s="1"/>
  <c r="E10" i="8"/>
  <c r="E9" i="9" s="1"/>
  <c r="E22" i="8"/>
  <c r="E21" i="9" s="1"/>
  <c r="E16" i="8"/>
  <c r="E15" i="9" s="1"/>
  <c r="E15" i="8"/>
  <c r="E14" i="9" s="1"/>
  <c r="E27" i="8"/>
  <c r="E26" i="9" s="1"/>
  <c r="E20" i="8"/>
  <c r="E19" i="9" s="1"/>
  <c r="E13" i="8"/>
  <c r="E12" i="9" s="1"/>
  <c r="E25" i="8"/>
  <c r="E24" i="9" s="1"/>
  <c r="E18" i="8"/>
  <c r="E17" i="9" s="1"/>
  <c r="E30" i="8"/>
  <c r="E29" i="9" s="1"/>
  <c r="E11" i="8"/>
  <c r="E10" i="9" s="1"/>
  <c r="E23" i="8"/>
  <c r="E22" i="9" s="1"/>
  <c r="E28" i="8"/>
  <c r="E27" i="9" s="1"/>
  <c r="E14" i="8"/>
  <c r="E13" i="9" s="1"/>
  <c r="E26" i="8"/>
  <c r="E25" i="9" s="1"/>
  <c r="E21" i="8"/>
  <c r="E20" i="9" s="1"/>
  <c r="F14" i="8"/>
  <c r="F13" i="9" s="1"/>
  <c r="F26" i="8"/>
  <c r="F25" i="9" s="1"/>
  <c r="F19" i="8"/>
  <c r="F18" i="9" s="1"/>
  <c r="F31" i="8"/>
  <c r="F30" i="9" s="1"/>
  <c r="F12" i="8"/>
  <c r="F11" i="9" s="1"/>
  <c r="F24" i="8"/>
  <c r="F23" i="9" s="1"/>
  <c r="F17" i="8"/>
  <c r="F16" i="9" s="1"/>
  <c r="F29" i="8"/>
  <c r="F28" i="9" s="1"/>
  <c r="F11" i="8"/>
  <c r="F10" i="9" s="1"/>
  <c r="F23" i="8"/>
  <c r="F22" i="9" s="1"/>
  <c r="F10" i="8"/>
  <c r="F9" i="9" s="1"/>
  <c r="F22" i="8"/>
  <c r="F21" i="9" s="1"/>
  <c r="F15" i="8"/>
  <c r="F14" i="9" s="1"/>
  <c r="F27" i="8"/>
  <c r="F26" i="9" s="1"/>
  <c r="F20" i="8"/>
  <c r="F19" i="9" s="1"/>
  <c r="F13" i="8"/>
  <c r="F12" i="9" s="1"/>
  <c r="F25" i="8"/>
  <c r="F24" i="9" s="1"/>
  <c r="F18" i="8"/>
  <c r="F17" i="9" s="1"/>
  <c r="F30" i="8"/>
  <c r="F29" i="9" s="1"/>
  <c r="F28" i="8"/>
  <c r="F27" i="9" s="1"/>
  <c r="F16" i="8"/>
  <c r="F15" i="9" s="1"/>
  <c r="F21" i="8"/>
  <c r="F20" i="9" s="1"/>
  <c r="D12" i="8"/>
  <c r="D11" i="9" s="1"/>
  <c r="D24" i="8"/>
  <c r="D23" i="9" s="1"/>
  <c r="D17" i="8"/>
  <c r="D16" i="9" s="1"/>
  <c r="D29" i="8"/>
  <c r="D28" i="9" s="1"/>
  <c r="D10" i="8"/>
  <c r="D9" i="9" s="1"/>
  <c r="D22" i="8"/>
  <c r="D21" i="9" s="1"/>
  <c r="D27" i="8"/>
  <c r="D26" i="9" s="1"/>
  <c r="D15" i="8"/>
  <c r="D14" i="9" s="1"/>
  <c r="D21" i="8"/>
  <c r="D20" i="9" s="1"/>
  <c r="D20" i="8"/>
  <c r="D19" i="9" s="1"/>
  <c r="D13" i="8"/>
  <c r="D12" i="9" s="1"/>
  <c r="D25" i="8"/>
  <c r="D24" i="9" s="1"/>
  <c r="D18" i="8"/>
  <c r="D17" i="9" s="1"/>
  <c r="D30" i="8"/>
  <c r="D29" i="9" s="1"/>
  <c r="D11" i="8"/>
  <c r="D10" i="9" s="1"/>
  <c r="D23" i="8"/>
  <c r="D22" i="9" s="1"/>
  <c r="D16" i="8"/>
  <c r="D15" i="9" s="1"/>
  <c r="D28" i="8"/>
  <c r="D27" i="9" s="1"/>
  <c r="D14" i="8"/>
  <c r="D13" i="9" s="1"/>
  <c r="D26" i="8"/>
  <c r="D25" i="9" s="1"/>
  <c r="D19" i="8"/>
  <c r="D18" i="9" s="1"/>
  <c r="D31" i="8"/>
  <c r="D30" i="9" s="1"/>
  <c r="B11" i="7"/>
  <c r="B11" i="5"/>
  <c r="B12" i="5" s="1"/>
  <c r="B13" i="5" l="1"/>
  <c r="B14" i="5" s="1"/>
  <c r="B12" i="7" l="1"/>
  <c r="I8" i="7"/>
  <c r="H8" i="7"/>
  <c r="G8" i="7"/>
  <c r="F8" i="7"/>
  <c r="E8" i="7"/>
  <c r="D8" i="7"/>
  <c r="I7" i="7"/>
  <c r="H7" i="7"/>
  <c r="G7" i="7"/>
  <c r="F7" i="7"/>
  <c r="E7" i="7"/>
  <c r="D7" i="7"/>
  <c r="I6" i="7"/>
  <c r="H6" i="7"/>
  <c r="G6" i="7"/>
  <c r="F6" i="7"/>
  <c r="E6" i="7"/>
  <c r="D6" i="7"/>
  <c r="I5" i="7"/>
  <c r="H5" i="7"/>
  <c r="G5" i="7"/>
  <c r="F5" i="7"/>
  <c r="E5" i="7"/>
  <c r="D5" i="7"/>
  <c r="I4" i="7"/>
  <c r="H4" i="7"/>
  <c r="G4" i="7"/>
  <c r="F4" i="7"/>
  <c r="E4" i="7"/>
  <c r="D4" i="7"/>
  <c r="I3" i="7"/>
  <c r="H3" i="7"/>
  <c r="G3" i="7"/>
  <c r="F3" i="7"/>
  <c r="E3" i="7"/>
  <c r="D3" i="7"/>
  <c r="B11" i="6"/>
  <c r="B12" i="6" s="1"/>
  <c r="I8" i="6"/>
  <c r="H8" i="6"/>
  <c r="G8" i="6"/>
  <c r="F8" i="6"/>
  <c r="E8" i="6"/>
  <c r="D8" i="6"/>
  <c r="I7" i="6"/>
  <c r="H7" i="6"/>
  <c r="G7" i="6"/>
  <c r="F7" i="6"/>
  <c r="E7" i="6"/>
  <c r="D7" i="6"/>
  <c r="I6" i="6"/>
  <c r="H6" i="6"/>
  <c r="G6" i="6"/>
  <c r="F6" i="6"/>
  <c r="E6" i="6"/>
  <c r="D6" i="6"/>
  <c r="I5" i="6"/>
  <c r="H5" i="6"/>
  <c r="G5" i="6"/>
  <c r="F5" i="6"/>
  <c r="E5" i="6"/>
  <c r="D5" i="6"/>
  <c r="I4" i="6"/>
  <c r="H4" i="6"/>
  <c r="G4" i="6"/>
  <c r="F4" i="6"/>
  <c r="E4" i="6"/>
  <c r="D4" i="6"/>
  <c r="I3" i="6"/>
  <c r="H3" i="6"/>
  <c r="G3" i="6"/>
  <c r="F3" i="6"/>
  <c r="E3" i="6"/>
  <c r="D3" i="6"/>
  <c r="I8" i="5"/>
  <c r="H8" i="5"/>
  <c r="G8" i="5"/>
  <c r="F8" i="5"/>
  <c r="E8" i="5"/>
  <c r="D8" i="5"/>
  <c r="I7" i="5"/>
  <c r="H7" i="5"/>
  <c r="G7" i="5"/>
  <c r="F7" i="5"/>
  <c r="E7" i="5"/>
  <c r="D7" i="5"/>
  <c r="I6" i="5"/>
  <c r="H6" i="5"/>
  <c r="G6" i="5"/>
  <c r="F6" i="5"/>
  <c r="E6" i="5"/>
  <c r="D6" i="5"/>
  <c r="I5" i="5"/>
  <c r="H5" i="5"/>
  <c r="G5" i="5"/>
  <c r="F5" i="5"/>
  <c r="E5" i="5"/>
  <c r="D5" i="5"/>
  <c r="I4" i="5"/>
  <c r="H4" i="5"/>
  <c r="G4" i="5"/>
  <c r="F4" i="5"/>
  <c r="E4" i="5"/>
  <c r="D4" i="5"/>
  <c r="I3" i="5"/>
  <c r="H3" i="5"/>
  <c r="G3" i="5"/>
  <c r="F3" i="5"/>
  <c r="E3" i="5"/>
  <c r="D3" i="5"/>
  <c r="B11" i="4"/>
  <c r="B13" i="4" s="1"/>
  <c r="I8" i="4"/>
  <c r="H8" i="4"/>
  <c r="G8" i="4"/>
  <c r="F8" i="4"/>
  <c r="E8" i="4"/>
  <c r="D8" i="4"/>
  <c r="I7" i="4"/>
  <c r="H7" i="4"/>
  <c r="G7" i="4"/>
  <c r="F7" i="4"/>
  <c r="E7" i="4"/>
  <c r="D7" i="4"/>
  <c r="I6" i="4"/>
  <c r="H6" i="4"/>
  <c r="G6" i="4"/>
  <c r="F6" i="4"/>
  <c r="E6" i="4"/>
  <c r="D6" i="4"/>
  <c r="I5" i="4"/>
  <c r="H5" i="4"/>
  <c r="G5" i="4"/>
  <c r="F5" i="4"/>
  <c r="E5" i="4"/>
  <c r="D5" i="4"/>
  <c r="I4" i="4"/>
  <c r="H4" i="4"/>
  <c r="G4" i="4"/>
  <c r="F4" i="4"/>
  <c r="E4" i="4"/>
  <c r="D4" i="4"/>
  <c r="H3" i="4"/>
  <c r="G3" i="4"/>
  <c r="F3" i="4"/>
  <c r="E3" i="4"/>
  <c r="D3" i="4"/>
  <c r="B13" i="2"/>
  <c r="E4" i="2"/>
  <c r="F4" i="2"/>
  <c r="G4" i="2"/>
  <c r="H4" i="2"/>
  <c r="I4" i="2"/>
  <c r="F5" i="2"/>
  <c r="G5" i="2"/>
  <c r="H5" i="2"/>
  <c r="I5" i="2"/>
  <c r="E6" i="2"/>
  <c r="F6" i="2"/>
  <c r="G6" i="2"/>
  <c r="H6" i="2"/>
  <c r="I6" i="2"/>
  <c r="E7" i="2"/>
  <c r="F7" i="2"/>
  <c r="G7" i="2"/>
  <c r="H7" i="2"/>
  <c r="I7" i="2"/>
  <c r="E8" i="2"/>
  <c r="F8" i="2"/>
  <c r="G8" i="2"/>
  <c r="H8" i="2"/>
  <c r="I8" i="2"/>
  <c r="D8" i="2"/>
  <c r="D7" i="2"/>
  <c r="D6" i="2"/>
  <c r="D5" i="2"/>
  <c r="D4" i="2"/>
  <c r="E3" i="2"/>
  <c r="F3" i="2"/>
  <c r="G3" i="2"/>
  <c r="H3" i="2"/>
  <c r="I3" i="2"/>
  <c r="B8" i="1"/>
  <c r="B10" i="1" s="1"/>
  <c r="B13" i="7" l="1"/>
  <c r="B14" i="7" s="1"/>
  <c r="B13" i="6"/>
  <c r="B14" i="6" s="1"/>
  <c r="B12" i="4"/>
  <c r="B14" i="4" s="1"/>
  <c r="B12" i="2"/>
  <c r="B14" i="2" s="1"/>
  <c r="B9" i="1"/>
  <c r="B1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s>
  <commentList>
    <comment ref="C10" authorId="0" shapeId="0" xr:uid="{736219F5-E523-4E7D-953F-EEB761F1883D}">
      <text>
        <r>
          <rPr>
            <b/>
            <sz val="9"/>
            <color indexed="81"/>
            <rFont val="Tahoma"/>
            <family val="2"/>
          </rPr>
          <t>Please copy and paste the HLOs in the cells below.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tc={CF24C155-A7F0-4E23-87FD-A94815BA7C3A}</author>
    <author>tc={80CEC14F-2C79-413D-9C56-C1F39CF54EF3}</author>
    <author>tc={5961C4DA-07DC-4B1D-8536-FBB4BD274B9B}</author>
    <author>tc={E1EB5195-493F-4DED-9F5B-351C3208467C}</author>
    <author>tc={955976A4-190B-4020-8FB1-9CADBB222544}</author>
    <author>tc={3CF1C583-C581-4897-B25E-D5938D44A667}</author>
    <author>tc={49828739-7354-4E5A-A93E-AF177672F453}</author>
    <author>tc={AF27ECCC-9BA7-44F1-A7AE-EFB649948645}</author>
    <author>tc={A65EF2FA-B4C5-4E57-87F2-5203F96F779D}</author>
    <author>tc={0A60A58B-44DC-443B-B0F4-07553336A276}</author>
    <author>tc={4E736B48-7FB8-43C8-97C9-51BA2F299DD4}</author>
    <author>tc={F64F309D-C4D3-4233-84BE-D9435D9A4F8C}</author>
    <author>tc={3508C180-8030-4E53-9898-65A0E84CBF5F}</author>
    <author>tc={24FC9FD7-24D9-485F-A357-44BC1BFD7B45}</author>
    <author>tc={F4F34A8D-A111-4210-B66F-D40E408738F1}</author>
    <author>tc={128C5C88-0409-43D6-A7BC-3526796CC39B}</author>
    <author>tc={6FA597B3-590C-4534-955E-3E4C7337872B}</author>
    <author>tc={A3B03D7B-2474-4184-B04F-A7890B279F57}</author>
    <author>tc={34D6382B-C494-4CF4-B4F8-8B00241BE35B}</author>
    <author>tc={ABEC5B78-53F9-4682-B05C-5423234CBFD5}</author>
  </authors>
  <commentList>
    <comment ref="C10" authorId="0" shapeId="0" xr:uid="{1070C41D-AA2A-46E9-B694-B3C84C43FDA8}">
      <text>
        <r>
          <rPr>
            <b/>
            <sz val="9"/>
            <color rgb="FF000000"/>
            <rFont val="Tahoma"/>
            <family val="2"/>
          </rPr>
          <t>Please copy and paste the HLOs in the cells below.</t>
        </r>
      </text>
    </comment>
    <comment ref="K15" authorId="1" shapeId="0" xr:uid="{CF24C155-A7F0-4E23-87FD-A94815BA7C3A}">
      <text>
        <t>[Threaded comment]
Your version of Excel allows you to read this threaded comment; however, any edits to it will get removed if the file is opened in a newer version of Excel. Learn more: https://go.microsoft.com/fwlink/?linkid=870924
Comment:
    Most farmers—particularly smallholders—rely on uniform fertilizer recommendations that fail to consider local soil nutrient constraints, resulting in low returns on input investment and perpetuating rural poverty.</t>
      </text>
    </comment>
    <comment ref="L15" authorId="2" shapeId="0" xr:uid="{80CEC14F-2C79-413D-9C56-C1F39CF54EF3}">
      <text>
        <t>[Threaded comment]
Your version of Excel allows you to read this threaded comment; however, any edits to it will get removed if the file is opened in a newer version of Excel. Learn more: https://go.microsoft.com/fwlink/?linkid=870924
Comment:
    Spatially-explicit decision support models deliver targeted, cost-effective nutrient management advice that boosts farm-level productivity and profitability, contributing to income growth and poverty reduction in rural communities.</t>
      </text>
    </comment>
    <comment ref="M15" authorId="3" shapeId="0" xr:uid="{5961C4DA-07DC-4B1D-8536-FBB4BD274B9B}">
      <text>
        <t>[Threaded comment]
Your version of Excel allows you to read this threaded comment; however, any edits to it will get removed if the file is opened in a newer version of Excel. Learn more: https://go.microsoft.com/fwlink/?linkid=870924
Comment:
    Assumes differences in geospatial data infrastructure, digital accessibility, input market development, and smallholder resource endowments, all of which influence model relevance and impact.</t>
      </text>
    </comment>
    <comment ref="N15" authorId="4" shapeId="0" xr:uid="{E1EB5195-493F-4DED-9F5B-351C3208467C}">
      <text>
        <t>[Threaded comment]
Your version of Excel allows you to read this threaded comment; however, any edits to it will get removed if the file is opened in a newer version of Excel. Learn more: https://go.microsoft.com/fwlink/?linkid=870924
Comment:
    Reliable spatial soil fertility maps, site-calibrated algorithms, and integration with advisory platforms that translate scientific outputs into actionable, localized recommendations for farmers.</t>
      </text>
    </comment>
    <comment ref="O15" authorId="5" shapeId="0" xr:uid="{955976A4-190B-4020-8FB1-9CADBB222544}">
      <text>
        <t>[Threaded comment]
Your version of Excel allows you to read this threaded comment; however, any edits to it will get removed if the file is opened in a newer version of Excel. Learn more: https://go.microsoft.com/fwlink/?linkid=870924
Comment:
    Enabling input and output markets, inclusive advisory services, supportive policies, and financial mechanisms that lower adoption barriers and ensure equitable access for resource-poor farmers.</t>
      </text>
    </comment>
    <comment ref="K16" authorId="6" shapeId="0" xr:uid="{3CF1C583-C581-4897-B25E-D5938D44A667}">
      <text>
        <t>[Threaded comment]
Your version of Excel allows you to read this threaded comment; however, any edits to it will get removed if the file is opened in a newer version of Excel. Learn more: https://go.microsoft.com/fwlink/?linkid=870924
Comment:
    Agronomic recommendations are often too generalized and disconnected from smallholder realities, leading to inefficient input use, low yields, and limited income gains for poor farming households.</t>
      </text>
    </comment>
    <comment ref="L16" authorId="7" shapeId="0" xr:uid="{49828739-7354-4E5A-A93E-AF177672F453}">
      <text>
        <t>[Threaded comment]
Your version of Excel allows you to read this threaded comment; however, any edits to it will get removed if the file is opened in a newer version of Excel. Learn more: https://go.microsoft.com/fwlink/?linkid=870924
Comment:
    Data-driven, site-specific agronomic recommendations are widely implemented to optimize input use, raise farm productivity, and improve profitability, directly supporting rural poverty alleviation.</t>
      </text>
    </comment>
    <comment ref="M16" authorId="8" shapeId="0" xr:uid="{AF27ECCC-9BA7-44F1-A7AE-EFB649948645}">
      <text>
        <t>[Threaded comment]
Your version of Excel allows you to read this threaded comment; however, any edits to it will get removed if the file is opened in a newer version of Excel. Learn more: https://go.microsoft.com/fwlink/?linkid=870924
Comment:
    Assumes variability in smallholder access to advisory services, digital tools, affordable inputs, and supportive infrastructure across agroecological and socio-economic contexts.</t>
      </text>
    </comment>
    <comment ref="N16" authorId="9" shapeId="0" xr:uid="{A65EF2FA-B4C5-4E57-87F2-5203F96F779D}">
      <text>
        <t>[Threaded comment]
Your version of Excel allows you to read this threaded comment; however, any edits to it will get removed if the file is opened in a newer version of Excel. Learn more: https://go.microsoft.com/fwlink/?linkid=870924
Comment:
    Functioning data pipelines from farm to model, localized calibration of agronomic algorithms, and integration into user-friendly platforms accessible by farmers and advisors.</t>
      </text>
    </comment>
    <comment ref="O16" authorId="10" shapeId="0" xr:uid="{0A60A58B-44DC-443B-B0F4-07553336A276}">
      <text>
        <t>[Threaded comment]
Your version of Excel allows you to read this threaded comment; however, any edits to it will get removed if the file is opened in a newer version of Excel. Learn more: https://go.microsoft.com/fwlink/?linkid=870924
Comment:
    Pro-poor delivery models, effective extension networks, policy support for equitable input access, and financial services that enable smallholders to act on recommendations and realize economic gains.</t>
      </text>
    </comment>
    <comment ref="K17" authorId="11" shapeId="0" xr:uid="{4E736B48-7FB8-43C8-97C9-51BA2F299DD4}">
      <text>
        <t>[Threaded comment]
Your version of Excel allows you to read this threaded comment; however, any edits to it will get removed if the file is opened in a newer version of Excel. Learn more: https://go.microsoft.com/fwlink/?linkid=870924
Comment:
    Training materials are often generic, top-down, and poorly adapted to the needs of resource-poor farmers, limiting their ability to adopt more profitable, site-specific nutrient management practices.</t>
      </text>
    </comment>
    <comment ref="L17" authorId="12" shapeId="0" xr:uid="{F64F309D-C4D3-4233-84BE-D9435D9A4F8C}">
      <text>
        <t>[Threaded comment]
Your version of Excel allows you to read this threaded comment; however, any edits to it will get removed if the file is opened in a newer version of Excel. Learn more: https://go.microsoft.com/fwlink/?linkid=870924
Comment:
    Locally relevant, inclusive, and easy-to-use training materials empower smallholders and extension agents with the knowledge and skills to improve nutrient use efficiency, increase farm incomes, and break the cycle of poverty.</t>
      </text>
    </comment>
    <comment ref="M17" authorId="13" shapeId="0" xr:uid="{3508C180-8030-4E53-9898-65A0E84CBF5F}">
      <text>
        <t>[Threaded comment]
Your version of Excel allows you to read this threaded comment; however, any edits to it will get removed if the file is opened in a newer version of Excel. Learn more: https://go.microsoft.com/fwlink/?linkid=870924
Comment:
    Assumes disparities in literacy levels, language needs, extension coverage, and digital access among low-income rural populations across regions.</t>
      </text>
    </comment>
    <comment ref="N17" authorId="14" shapeId="0" xr:uid="{24FC9FD7-24D9-485F-A357-44BC1BFD7B45}">
      <text>
        <t>[Threaded comment]
Your version of Excel allows you to read this threaded comment; however, any edits to it will get removed if the file is opened in a newer version of Excel. Learn more: https://go.microsoft.com/fwlink/?linkid=870924
Comment:
    Development of context-specific, visually rich, and modular training materials in multiple languages and formats, co-designed with farmers and tailored to local agronomic conditions.</t>
      </text>
    </comment>
    <comment ref="O17" authorId="15" shapeId="0" xr:uid="{F4F34A8D-A111-4210-B66F-D40E408738F1}">
      <text>
        <t>[Threaded comment]
Your version of Excel allows you to read this threaded comment; however, any edits to it will get removed if the file is opened in a newer version of Excel. Learn more: https://go.microsoft.com/fwlink/?linkid=870924
Comment:
    Partnerships with grassroots organizations, investment in trainer capacity building, inclusive delivery channels (e.g., radio, local dialect videos), and sustained outreach to ensure equitable access for poor and marginalized farmers.</t>
      </text>
    </comment>
    <comment ref="K18" authorId="16" shapeId="0" xr:uid="{128C5C88-0409-43D6-A7BC-3526796CC39B}">
      <text>
        <t>[Threaded comment]
Your version of Excel allows you to read this threaded comment; however, any edits to it will get removed if the file is opened in a newer version of Excel. Learn more: https://go.microsoft.com/fwlink/?linkid=870924
Comment:
    There is limited use of localized, data-driven evidence in policy decisions, resulting in input subsidies and agricultural programs that often fail to target the needs of resource-poor farmers effectively.</t>
      </text>
    </comment>
    <comment ref="L18" authorId="17" shapeId="0" xr:uid="{6FA597B3-590C-4534-955E-3E4C7337872B}">
      <text>
        <t>[Threaded comment]
Your version of Excel allows you to read this threaded comment; however, any edits to it will get removed if the file is opened in a newer version of Excel. Learn more: https://go.microsoft.com/fwlink/?linkid=870924
Comment:
    Policies are grounded in robust evidence demonstrating how precision nutrient management improves smallholder profitability and equity, leading to better-targeted investments that drive rural poverty reduction.</t>
      </text>
    </comment>
    <comment ref="M18" authorId="18" shapeId="0" xr:uid="{A3B03D7B-2474-4184-B04F-A7890B279F57}">
      <text>
        <t>[Threaded comment]
Your version of Excel allows you to read this threaded comment; however, any edits to it will get removed if the file is opened in a newer version of Excel. Learn more: https://go.microsoft.com/fwlink/?linkid=870924
Comment:
    Assumes variation in policy engagement capacity, availability of impact data disaggregated by wealth groups, and government priorities regarding pro-poor agricultural development.</t>
      </text>
    </comment>
    <comment ref="N18" authorId="19" shapeId="0" xr:uid="{34D6382B-C494-4CF4-B4F8-8B00241BE35B}">
      <text>
        <t>[Threaded comment]
Your version of Excel allows you to read this threaded comment; however, any edits to it will get removed if the file is opened in a newer version of Excel. Learn more: https://go.microsoft.com/fwlink/?linkid=870924
Comment:
    Generation of disaggregated evidence on yield, income, and input-use efficiency from diverse farming systems, supported by strong data systems and impact modeling.</t>
      </text>
    </comment>
    <comment ref="O18" authorId="20" shapeId="0" xr:uid="{ABEC5B78-53F9-4682-B05C-5423234CBFD5}">
      <text>
        <t>[Threaded comment]
Your version of Excel allows you to read this threaded comment; however, any edits to it will get removed if the file is opened in a newer version of Excel. Learn more: https://go.microsoft.com/fwlink/?linkid=870924
Comment:
    Close collaboration with policy actors, compelling communication of evidence through policy briefs and economic analyses, and alignment of recommendations with poverty-focused national development goals and subsidy reforms.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s>
  <commentList>
    <comment ref="C10" authorId="0" shapeId="0" xr:uid="{62A30AC8-F84E-4A5B-A3A3-48AF0C53DFF1}">
      <text>
        <r>
          <rPr>
            <b/>
            <sz val="9"/>
            <color indexed="81"/>
            <rFont val="Tahoma"/>
            <family val="2"/>
          </rPr>
          <t>Please copy and paste the HLOs in the cells below.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tc={668DE4D0-BEF0-49F5-81AA-984DB1B5F4E0}</author>
    <author>tc={AEDEE7F5-D077-49F5-9465-B53B357B33B8}</author>
    <author>tc={3A958432-DD33-42C6-BC1E-7C27E386369B}</author>
    <author>tc={9059E833-7E06-4933-9606-37F13B5D7665}</author>
    <author>tc={1D0024B8-6981-4A90-AA89-6906BC08B421}</author>
    <author>tc={0742196A-1E75-4B57-AB69-2AFA563FBE65}</author>
    <author>tc={F48104C8-345A-4879-A9FC-87A17D4F43EB}</author>
    <author>tc={70CDD4BB-17A2-4190-9955-BFAF09DA29F8}</author>
    <author>tc={5DEE99FF-2F9F-4D7D-A98D-963F59E5A347}</author>
    <author>tc={5C32D46E-E97F-47C7-8770-2D6C1B027F51}</author>
  </authors>
  <commentList>
    <comment ref="C10" authorId="0" shapeId="0" xr:uid="{A6B10D54-D01B-4E06-BF85-1291E9705D75}">
      <text>
        <r>
          <rPr>
            <b/>
            <sz val="9"/>
            <color indexed="81"/>
            <rFont val="Tahoma"/>
            <family val="2"/>
          </rPr>
          <t>Please copy and paste the HLOs in the cells below.</t>
        </r>
      </text>
    </comment>
    <comment ref="K15" authorId="1" shapeId="0" xr:uid="{668DE4D0-BEF0-49F5-81AA-984DB1B5F4E0}">
      <text>
        <t>[Threaded comment]
Your version of Excel allows you to read this threaded comment; however, any edits to it will get removed if the file is opened in a newer version of Excel. Learn more: https://go.microsoft.com/fwlink/?linkid=870924
Comment:
    Current fertilizer recommendations are often uniform and overlook spatial variability in crop management and climate risks, leading to inefficient nutrient use, increased emissions, and reduced resilience to climate shocks.</t>
      </text>
    </comment>
    <comment ref="L15" authorId="2" shapeId="0" xr:uid="{AEDEE7F5-D077-49F5-9465-B53B357B33B8}">
      <text>
        <t>[Threaded comment]
Your version of Excel allows you to read this threaded comment; however, any edits to it will get removed if the file is opened in a newer version of Excel. Learn more: https://go.microsoft.com/fwlink/?linkid=870924
Comment:
    Please correct. N and CO2??
Reply:
    Current fertilizer recommendations are often uniform and overlook spatial variability in soil health and climate risks, leading to inefficient nutrient use, increased emissions, and reduced resilience to climate shocks.</t>
      </text>
    </comment>
    <comment ref="M15" authorId="3" shapeId="0" xr:uid="{3A958432-DD33-42C6-BC1E-7C27E386369B}">
      <text>
        <t>[Threaded comment]
Your version of Excel allows you to read this threaded comment; however, any edits to it will get removed if the file is opened in a newer version of Excel. Learn more: https://go.microsoft.com/fwlink/?linkid=870924
Comment:
    Assumes regional differences in climate vulnerability, soil carbon stocks, data infrastructure, and institutional readiness to support adaptive nutrient strategies.</t>
      </text>
    </comment>
    <comment ref="N15" authorId="4" shapeId="0" xr:uid="{9059E833-7E06-4933-9606-37F13B5D7665}">
      <text>
        <t>[Threaded comment]
Your version of Excel allows you to read this threaded comment; however, any edits to it will get removed if the file is opened in a newer version of Excel. Learn more: https://go.microsoft.com/fwlink/?linkid=870924
Comment:
    Integration of spatial soil data, emission factors, and climate projections into decision models, along with real-time analytics to support adaptive, low-emission nutrient management.</t>
      </text>
    </comment>
    <comment ref="O15" authorId="5" shapeId="0" xr:uid="{1D0024B8-6981-4A90-AA89-6906BC08B421}">
      <text>
        <t>[Threaded comment]
Your version of Excel allows you to read this threaded comment; however, any edits to it will get removed if the file is opened in a newer version of Excel. Learn more: https://go.microsoft.com/fwlink/?linkid=870924
Comment:
    Cross-program/accelerator collaboration, supportive policy frameworks for climate-smart inputs, and incentives that encourage adoption of low-emission, resilience-enhancing nutrient practices by farmers.</t>
      </text>
    </comment>
    <comment ref="K16" authorId="6" shapeId="0" xr:uid="{0742196A-1E75-4B57-AB69-2AFA563FBE65}">
      <text>
        <t>[Threaded comment]
Your version of Excel allows you to read this threaded comment; however, any edits to it will get removed if the file is opened in a newer version of Excel. Learn more: https://go.microsoft.com/fwlink/?linkid=870924
Comment:
    Agronomic recommendations are typically generalized and do not account for spatial and temporal variability in soils and climate, limiting their ability to support resilient and low-emission farming practices.</t>
      </text>
    </comment>
    <comment ref="L16" authorId="7" shapeId="0" xr:uid="{F48104C8-345A-4879-A9FC-87A17D4F43EB}">
      <text>
        <t>[Threaded comment]
Your version of Excel allows you to read this threaded comment; however, any edits to it will get removed if the file is opened in a newer version of Excel. Learn more: https://go.microsoft.com/fwlink/?linkid=870924
Comment:
    Data-driven, site-specific agronomic recommendations are widely implemented to optimize input use, enhance adaptive capacity, and reduce the environmental footprint of nutrient management under changing climate conditions.</t>
      </text>
    </comment>
    <comment ref="M16" authorId="8" shapeId="0" xr:uid="{70CDD4BB-17A2-4190-9955-BFAF09DA29F8}">
      <text>
        <t>[Threaded comment]
Your version of Excel allows you to read this threaded comment; however, any edits to it will get removed if the file is opened in a newer version of Excel. Learn more: https://go.microsoft.com/fwlink/?linkid=870924
Comment:
    Assumes variation in climate exposure, digital infrastructure, soil degradation levels, and institutional mechanisms for integrating agronomy and climate services across regions.</t>
      </text>
    </comment>
    <comment ref="N16" authorId="9" shapeId="0" xr:uid="{5DEE99FF-2F9F-4D7D-A98D-963F59E5A347}">
      <text>
        <t>[Threaded comment]
Your version of Excel allows you to read this threaded comment; however, any edits to it will get removed if the file is opened in a newer version of Excel. Learn more: https://go.microsoft.com/fwlink/?linkid=870924
Comment:
    Integration of weather forecasts, soil health indicators, and nutrient response data into dynamic advisory systems capable of guiding climate-smart nutrient management.</t>
      </text>
    </comment>
    <comment ref="O16" authorId="10" shapeId="0" xr:uid="{5C32D46E-E97F-47C7-8770-2D6C1B027F51}">
      <text>
        <t>[Threaded comment]
Your version of Excel allows you to read this threaded comment; however, any edits to it will get removed if the file is opened in a newer version of Excel. Learn more: https://go.microsoft.com/fwlink/?linkid=870924
Comment:
    Coordination with other programs/accelerators (e.g. climate action, DTA), investment in farmer-facing digital platforms, and policy incentives for adopting practices that jointly support productivity and climate goals.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s>
  <commentList>
    <comment ref="C10" authorId="0" shapeId="0" xr:uid="{1DB18465-3FDA-4730-88F0-6E285461EC0A}">
      <text>
        <r>
          <rPr>
            <b/>
            <sz val="9"/>
            <color indexed="81"/>
            <rFont val="Tahoma"/>
            <family val="2"/>
          </rPr>
          <t>Please copy and paste the HLOs in the cells below.</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tc={E01DBFE4-C931-426F-9B35-547B91B273EC}</author>
  </authors>
  <commentList>
    <comment ref="F38" authorId="0" shapeId="0" xr:uid="{E01DBFE4-C931-426F-9B35-547B91B273EC}">
      <text>
        <t>[Threaded comment]
Your version of Excel allows you to read this threaded comment; however, any edits to it will get removed if the file is opened in a newer version of Excel. Learn more: https://go.microsoft.com/fwlink/?linkid=870924
Comment:
    Weights computed as the share of total</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CHAMBERLIN, Jordan (CIMMYT-Kenya)</author>
    <author>tc={E7EB608B-D90F-4875-B6B0-92AE1F251684}</author>
  </authors>
  <commentList>
    <comment ref="C6" authorId="0" shapeId="0" xr:uid="{E8F24FE7-74F2-4D5D-95F1-2103B26C1914}">
      <text>
        <r>
          <rPr>
            <b/>
            <sz val="9"/>
            <color indexed="81"/>
            <rFont val="Tahoma"/>
            <family val="2"/>
          </rPr>
          <t xml:space="preserve">Conflict Index
</t>
        </r>
      </text>
    </comment>
    <comment ref="D6" authorId="0" shapeId="0" xr:uid="{853EADA4-110F-4505-9617-8954DAB95A28}">
      <text>
        <r>
          <rPr>
            <b/>
            <sz val="9"/>
            <color indexed="81"/>
            <rFont val="Tahoma"/>
            <family val="2"/>
          </rPr>
          <t>Corruption Perceptions Index</t>
        </r>
      </text>
    </comment>
    <comment ref="E6" authorId="0" shapeId="0" xr:uid="{4545CFBD-BE9E-4D56-BBEB-68FC77C61F6A}">
      <text>
        <r>
          <rPr>
            <b/>
            <sz val="9"/>
            <color indexed="81"/>
            <rFont val="Tahoma"/>
            <family val="2"/>
          </rPr>
          <t xml:space="preserve">Ease of Doing Business Score
</t>
        </r>
      </text>
    </comment>
    <comment ref="F6" authorId="0" shapeId="0" xr:uid="{1906A2A8-F84D-43DF-AA3A-BBC2872C016C}">
      <text>
        <r>
          <rPr>
            <b/>
            <sz val="9"/>
            <color indexed="81"/>
            <rFont val="Tahoma"/>
            <family val="2"/>
          </rPr>
          <t xml:space="preserve">Empowerment Rights Index: </t>
        </r>
        <r>
          <rPr>
            <sz val="9"/>
            <color indexed="81"/>
            <rFont val="Tahoma"/>
            <family val="2"/>
          </rPr>
          <t xml:space="preserve">
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 </t>
        </r>
      </text>
    </comment>
    <comment ref="G6" authorId="0" shapeId="0" xr:uid="{D7F97A4C-8D23-4DCB-A81D-F10DFB54D861}">
      <text>
        <r>
          <rPr>
            <b/>
            <sz val="9"/>
            <color indexed="81"/>
            <rFont val="Tahoma"/>
            <family val="2"/>
          </rPr>
          <t xml:space="preserve">Fragile States Index
</t>
        </r>
      </text>
    </comment>
    <comment ref="C18" authorId="1" shapeId="0" xr:uid="{E7EB608B-D90F-4875-B6B0-92AE1F251684}">
      <text>
        <t>[Threaded comment]
Your version of Excel allows you to read this threaded comment; however, any edits to it will get removed if the file is opened in a newer version of Excel. Learn more: https://go.microsoft.com/fwlink/?linkid=870924
Comment:
    Here I’ve rescaled to 0-1 range, based on my understand of the original index range, and inverted indices where low scores were better, so that now high scores are always better</t>
      </text>
    </comment>
  </commentList>
</comments>
</file>

<file path=xl/sharedStrings.xml><?xml version="1.0" encoding="utf-8"?>
<sst xmlns="http://schemas.openxmlformats.org/spreadsheetml/2006/main" count="1823" uniqueCount="1073">
  <si>
    <t>Initial prioritization for the Sustainable Farming Program</t>
  </si>
  <si>
    <t>Method: Follows System Organization Guidance, March 2025</t>
  </si>
  <si>
    <t>Full methods document: under development</t>
  </si>
  <si>
    <t>Questions: Todd Rosenstock, t.rosenstock@cgiar.org</t>
  </si>
  <si>
    <r>
      <t>Countries, per region, worked on by [</t>
    </r>
    <r>
      <rPr>
        <b/>
        <i/>
        <sz val="11"/>
        <color theme="1"/>
        <rFont val="Aptos Narrow"/>
        <family val="2"/>
        <scheme val="minor"/>
      </rPr>
      <t>Insert Program/Accelerator name</t>
    </r>
    <r>
      <rPr>
        <b/>
        <sz val="11"/>
        <color theme="1"/>
        <rFont val="Aptos Narrow"/>
        <family val="2"/>
        <scheme val="minor"/>
      </rPr>
      <t>]</t>
    </r>
  </si>
  <si>
    <t>CGIAR regions and countries.xlsx</t>
  </si>
  <si>
    <t>&lt;-- Spreadsheet showing the CGIAR regions and the countries that fall into these regions</t>
  </si>
  <si>
    <t>Program and Accelerator's Countries (2024).xlsx</t>
  </si>
  <si>
    <t xml:space="preserve">&lt;-- Spreadsheet showing the countries that each Program/Accelerator is working on (as per what was submitted in 2024 for the original methodology). </t>
  </si>
  <si>
    <t>LAC</t>
  </si>
  <si>
    <t>CWANA</t>
  </si>
  <si>
    <t>WCA</t>
  </si>
  <si>
    <t>ESA</t>
  </si>
  <si>
    <t>SA</t>
  </si>
  <si>
    <t>SEA</t>
  </si>
  <si>
    <t>Colmbia</t>
  </si>
  <si>
    <t>Algeria</t>
  </si>
  <si>
    <t>Benin</t>
  </si>
  <si>
    <t>Burundi</t>
  </si>
  <si>
    <t>Bangladesh</t>
  </si>
  <si>
    <t>Cambodia</t>
  </si>
  <si>
    <t>Ecuador</t>
  </si>
  <si>
    <t>Bahrain</t>
  </si>
  <si>
    <t>Burkina Faso</t>
  </si>
  <si>
    <t>Eswatini</t>
  </si>
  <si>
    <t>India</t>
  </si>
  <si>
    <t>Laos PDR</t>
  </si>
  <si>
    <t>Mexico</t>
  </si>
  <si>
    <t>Egypt</t>
  </si>
  <si>
    <t>Cameroon</t>
  </si>
  <si>
    <t>Ethiopia</t>
  </si>
  <si>
    <t>Nepal</t>
  </si>
  <si>
    <t>Pilippines</t>
  </si>
  <si>
    <t>Peru</t>
  </si>
  <si>
    <t>Iraq</t>
  </si>
  <si>
    <t>Congo</t>
  </si>
  <si>
    <t>Kenya</t>
  </si>
  <si>
    <t>Pakistan</t>
  </si>
  <si>
    <t>Vietnam</t>
  </si>
  <si>
    <t>Jordan</t>
  </si>
  <si>
    <t>Côte d'Ivoire</t>
  </si>
  <si>
    <t>Lesotho</t>
  </si>
  <si>
    <t>Kuwait</t>
  </si>
  <si>
    <t>Democratic Republic of the Congo (DRC)</t>
  </si>
  <si>
    <t>Madagascar</t>
  </si>
  <si>
    <t>Lebanon</t>
  </si>
  <si>
    <t>Ghana</t>
  </si>
  <si>
    <t>Malawi</t>
  </si>
  <si>
    <t>Morocco</t>
  </si>
  <si>
    <t>Liberia</t>
  </si>
  <si>
    <t>Mozambique</t>
  </si>
  <si>
    <t>Oman</t>
  </si>
  <si>
    <t>Mali</t>
  </si>
  <si>
    <t>Namibia</t>
  </si>
  <si>
    <t>Palestine</t>
  </si>
  <si>
    <t>Niger</t>
  </si>
  <si>
    <t>Rwanda</t>
  </si>
  <si>
    <t>Qatar</t>
  </si>
  <si>
    <t>Nigeria</t>
  </si>
  <si>
    <t>South Africa</t>
  </si>
  <si>
    <t>Saudi Arabia</t>
  </si>
  <si>
    <t>Senegal</t>
  </si>
  <si>
    <t>Sudan</t>
  </si>
  <si>
    <t>Tunisia</t>
  </si>
  <si>
    <t>Sierra Leone</t>
  </si>
  <si>
    <t>Tanzania</t>
  </si>
  <si>
    <t>Turkey</t>
  </si>
  <si>
    <t>Togo</t>
  </si>
  <si>
    <t>Uganda</t>
  </si>
  <si>
    <t>United Arab Emirates (UAE)</t>
  </si>
  <si>
    <t>Zambia</t>
  </si>
  <si>
    <t>VH</t>
  </si>
  <si>
    <t>H</t>
  </si>
  <si>
    <t>MH</t>
  </si>
  <si>
    <t>M</t>
  </si>
  <si>
    <t>L</t>
  </si>
  <si>
    <t>#</t>
  </si>
  <si>
    <t>HLO + concise description</t>
  </si>
  <si>
    <t>HLO count:</t>
  </si>
  <si>
    <t>HLO 1.1: Quantified climate change-related hazards that affect the delivery of agronomic gain</t>
  </si>
  <si>
    <t>Sets of 5:</t>
  </si>
  <si>
    <t>HLO 1.2: Climate hazard-specific inclusive sustainable farming system innovations</t>
  </si>
  <si>
    <t>Remainder:</t>
  </si>
  <si>
    <t>HLO 1.3: Training materials for climate adaptation and mitigation</t>
  </si>
  <si>
    <t>Max score:</t>
  </si>
  <si>
    <t>HLO 1.4: Policy and investment-ready information on sustainable farming solutions</t>
  </si>
  <si>
    <t>HLO 2.1: Spatially-explicit recommendation decision support models for soil nutrient constraints</t>
  </si>
  <si>
    <t>HLO 2.2: Expanded data-driven agronomic recommendations for site-specific nutrient management</t>
  </si>
  <si>
    <t>HLO 2.3: Training materials for site-specific nutrient management</t>
  </si>
  <si>
    <t>HLO 2.4: Evidence for policy recommendations for precision nutrient management</t>
  </si>
  <si>
    <t>HLO 3.1: Soil health monitoring and assessment framework operationalized</t>
  </si>
  <si>
    <t>HLO 3.2: Network of long-term monitoring sites for carbon storage assessment</t>
  </si>
  <si>
    <t>HLO 3.3: Impacts of agricultural practices quantified and catalogued</t>
  </si>
  <si>
    <t>HLO 3.4: Evidence for policy makers on soil health translated to accessible formats</t>
  </si>
  <si>
    <t>HLO 4.1: Capacity and networks of plant health practitioners improved</t>
  </si>
  <si>
    <t>HLO 4.2: Improved pest and disease monitoring and modeling tools</t>
  </si>
  <si>
    <t>HLO 4.3: Surveillance data and prevention strategies available</t>
  </si>
  <si>
    <t>HLO 4.4: Eco-friendly options for integrated pest management developed</t>
  </si>
  <si>
    <t>HLO 4.5: Mycotoxin traceability system for food safety validated</t>
  </si>
  <si>
    <t>HLO 5.1: Prioritization and suitability of water innovations for addressing risks</t>
  </si>
  <si>
    <t>HLO 5.2: Socially inclusive water management solutions addressing risks</t>
  </si>
  <si>
    <t>HLO 5.3: Training materials for water management solutions</t>
  </si>
  <si>
    <t>HLO 5.4: Evidence for policy on agricultural water management practices</t>
  </si>
  <si>
    <t>HLO 6.1: Social-inclusive SAMs that improve resource use efficiencies</t>
  </si>
  <si>
    <t>HLO 6.2: Business models for delivery of SAM options</t>
  </si>
  <si>
    <t>HLO 6.3: Training materials for SAM options</t>
  </si>
  <si>
    <t>HLO 6.4: Evidence for policy on scale-appropriate mechanization</t>
  </si>
  <si>
    <t>HLO 7.1: Bundled whole-farm innovations using system sciences</t>
  </si>
  <si>
    <t>HLO 7.2: Human-centered design methods for bundling whole-farm innovations</t>
  </si>
  <si>
    <t>HLO 7.3: Training materials for bundling farming system solutions</t>
  </si>
  <si>
    <t>HLO 7.4: Evidence for policy advice on bundled solutions</t>
  </si>
  <si>
    <t>HLO 8.1: Digitally enabled MELIA system for assessment of agronomic gain</t>
  </si>
  <si>
    <t>HLO 8.2: Tools for standardization and data management</t>
  </si>
  <si>
    <t>HLO 8.3: Novel capacity sharing models for stakeholders</t>
  </si>
  <si>
    <t>HLO 8.4: Multi-stakeholder partnership platforms for scaling bundled solutions</t>
  </si>
  <si>
    <t>HLO 8.5: Policy-related information for sustainable farming systems</t>
  </si>
  <si>
    <t>BASE Indicator database - (from 2024).xlsx</t>
  </si>
  <si>
    <t>&lt;-- source of Baseline data</t>
  </si>
  <si>
    <t>Projected Benefits Data (Nov 2024) - With Analysis.xlsx</t>
  </si>
  <si>
    <t>&lt;-- source of Projected data (with graphs)</t>
  </si>
  <si>
    <t>Impact Area</t>
  </si>
  <si>
    <t>Projected to 2040 (without CGIAR intervention) or baseline data?</t>
  </si>
  <si>
    <t>Indicator</t>
  </si>
  <si>
    <t>r_lac</t>
  </si>
  <si>
    <t>r_cwana</t>
  </si>
  <si>
    <t>r_wca</t>
  </si>
  <si>
    <t>r_esa</t>
  </si>
  <si>
    <t>r_sa</t>
  </si>
  <si>
    <t>r_sea</t>
  </si>
  <si>
    <t>Nutrition</t>
  </si>
  <si>
    <t>Baseline data</t>
  </si>
  <si>
    <t>Prevalence of stunting (height for age &lt;-2 standard deviation from the median of the World Health Organization (WHO) Child Growth Standards) % children under 5 years of age</t>
  </si>
  <si>
    <t>Prevalence of wasting (weight for height &gt;+2 or &lt;-2 standard deviation from the median of the WHO Child Growth Standards) % children under 5 years of age</t>
  </si>
  <si>
    <t>% of population unable to afford a healthy diet</t>
  </si>
  <si>
    <t>Women meeting minimum dietary diversity (MDD-W)(%)</t>
  </si>
  <si>
    <r>
      <t xml:space="preserve">MDD-W - higher value indicates more women meeting the minimum (i.e., a lower potential for impact) --- Minimum Dietary Diversity for Women is a population-level food group-based indicator that captures dietary diversity, a core construct of healthy diets. MDD-W is used to
estimate the proportion of non-pregnant women aged 15-49 years who consumed at least five
out of ten defined food groups over the previous 24 hours, signalling better micronutrient intake. 
indicator that captures dietary diversity, a core construct of healthy diets. MDD-W is used to
estimate the proportion of non-pregnant women aged 15-49 years who consumed at least five
out of ten defined food groups over the previous 24 hours, signalling better micronutrient intake. -- Note that we calculated it as 100% minus the MDD-W (i.e., women </t>
    </r>
    <r>
      <rPr>
        <b/>
        <i/>
        <sz val="11"/>
        <color theme="5"/>
        <rFont val="Aptos Narrow"/>
        <family val="2"/>
        <scheme val="minor"/>
      </rPr>
      <t>not</t>
    </r>
    <r>
      <rPr>
        <i/>
        <sz val="11"/>
        <color theme="5"/>
        <rFont val="Aptos Narrow"/>
        <family val="2"/>
        <scheme val="minor"/>
      </rPr>
      <t xml:space="preserve"> meeting ...) such that higher values correspond with higher potential for impact,</t>
    </r>
  </si>
  <si>
    <t>Gender</t>
  </si>
  <si>
    <t>Proportion of youth (aged 15-24 years) not in education, employment or training (NEET) (%)</t>
  </si>
  <si>
    <t>Gender Development Index (GDI)</t>
  </si>
  <si>
    <t>GDI measures gender inequalities in achievement in three basic dimensions of human development: health, measured by female and male life expectancy at birth; education, measured by female and male expected years of schooling for children and female and male mean years of schooling for adults ages 25 years and older; and command over economic resources, measured by female and male estimated earned income.</t>
  </si>
  <si>
    <t>Gender Inequality Index (GII)</t>
  </si>
  <si>
    <t>GII is a composite metric of gender inequality using three dimensions: reproductive health, empowerment and the labour market. A low GII value indicates low inequality between women and men, and vice-versa.</t>
  </si>
  <si>
    <t>Poverty</t>
  </si>
  <si>
    <t>The ratio of the people employed in agriculture in rural areas over all people employed in rural areas"</t>
  </si>
  <si>
    <t>Climate</t>
  </si>
  <si>
    <t>Vulnerability index of the geography (exposure, sensitivity and adaptive capacity in six life-supporting sectors: food, water, health, ecosystem services, human habitat, and infrastructure).</t>
  </si>
  <si>
    <t xml:space="preserve">Emissions intensity - CO2eq emissions from croplands (kg/ha) (Carlson et al., 2017) </t>
  </si>
  <si>
    <t>CRI - Climate Risk Index - the index of the level of exposure and vulnerability to extreme events such as storms, floods and heatwaves based on historic data</t>
  </si>
  <si>
    <t>Environment</t>
  </si>
  <si>
    <t>Consumptive blue and green water used in food production (m3/ha)</t>
  </si>
  <si>
    <t>Soil erosion rate (/Ha)</t>
  </si>
  <si>
    <t>Forest area lost (%) - the percentage of forested area (%) lost between 2010 and 2020</t>
  </si>
  <si>
    <t>GBI - Global Biodiversity Index - Total number of plant, reptile, mammal, bird, fish and amphibian species</t>
  </si>
  <si>
    <t>Sustainable agriculture score - Index quantifying progress toward productive and sustainable agriculture (current status score)</t>
  </si>
  <si>
    <t>Projected to 2040 (without CGIAR intervention)</t>
  </si>
  <si>
    <t>Projected to 2040</t>
  </si>
  <si>
    <t xml:space="preserve">Prevalence of Undernourishment - Share of total population living below the minimum calorie daily threshold </t>
  </si>
  <si>
    <t xml:space="preserve">WE CURRENTLY DON’T HAVE APPROPRIATE INDICATORS PROJECTED FOR THE GENDER IMPACT AREA - PLEASE USE BASELINE DATA ONLY </t>
  </si>
  <si>
    <t>Poverty Headcount Rate ($2.15) - Share of total population living below the poverty line</t>
  </si>
  <si>
    <t>Poverty Headcount Rate ($3.65) - Share of total population living below the poverty line</t>
  </si>
  <si>
    <t>Poverty Headcount Rate ($6.85) - Share of total population living below the poverty line</t>
  </si>
  <si>
    <t>Agrifood System Jobs (incl. subsistence farming and informal sector) - millions of workers</t>
  </si>
  <si>
    <t>Agrifood System GDP Per Worker - US$ per worker</t>
  </si>
  <si>
    <t xml:space="preserve">Agrifood System Greenhouse Gas (GHG) Emissions </t>
  </si>
  <si>
    <t>Prevalence of Undernourishment</t>
  </si>
  <si>
    <t>Undernourished Population</t>
  </si>
  <si>
    <t>Poverty Headcount Rate ($2.15)</t>
  </si>
  <si>
    <t>Poverty Headcount Rate ($3.65)</t>
  </si>
  <si>
    <t>Poverty Headcount Rate ($6.85)</t>
  </si>
  <si>
    <r>
      <t xml:space="preserve">Agrifood System Jobs </t>
    </r>
    <r>
      <rPr>
        <sz val="14"/>
        <color theme="1"/>
        <rFont val="Aptos Narrow"/>
        <family val="2"/>
        <scheme val="minor"/>
      </rPr>
      <t>(incl. subsistence farming and informal sector)</t>
    </r>
  </si>
  <si>
    <r>
      <t xml:space="preserve">Agricultural Jobs </t>
    </r>
    <r>
      <rPr>
        <sz val="14"/>
        <color theme="1"/>
        <rFont val="Aptos Narrow"/>
        <family val="2"/>
        <scheme val="minor"/>
      </rPr>
      <t>(incl. subsistence farming and informal sector)</t>
    </r>
  </si>
  <si>
    <t>Agricultural Greenhouse Gas (GHG) Emissions</t>
  </si>
  <si>
    <t>FS Indicators</t>
  </si>
  <si>
    <t>Total score by column</t>
  </si>
  <si>
    <t>VH count by column</t>
  </si>
  <si>
    <t>H count by column</t>
  </si>
  <si>
    <t>MH count by column</t>
  </si>
  <si>
    <t>M count by column</t>
  </si>
  <si>
    <t>L count by column</t>
  </si>
  <si>
    <t>Current state (across the Global South)</t>
  </si>
  <si>
    <t>Ideal state (across the Global South)</t>
  </si>
  <si>
    <t>Assumptions (for region-specific scores)</t>
  </si>
  <si>
    <t>Requirements for success 
(internal to P/A)</t>
  </si>
  <si>
    <t>Requirements for success 
(from other P/As)</t>
  </si>
  <si>
    <t>HLO</t>
  </si>
  <si>
    <t>Limited understanding of how climate hazards specifically impact food production and nutritional outcomes in vulnerable regions.</t>
  </si>
  <si>
    <t>Comprehensive mapping of climate-nutrition pathways enabling targeted interventions to protect food security in changing conditions.</t>
  </si>
  <si>
    <t>Regional variations in climate-nutrition vulnerability, food system resilience, and nutritional baseline status.</t>
  </si>
  <si>
    <t>Integrated climate-nutrition modeling, food security impact assessments, and nutritional risk mapping.</t>
  </si>
  <si>
    <t>Collaboration with Nutrition Program for impact pathways; Food Systems Program for systemic integration.</t>
  </si>
  <si>
    <t>Current adaptation practices rarely prioritize nutritional outcomes, focusing primarily on yield maintenance rather than dietary quality.</t>
  </si>
  <si>
    <t>Climate-adaptive farming systems optimized for nutritional security, dietary diversity, and stable food access across changing conditions.</t>
  </si>
  <si>
    <t>Regional differences in dietary patterns, nutritional challenges, and climate-sensitive food production systems.</t>
  </si>
  <si>
    <t>Nutrition-sensitive adaptation research, food system resilience metrics, and dietary outcome monitoring.</t>
  </si>
  <si>
    <t>Integration with Nutrition Program for diet-sensitive design; Gender Program for household food security impacts.</t>
  </si>
  <si>
    <t>Extension materials rarely integrate nutrition-sensitive adaptation, limiting impact on dietary outcomes under climate stress.</t>
  </si>
  <si>
    <t>Capacity development resources enabling implementers to optimize both climate resilience and nutritional outcomes across food systems.</t>
  </si>
  <si>
    <t>Variations in extension capacity, nutrition awareness, and prioritization of dietary outcomes in agricultural training.</t>
  </si>
  <si>
    <t>Nutrition-sensitive adaptation curricula, dietary impact training modules, and household food security assessment tools.</t>
  </si>
  <si>
    <t>Partnership with Capacity Sharing Accelerator; Nutrition Program for technical content.</t>
  </si>
  <si>
    <t>Climate policy frameworks rarely prioritize nutritional outcomes, missing opportunities to protect dietary quality under changing conditions.</t>
  </si>
  <si>
    <t>Integrated climate-nutrition policies guiding investments toward farming systems that maintain food security while building resilience.</t>
  </si>
  <si>
    <t>Differences in policy integration, nutrition prioritization in climate agendas, and food security governance.</t>
  </si>
  <si>
    <t>Climate-nutrition policy analysis, investment case development for nutrition-sensitive adaptation, and stakeholder engagement.</t>
  </si>
  <si>
    <t>Collaboration with Policy Program; Nutrition Program for technical framing.</t>
  </si>
  <si>
    <t>Nutrient recommendations are largely blanket and disconnected from localized soil and crop needs, limiting their effectiveness in addressing food insecurity and micronutrient deficiencies.</t>
  </si>
  <si>
    <t>Spatially-explicit, data-driven nutrient recommendation models are widely adopted and tailored to local agroecological and socio-economic conditions, enabling farmers to optimize yield, improve soil health, and contribute to food and nutrition security.</t>
  </si>
  <si>
    <t>It is assumed that agroecological diversity, data availability, institutional capacity, and farmer adoption potential vary significantly across regions, influencing impact.</t>
  </si>
  <si>
    <t>High-resolution, geo-referenced soil and crop data, robust spatial modeling tools, and integration with climate and agronomic datasets are essential for accurate and actionable recommendations.</t>
  </si>
  <si>
    <t>Strong extension systems, multi-stakeholder engagement, enabling policies, and farmer-centric delivery platforms are critical to ensure adoption and scalability of nutrient management advisories.</t>
  </si>
  <si>
    <t>Agronomic recommendations are often generalized and not data-driven, resulting in suboptimal nutrient use, low productivity, and limited progress toward food and nutrition security goals.</t>
  </si>
  <si>
    <t>Site-specific, data-driven agronomic recommendation systems are operational at scale, enabling tailored nutrient management that enhances yield, profitability, resource efficiency, and nutritional outcomes.</t>
  </si>
  <si>
    <t>Assumes variable quality and availability of agronomic, soil, and weather data; differences in digital infrastructure; and diverse levels of institutional support and farmer digital literacy across regions.</t>
  </si>
  <si>
    <t>Robust decision support tools, integration of multi-source datasets (e.g., soil, crop, climate, socioeconomic), and continuous feedback mechanisms to refine nutrient recommendations.</t>
  </si>
  <si>
    <t>Collaborative research-extension systems, policy incentives, digital access for smallholders, and inclusive capacity development are essential to scale and sustain adoption of site-specific nutrient management practices.</t>
  </si>
  <si>
    <t>Training materials on nutrient management are often generic, outdated, or disconnected from local conditions, limiting their effectiveness in promoting site-specific and sustainable practices among farmers and extension agents.</t>
  </si>
  <si>
    <t>Localized, user-friendly, and digitally accessible training materials are widely available and regularly updated, equipping farmers, extension workers, and advisors with practical guidance for implementing site-specific nutrient management.</t>
  </si>
  <si>
    <t>Assumes varying levels of literacy, digital access, language needs, and agronomic knowledge across regions, affecting how training content is designed, delivered, and absorbed.</t>
  </si>
  <si>
    <t>Development of modular, multimedia content co-designed with users, based on local data and decision tools, and adaptable to different delivery formats (print, app, video, radio).</t>
  </si>
  <si>
    <t>Strong partnerships with NARES, NGOs, and private sector actors; capacity building for trainers; and sustained investment in outreach mechanisms that ensure inclusive access and adoption.</t>
  </si>
  <si>
    <t>Policy frameworks often lack robust, localized evidence to support precision nutrient management, resulting in limited policy alignment with sustainable intensification and food security goals.</t>
  </si>
  <si>
    <t>Policies are informed by strong scientific evidence and field-based outcomes, enabling support for precision nutrient management through targeted subsidies, regulatory frameworks, and national extension strategies.</t>
  </si>
  <si>
    <t>Assumes variation in policy responsiveness, availability of empirical data, institutional coordination, and political will across countries and regions.</t>
  </si>
  <si>
    <t>Rigorous multi-location field trials, impact assessments, and harmonized data systems that generate credible evidence on productivity, economic returns, and environmental outcomes.</t>
  </si>
  <si>
    <t>Close collaboration with policymakers, think tanks, and national research systems; strategic communication of evidence; and alignment with broader agricultural, environmental, and nutrition policy agendas.</t>
  </si>
  <si>
    <t>Soil health monitoring rarely includes indicators relevant to nutritional security or dietary quality outcomes.</t>
  </si>
  <si>
    <t>Comprehensive soil monitoring systems tracking both agricultural productivity and nutritional quality determinants.</t>
  </si>
  <si>
    <t>Regional differences in soil monitoring capacity, nutrition-soil linkage awareness, and monitoring priorities.</t>
  </si>
  <si>
    <t>Nutrition-relevant soil indicator development, integrated monitoring system design, and outcome tracking methodologies.</t>
  </si>
  <si>
    <t>Collaboration with Digital Accelerator for systems; Nutrition Program for indicator framework.</t>
  </si>
  <si>
    <t>Long-term agricultural monitoring rarely tracks nutritional outcomes alongside environmental parameters.</t>
  </si>
  <si>
    <t>Monitoring networks documenting interactions between soil health, environmental parameters, and nutritional outcomes over time.</t>
  </si>
  <si>
    <t>Variations in research infrastructure, nutrition-environment research traditions, and monitoring priorities.</t>
  </si>
  <si>
    <t>Nutrition-sensitive monitoring design, long-term experimental protocols, and integrated outcome assessment methodologies.</t>
  </si>
  <si>
    <t>Partnership with Environmental Health Program; Nutrition Program for dietary indicators.</t>
  </si>
  <si>
    <t>Limited evidence on how soil management practices impact nutritional outcomes hinders nutrition-sensitive agriculture.</t>
  </si>
  <si>
    <t>Comprehensive evidence base linking soil management practices to both productivity and nutritional outcomes across contexts.</t>
  </si>
  <si>
    <t>Regional differences in research coverage, nutrition-soil linkage understanding, and evidence synthesis capacity.</t>
  </si>
  <si>
    <t>Nutrition impact assessment methodologies, evidence synthesis protocols, and knowledge management systems.</t>
  </si>
  <si>
    <t>Integration with Nutrition Program for outcome framework; Digital Accelerator for knowledge systems.</t>
  </si>
  <si>
    <t>Soil health policy rarely incorporates nutritional considerations, missing critical soil-diet-health connections.</t>
  </si>
  <si>
    <t>Soil policies explicitly addressing nutritional security through maintenance of nutrient-supporting soil functions.</t>
  </si>
  <si>
    <t>Differences in policy environments, nutrition-soil linkage awareness, and policy integration capacity.</t>
  </si>
  <si>
    <t>Nutrition-soil policy analysis, evidence translation methodologies, and stakeholder engagement strategies.</t>
  </si>
  <si>
    <t>Partnership with Policy Program; Nutrition Program for framing and messaging.</t>
  </si>
  <si>
    <t>Plant health systems rarely prioritize nutrition-sensitive crop protection, focusing primarily on yield protection.</t>
  </si>
  <si>
    <t>Practitioner networks optimizing plant health management for both yield stability and nutritional quality maintenance.</t>
  </si>
  <si>
    <t>Regional variations in plant health system capacity, nutrition awareness, and crop protection priorities.</t>
  </si>
  <si>
    <t>Nutrition-sensitive plant health training, network development methodologies, and integrated impact assessment tools.</t>
  </si>
  <si>
    <t>Collaboration with Capacity Sharing Accelerator; Nutrition Program for dietary quality parameters.</t>
  </si>
  <si>
    <t>Pest monitoring systems rarely consider nutritional consequences, potentially sacrificing dietary quality for yield protection.</t>
  </si>
  <si>
    <t>Advanced surveillance systems protecting both yield and nutritional quality through targeted monitoring of nutrition-critical crops.</t>
  </si>
  <si>
    <t>Differences in monitoring infrastructure, nutrition-pest impact understanding, and surveillance priorities.</t>
  </si>
  <si>
    <t>Nutrition-sensitive pest monitoring design, impact modeling methodologies, and outcome tracking protocols.</t>
  </si>
  <si>
    <t>Partnership with Digital Accelerator for systems; Nutrition Program for crop prioritization.</t>
  </si>
  <si>
    <t>Prevention strategies rarely differentiate nutritional importance of crops, potentially underprotecting dietary diversity contributors.</t>
  </si>
  <si>
    <t>Evidence-based prevention strategies prioritizing nutritionally important crops and protecting dietary quality.</t>
  </si>
  <si>
    <t>Regional variations in prevention capacity, nutrition-pest relationship awareness, and strategic priorities.</t>
  </si>
  <si>
    <t>Nutrition-sensitive prioritization frameworks, prevention strategy design methodologies, and impact assessment tools.</t>
  </si>
  <si>
    <t>Integration with Nutrition Program for dietary importance mapping; Scaling Program for deployment.</t>
  </si>
  <si>
    <t>Ecological management approaches rarely optimize for both environmental and nutritional outcomes simultaneously.</t>
  </si>
  <si>
    <t>Integrated management systems protecting dietary diversity while maintaining environmental sustainability across farm systems.</t>
  </si>
  <si>
    <t>Differences in ecological management capacity, nutrition awareness, and implementation priorities.</t>
  </si>
  <si>
    <t>Nutrition-sensitive IPM design, participatory testing methodologies, and multi-objective assessment tools.</t>
  </si>
  <si>
    <t>Collaboration with Biodiversity Program for approaches; Nutrition Program for outcome assessment.</t>
  </si>
  <si>
    <t>Mycotoxin contamination creates critical food safety risks with severe nutritional security implications, particularly for vulnerable populations.</t>
  </si>
  <si>
    <t>Effective monitoring systems enabling contamination prevention and ensuring food safety across supply chains and contexts.</t>
  </si>
  <si>
    <t>Regional variations in mycotoxin prevalence, detection capacity, and food safety infrastructure.</t>
  </si>
  <si>
    <t>Traceability system design, validation methodologies, and implementation protocols adapted for diverse contexts.</t>
  </si>
  <si>
    <t>Partnership with Food Safety initiatives; Markets Program for value chain integration.</t>
  </si>
  <si>
    <t>Water management rarely optimizes for nutritional outcomes, potentially sacrificing dietary diversity for staple production; majority of unsustainable water use from staple production (especially Asia), water related production challenges (mainly droughts and floods) are significant</t>
  </si>
  <si>
    <t>Water innovations explicitly supporting diverse, nutrition-sensitive production systems across the spectrum of water availability contexts.</t>
  </si>
  <si>
    <t>Regional differences in water related risks to and from cropping systems, water-nutrition relationships, inefficient use and allocation, management capacity, and agricultural water priorities.</t>
  </si>
  <si>
    <t>Nutrition-sensitive water innovation assessment, prioritization methodology development, and impact modeling tools.</t>
  </si>
  <si>
    <t>Collaboration with Nutrition Program for dietary frameworks; Digital Accelerator for mapping.</t>
  </si>
  <si>
    <t>Current water management approaches often neglect differential water solutions to tackle water stress, water-overuse and nutritional impacts across gender and social groups.</t>
  </si>
  <si>
    <t>Inclusive water solutions ensuring equitable nutritional benefits and food security outcomes across gender and social boundaries.</t>
  </si>
  <si>
    <t>Variations in gender dynamics, social inclusion levels, and equity of nutritional outcomes from water management.</t>
  </si>
  <si>
    <t>Gender-nutrition analysis methodologies, inclusive design approaches, and differential impact assessment tools.</t>
  </si>
  <si>
    <t>Integration with Gender Program; Nutrition Program for dietary impact analysis.</t>
  </si>
  <si>
    <t>Capacity development resources rarely connect water management to household nutritional outcomes.</t>
  </si>
  <si>
    <t>Training materials enabling practitioners to optimize water management for both productivity and nutrition security objectives.</t>
  </si>
  <si>
    <t>Regional differences in extension nutrition awareness, training infrastructure, and water-diet connections.</t>
  </si>
  <si>
    <t>Nutrition-sensitive water management curricula, training-of-trainers materials, and impact assessment protocols.</t>
  </si>
  <si>
    <t>Partnership with Capacity Sharing Accelerator; Nutrition Program for content framing.</t>
  </si>
  <si>
    <t>Water policy frameworks rarely incorporate nutritional security considerations, potentially undermining dietary outcomes.</t>
  </si>
  <si>
    <t>Evidence-based water policies explicitly addressing nutritional security alongside productivity and environmental objectives.</t>
  </si>
  <si>
    <t>Differences in water governance approaches, nutrition policy integration, and water-agriculture-nutrition linkages.</t>
  </si>
  <si>
    <t>Nutrition-water policy analysis, evidence synthesis methodologies, and stakeholder engagement approaches.</t>
  </si>
  <si>
    <t>Strong integration with Policy Program; Nutrition Program for outcome framing.</t>
  </si>
  <si>
    <t>Mechanization approaches rarely optimize for nutrition-sensitive production, potentially disadvantaging dietary diversity crops.</t>
  </si>
  <si>
    <t>Inclusive mechanization options supporting diverse, nutrition-sensitive production systems across farm types and contexts.</t>
  </si>
  <si>
    <t>Regional variations in mechanization levels, nutrition-agriculture integration, and dietary diversity mechanization needs.</t>
  </si>
  <si>
    <t>Nutrition-sensitive mechanization design, multi-objective assessment methodologies, and inclusive testing protocols.</t>
  </si>
  <si>
    <t>Collaboration with Gender Program for inclusivity; Nutrition Program for dietary analysis.</t>
  </si>
  <si>
    <t>Service delivery models rarely prioritize nutrition-important crops, potentially limiting dietary diversity support.</t>
  </si>
  <si>
    <t>Business models enabling widespread access to mechanization supporting nutritionally diverse production systems.</t>
  </si>
  <si>
    <t>Differences in market development, nutrition-agriculture linkages, and service provision infrastructure.</t>
  </si>
  <si>
    <t>Nutrition-sensitive business model design, service system assessment methodologies, and validation protocols.</t>
  </si>
  <si>
    <t>Partnership with Scaling Program; Markets Program for delivery systems.</t>
  </si>
  <si>
    <t>Mechanization training rarely addresses nutrition-sensitive production considerations or dietary diversity maintenance.</t>
  </si>
  <si>
    <t>Capacity building materials enabling nutrition-supportive mechanization implementation across diverse contexts.</t>
  </si>
  <si>
    <t>Regional variations in technical training infrastructure, nutrition awareness, and mechanization education priorities.</t>
  </si>
  <si>
    <t>Nutrition-sensitive mechanization curricula, training resource development, and impact assessment protocols.</t>
  </si>
  <si>
    <t>Integration with Capacity Sharing Accelerator; Nutrition Program for framing.</t>
  </si>
  <si>
    <t>Mechanization policy rarely considers nutritional implications, potentially disadvantaging nutritionally important crops.</t>
  </si>
  <si>
    <t>Evidence-based policies promoting mechanization approaches that support nutrition-sensitive, diverse production systems.</t>
  </si>
  <si>
    <t>Differences in mechanization policy environments, nutrition integration, and policy development capacity.</t>
  </si>
  <si>
    <t>Nutrition-mechanization policy analysis, evidence synthesis methodologies, and recommendation development tools.</t>
  </si>
  <si>
    <t>Collaboration with Policy Program; Nutrition Program for dietary diversity impacts.</t>
  </si>
  <si>
    <t>Farming system approaches rarely explicitly optimize for nutritional outcomes alongside productivity and sustainability.</t>
  </si>
  <si>
    <t>Integrated innovation bundles explicitly supporting household nutrition security alongside productivity and resilience.</t>
  </si>
  <si>
    <t>Regional variations in farming system complexity, nutrition awareness, and implementation capacity.</t>
  </si>
  <si>
    <t>Nutrition-sensitive systems design, household dietary modeling, and multi-objective assessment tools.</t>
  </si>
  <si>
    <t>Collaboration with Nutrition Program for frameworks; Markets Program for value chain linkages.</t>
  </si>
  <si>
    <t>Current design approaches rarely incorporate household nutritional priorities or dietary outcome considerations.</t>
  </si>
  <si>
    <t>Design methodologies explicitly incorporating nutritional priorities and dietary objectives into farming system innovations.</t>
  </si>
  <si>
    <t>Differences in participatory research traditions, nutrition awareness, and household food security integration.</t>
  </si>
  <si>
    <t>Nutrition-centered design methodologies, participatory dietary assessment tools, and integrated testing protocols.</t>
  </si>
  <si>
    <t>Partnership with Scaling Program for methodologies; Nutrition Program for dietary frameworks.</t>
  </si>
  <si>
    <t>Capacity development for system approaches rarely includes explicit nutrition security or dietary quality objectives.</t>
  </si>
  <si>
    <t>Training resources enabling practitioners to design and implement nutrition-sensitive farming system innovation bundles.</t>
  </si>
  <si>
    <t>Regional variations in systems training infrastructure, nutrition integration capacity, and educational priorities.</t>
  </si>
  <si>
    <t>Nutrition-sensitive systems education curricula, integrated training methodologies, and impact assessment protocols.</t>
  </si>
  <si>
    <t>Integration with Capacity Sharing Accelerator; Nutrition Program for content framework.</t>
  </si>
  <si>
    <t>Policy frameworks rarely support integrated nutrition-agriculture approaches, limiting system-level food security improvements.</t>
  </si>
  <si>
    <t>Evidence-based policies enabling and incentivizing nutrition-sensitive, integrated farming systems across contexts.</t>
  </si>
  <si>
    <t>Differences in policy environments, nutrition-agriculture integration, and multi-sectoral coordination capacity.</t>
  </si>
  <si>
    <t>Nutrition-agriculture policy analysis, evidence synthesis methodologies, and recommendation development tools.</t>
  </si>
  <si>
    <t>Strong integration with Policy Program; Nutrition Program for dietary frameworks.</t>
  </si>
  <si>
    <t>Monitoring systems rarely track nutritional outcomes alongside productivity metrics, limiting nutrition-sensitive agriculture.</t>
  </si>
  <si>
    <t>Comprehensive monitoring frameworks tracking both agricultural productivity and nutritional security impacts across contexts.</t>
  </si>
  <si>
    <t>Regional variations in monitoring capacity, nutrition indicator integration, and MELIA system development.</t>
  </si>
  <si>
    <t>Nutrition-sensitive indicator development, integrated monitoring design, and multi-objective assessment tools.</t>
  </si>
  <si>
    <t>Partnership with Digital Accelerator for systems; Nutrition Program for outcome frameworks.</t>
  </si>
  <si>
    <t>Agricultural data systems rarely integrate nutrition indicators, limiting evidence-based improvement of dietary outcomes.</t>
  </si>
  <si>
    <t>Integrated data infrastructure connecting agricultural interventions to nutritional outcomes for evidence-based decision making.</t>
  </si>
  <si>
    <t>Differences in data infrastructure, nutrition-agriculture data integration, and information management capacity.</t>
  </si>
  <si>
    <t>Nutrition data architecture development, integrated indicator frameworks, and cross-sectoral analysis methodologies.</t>
  </si>
  <si>
    <t>Major collaboration with Digital Accelerator; Nutrition Program for dietary metrics.</t>
  </si>
  <si>
    <t>Capacity development approaches rarely bridge nutrition-agriculture divides, limiting integrated implementation effectiveness.</t>
  </si>
  <si>
    <t>Innovative capacity building systems enabling effective implementation of nutrition-sensitive agricultural approaches.</t>
  </si>
  <si>
    <t>Regional variations in extension systems, cross-sectoral training traditions, and capacity development priorities.</t>
  </si>
  <si>
    <t>Cross-sectoral training methodologies, nutrition-agriculture knowledge integration, and impact assessment protocols.</t>
  </si>
  <si>
    <t>Strong integration with Capacity Sharing Accelerator; Nutrition Program for content frameworks.</t>
  </si>
  <si>
    <t>Partnership platforms rarely bridge nutrition-agriculture implementation divides, limiting food security outcomes.</t>
  </si>
  <si>
    <t>Coordinated platforms enabling systematic scaling of integrated nutrition-agriculture solutions across contexts.</t>
  </si>
  <si>
    <t>Differences in partnership infrastructure, cross-sectoral collaboration traditions, and coordination priorities.</t>
  </si>
  <si>
    <t>Cross-sectoral partnership methodologies, nutrition-agriculture stakeholder mapping, and engagement protocols.</t>
  </si>
  <si>
    <t>Major collaboration with Scaling Program; Nutrition Program for stakeholder identification.</t>
  </si>
  <si>
    <t>Limited policy coherence between agriculture and nutrition sectors undermines food security outcomes.</t>
  </si>
  <si>
    <t>Systematic integration of farming systems evidence into nutrition-sensitive agricultural policy across governance scales.</t>
  </si>
  <si>
    <t>Regional variations in policy-science interfaces, cross-sectoral coordination capacity, and governance approaches.</t>
  </si>
  <si>
    <t>Nutrition-agriculture policy analysis, evidence synthesis methodologies, and cross-sectoral communication protocols.</t>
  </si>
  <si>
    <t>Strong integration with Policy Program; Nutrition Program for framing and priorities.</t>
  </si>
  <si>
    <t>Poverty Indicators</t>
  </si>
  <si>
    <t>total score by column</t>
  </si>
  <si>
    <t>Limited understanding of how climate hazards specifically impact income stability, rural employment, and poverty trajectories.</t>
  </si>
  <si>
    <t>Comprehensive mapping of climate-livelihood pathways enabling targeted interventions to protect economic wellbeing under changing conditions.</t>
  </si>
  <si>
    <t>Regional variations in climate-livelihood vulnerability, economic diversification, and poverty baseline status.</t>
  </si>
  <si>
    <t>Integrated climate-poverty modeling, livelihood impact assessments, and economic vulnerability mapping.</t>
  </si>
  <si>
    <t>Collaboration with Foresight services for socioeconomic projections; Markets Program for value chain impacts.</t>
  </si>
  <si>
    <t>Adaptation technologies often fail to explicitly consider livelihood impacts, employment effects, or poverty reduction potential.</t>
  </si>
  <si>
    <t>Climate-adaptive farming systems optimized for stable incomes, job creation, and poverty reduction across changing environmental conditions.</t>
  </si>
  <si>
    <t>Differences in economic vulnerability, livelihood diversification opportunities, and labor market dynamics across regions.</t>
  </si>
  <si>
    <t>Income-sensitive adaptation research, employment impact assessment methodologies, and poverty reduction metrics.</t>
  </si>
  <si>
    <t>Integration with Markets Program for value chain evaluation; Policy Program for enabling environment analysis.</t>
  </si>
  <si>
    <t>Extension materials rarely highlight economic implications, business model adaptation, or livelihood diversification opportunities.</t>
  </si>
  <si>
    <t>Capacity development resources enabling implementers to optimize economic outcomes alongside environmental resilience in adaptation strategies.</t>
  </si>
  <si>
    <t>Variations in extension capacity, enterprise development support, and prioritization of economic dimensions in training.</t>
  </si>
  <si>
    <t>Economic impact training modules, business adaptation curricula, and income diversification assessment tools.</t>
  </si>
  <si>
    <t>Partnership with Capacity Sharing Accelerator; Markets Program for enterprise content.</t>
  </si>
  <si>
    <t>Climate policy frameworks rarely prioritize employment protection, income stability, or poverty reduction potential of interventions.</t>
  </si>
  <si>
    <t>Integrated climate-economic policies guiding investments toward farming systems that maintain livelihoods while building resilience.</t>
  </si>
  <si>
    <t>Differences in policy integration, economic prioritization in climate agendas, and poverty reduction governance.</t>
  </si>
  <si>
    <t>Climate-economic policy analysis, livelihood-focused investment case development, and poverty impact assessment.</t>
  </si>
  <si>
    <t>Collaboration with Policy Program; Markets Program for value chain frameworks.</t>
  </si>
  <si>
    <t>Nutrient management technologies rarely optimize for economic returns, labor implications, or poverty reduction impact.</t>
  </si>
  <si>
    <t>Precision nutrient systems enhancing both agricultural productivity and economic returns across diverse socioeconomic contexts.</t>
  </si>
  <si>
    <t>Regional variations in input markets, labor costs, and poverty-nutrient management relationships.</t>
  </si>
  <si>
    <t>Economic return modeling capacity, poverty impact assessment methodologies, and livelihood-oriented spatial analysis.</t>
  </si>
  <si>
    <t>Integration with Digital Accelerator for systems; Markets Program for economic analysis.</t>
  </si>
  <si>
    <t>Advisory services rarely incorporate economic optimization, return-on-investment analysis, or poverty impact considerations.</t>
  </si>
  <si>
    <t>Integrated nutrient recommendations explicitly balancing agronomic, environmental, and economic outcomes for livelihood enhancement.</t>
  </si>
  <si>
    <t>Differences in advisory system economic capacity, business model integration, and poverty-sensitive recommendation approaches.</t>
  </si>
  <si>
    <t>Economic return algorithms, cost-benefit modeling tools, and poverty-sensitive recommendation frameworks.</t>
  </si>
  <si>
    <t>Collaboration with Markets Program; Digital Accelerator for delivery systems.</t>
  </si>
  <si>
    <t>Extension resources rarely emphasize business case development, economic analysis, or livelihood enhancement strategies.</t>
  </si>
  <si>
    <t>Capacity building materials enabling practitioners to optimize nutrient management for economic returns and poverty reduction.</t>
  </si>
  <si>
    <t>Regional differences in business extension capacity, economic training infrastructure, and poverty-focused advisory services.</t>
  </si>
  <si>
    <t>Economic analysis training curricula, business case development tools, and poverty-sensitive advisory methodologies.</t>
  </si>
  <si>
    <t>Partnership with Capacity Sharing Accelerator; Markets Program for business content.</t>
  </si>
  <si>
    <t>Policy frameworks rarely optimize fertilizer programs for income generation, job creation, or poverty reduction outcomes.</t>
  </si>
  <si>
    <t>Evidence-based policies balancing productivity, sustainability, and economic returns from nutrient management investments.</t>
  </si>
  <si>
    <t>Variations in policy environments, subsidy economic efficiency, and poverty-reduction focus in input systems.</t>
  </si>
  <si>
    <t>Economic policy analysis, poverty impact evidence synthesis, and subsidy optimization methodologies.</t>
  </si>
  <si>
    <t>Strong integration with Policy Program; Markets Program for value chain analysis.</t>
  </si>
  <si>
    <t>Soil monitoring systems rarely track economic indicators, livelihood impacts, or poverty reduction contributions.</t>
  </si>
  <si>
    <t>Comprehensive soil frameworks connecting soil health improvements to measurable economic benefits across diverse contexts.</t>
  </si>
  <si>
    <t>Regional differences in soil-livelihood connections, economic monitoring capacity, and poverty-soil health relationships.</t>
  </si>
  <si>
    <t>Economic indicator development, livelihood impact tracking methodologies, and poverty-soil relationships analysis.</t>
  </si>
  <si>
    <t>Collaboration with Digital Accelerator for systems; Markets Program for economic frameworks.</t>
  </si>
  <si>
    <t>Long-term research rarely quantifies economic returns, livelihood enhancement, or poverty reduction from soil investments.</t>
  </si>
  <si>
    <t>Monitoring networks documenting long-term economic benefits of soil health investments across diverse socioeconomic contexts.</t>
  </si>
  <si>
    <t>Variations in research economic capacity, livelihood impact metrics, and poverty reduction monitoring approaches.</t>
  </si>
  <si>
    <t>Economic return assessment methodologies, long-term livelihood tracking, and poverty impact monitoring protocols.</t>
  </si>
  <si>
    <t>Partnership with Foresight services for projections; Markets Program for economic analysis.</t>
  </si>
  <si>
    <t>Limited evidence on economic returns, employment effects, or poverty reduction impacts of soil management practices.</t>
  </si>
  <si>
    <t>Comprehensive evidence base linking soil management practices to quantified economic benefits across diverse contexts.</t>
  </si>
  <si>
    <t>Regional differences in economic research coverage, livelihood impact methodologies, and poverty-soil evidence synthesis.</t>
  </si>
  <si>
    <t>Economic impact assessment tools, livelihood benefit quantification methods, and poverty reduction evidence frameworks.</t>
  </si>
  <si>
    <t>Integration with Markets Program for economic analysis; Scaling Program for business models.</t>
  </si>
  <si>
    <t>Soil health policy communication rarely emphasizes economic returns, employment creation, or poverty reduction potential.</t>
  </si>
  <si>
    <t>Soil policies explicitly connecting soil health to economic prosperity and poverty reduction through accessible evidence.</t>
  </si>
  <si>
    <t>Differences in policy economic framing, livelihood emphasis in governance, and poverty reduction orientation in soil health.</t>
  </si>
  <si>
    <t>Economic policy analysis, poverty impact communication strategies, and livelihood-focused stakeholder engagement.</t>
  </si>
  <si>
    <t>Partnership with Policy Program; Communications for economic messaging.</t>
  </si>
  <si>
    <t>Plant health systems rarely optimize for economic outcomes, livelihood protection, or poverty reduction potential.</t>
  </si>
  <si>
    <t>Practitioner networks balancing plant protection with explicit livelihood preservation and economic optimization objectives.</t>
  </si>
  <si>
    <t>Regional variations in pest economic impacts, plant health business models, and poverty-pest management relationships.</t>
  </si>
  <si>
    <t>Economic impact training, livelihood-centered plant health approaches, and poverty-sensitive management strategies.</t>
  </si>
  <si>
    <t>Collaboration with Capacity Sharing Accelerator; Markets Program for business models.</t>
  </si>
  <si>
    <t>Monitoring systems rarely prioritize economic threats, livelihood impacts, or poverty implications of pest outbreaks.</t>
  </si>
  <si>
    <t>Advanced surveillance systems enabling economically-optimized pest management decisions that protect critical livelihood sources.</t>
  </si>
  <si>
    <t>Differences in monitoring economic integration, livelihood-threat assessment, and poverty-sensitive prioritization approaches.</t>
  </si>
  <si>
    <t>Economic impact modeling, livelihood vulnerability assessment, and poverty-sensitive prioritization frameworks.</t>
  </si>
  <si>
    <t>Partnership with Digital Accelerator for systems; Markets Program for value chain analysis.</t>
  </si>
  <si>
    <t>Prevention strategies rarely differentiate economic importance of crops, livelihood significance, or poverty reduction potential.</t>
  </si>
  <si>
    <t>Evidence-based prevention approaches explicitly prioritizing economic high-leverage points in agricultural systems.</t>
  </si>
  <si>
    <t>Regional variations in pest economic impacts, prevention return-on-investment potential, and poverty-sensitive prioritization.</t>
  </si>
  <si>
    <t>Economic prioritization frameworks, livelihood impact assessment tools, and poverty-focused prevention strategies.</t>
  </si>
  <si>
    <t>Integration with Markets Program for value chain analysis; Policy Program for implementation frameworks.</t>
  </si>
  <si>
    <t>Ecological approaches rarely optimize for economic returns, labor requirements, or poverty reduction potential.</t>
  </si>
  <si>
    <t>Integrated management systems balancing environmental sustainability with explicit economic optimization across farm types.</t>
  </si>
  <si>
    <t>Differences in ecological-economic integration, green market development, and poverty-sensitive IPM implementation.</t>
  </si>
  <si>
    <t>Economic return analysis for ecological approaches, livelihood impact assessment tools, and poverty reduction metrics.</t>
  </si>
  <si>
    <t>Collaboration with Biodiversity Program for approaches; Markets Program for economic analysis.</t>
  </si>
  <si>
    <t>Mycotoxin contamination creates significant economic losses through rejected exports, wasted production, and market access limitations.</t>
  </si>
  <si>
    <t>Effective monitoring systems enabling contamination prevention and ensuring market access across supply chains and contexts.</t>
  </si>
  <si>
    <t>Regional variations in economic mycotoxin impacts, market rejection risks, and value chain tracking capacity.</t>
  </si>
  <si>
    <t>Economic impact assessment, market access analysis, and value chain implementation methodologies.</t>
  </si>
  <si>
    <t>Partnership with Markets Program for value chain integration; Digital Accelerator for traceability systems.</t>
  </si>
  <si>
    <t>Water management innovations rarely optimize for economic returns, employment generation, or poverty reduction impact.</t>
  </si>
  <si>
    <t>Water technologies explicitly prioritized based on economic returns, job creation potential, and poverty reduction impact.</t>
  </si>
  <si>
    <t>Regional differences in water-economy relationships, irrigation investment returns, and poverty-water management connections.</t>
  </si>
  <si>
    <t>Economic return modeling, employment impact assessment, and poverty reduction prioritization methodologies.</t>
  </si>
  <si>
    <t>Collaboration with Markets Program for value chain analysis; Policy Program for investment frameworks.</t>
  </si>
  <si>
    <t>Current approaches rarely balance economic efficiency with equitable benefit distribution across social and economic groups.</t>
  </si>
  <si>
    <t>Inclusive water management systems optimizing both economic returns and equitable benefit distribution across contexts.</t>
  </si>
  <si>
    <t>Variations in water governance equity, economic stratification patterns, and poverty-inclusion relationships.</t>
  </si>
  <si>
    <t>Economic-social trade-off analysis, equity assessment methodologies, and inclusive benefit distribution strategies.</t>
  </si>
  <si>
    <t>Integration with Gender Program for equity frameworks; Markets Program for business models.</t>
  </si>
  <si>
    <t>Capacity development rarely emphasizes business models, economic analysis, or poverty-focused implementation strategies.</t>
  </si>
  <si>
    <t>Training resources enabling implementers to optimize water management for both economic returns and poverty reduction.</t>
  </si>
  <si>
    <t>Regional differences in business extension capacity, economic training infrastructure, and poverty-focused water education.</t>
  </si>
  <si>
    <t>Economic analysis training curricula, business model development tools, and poverty-sensitive advisory approaches.</t>
  </si>
  <si>
    <t>Water policy frameworks rarely optimize for economic returns, employment creation, or poverty reduction impacts.</t>
  </si>
  <si>
    <t>Evidence-based water policies explicitly balancing economic efficiency, social equity, and poverty reduction objectives.</t>
  </si>
  <si>
    <t>Differences in water governance approaches, economic policy integration, and poverty-sensitivity in resource allocation.</t>
  </si>
  <si>
    <t>Economic policy analysis, poverty impact assessment, and equity-efficiency trade-off methodologies.</t>
  </si>
  <si>
    <t>Strong integration with Policy Program; Markets Program for economic frameworks.</t>
  </si>
  <si>
    <t>Mechanization approaches rarely optimize for job creation, income enhancement, or poverty reduction alongside efficiency gains.</t>
  </si>
  <si>
    <t>Scale-appropriate mechanization options explicitly balancing labor displacement with income enhancement and new job creation.</t>
  </si>
  <si>
    <t>Regional variations in rural employment patterns, labor costs, and mechanization-poverty relationships.</t>
  </si>
  <si>
    <t>Labor impact assessment, income enhancement modeling, and employment-sensitive mechanization design approaches.</t>
  </si>
  <si>
    <t>Integration with Markets Program for business models; Policy Program for employment frameworks.</t>
  </si>
  <si>
    <t>Service models rarely optimize for inclusive economic growth, entrepreneurship development, or poverty reduction impact.</t>
  </si>
  <si>
    <t>Sustainable business approaches creating widely distributed economic benefits through inclusive mechanization service provision.</t>
  </si>
  <si>
    <t>Differences in rural enterprise environments, mechanization market development, and service-based poverty reduction potential.</t>
  </si>
  <si>
    <t>Inclusive business model design, rural enterprise development methodologies, and poverty impact assessment tools.</t>
  </si>
  <si>
    <t>Partnership with Markets Program for business development; Scaling Program for implementation.</t>
  </si>
  <si>
    <t>Technical training rarely emphasizes business development, entrepreneurship skills, or economic optimization strategies.</t>
  </si>
  <si>
    <t>Capacity resources enabling both technical mastery and successful enterprise development in mechanization services.</t>
  </si>
  <si>
    <t>Regional variations in business skill development infrastructure, entrepreneurship environments, and mechanization markets.</t>
  </si>
  <si>
    <t>Business development curricula, entrepreneurship training methodologies, and enterprise management resources.</t>
  </si>
  <si>
    <t>Integration with Capacity Sharing Accelerator; Markets Program for business content.</t>
  </si>
  <si>
    <t>Mechanization policy rarely optimizes for employment preservation, income enhancement, or poverty reduction alongside efficiency.</t>
  </si>
  <si>
    <t>Evidence-based policies explicitly balancing productivity gains with employment impacts and inclusive economic growth.</t>
  </si>
  <si>
    <t>Differences in employment policy environments, mechanization strategy economic focus, and poverty reduction frameworks.</t>
  </si>
  <si>
    <t>Employment impact analysis, income enhancement assessment, and inclusive growth policy development approaches.</t>
  </si>
  <si>
    <t>Strong integration with Policy Program; Markets Program for economic analysis.</t>
  </si>
  <si>
    <t>Farming system approaches rarely optimize for economic resilience, livelihood diversification, or poverty reduction pathways.</t>
  </si>
  <si>
    <t>Integrated innovation bundles explicitly designed to enhance income stability, employment generation, and poverty reduction.</t>
  </si>
  <si>
    <t>Regional variations in farming system economic integration, livelihood diversification opportunities, and poverty reduction pathways.</t>
  </si>
  <si>
    <t>Economic resilience modeling, livelihood diversification strategies, and poverty reduction pathway development methodologies.</t>
  </si>
  <si>
    <t>Collaboration with Markets Program for value chain integration; Scaling Program for business models.</t>
  </si>
  <si>
    <t>Design approaches rarely prioritize economic objectives, livelihood enhancement, or poverty reduction alongside agronomic goals.</t>
  </si>
  <si>
    <t>Co-creation methodologies explicitly incorporating economic priorities and livelihood objectives into farming system innovations.</t>
  </si>
  <si>
    <t>Differences in participatory economic integration, livelihood-centered design traditions, and poverty-focused innovation approaches.</t>
  </si>
  <si>
    <t>Economic priority elicitation tools, livelihood-centered design methodologies, and poverty-focused participatory frameworks.</t>
  </si>
  <si>
    <t>Partnership with Scaling Program for methodologies; Markets Program for value chain integration.</t>
  </si>
  <si>
    <t>Capacity development for system approaches rarely emphasizes business integration, economic analysis, or poverty reduction strategies.</t>
  </si>
  <si>
    <t>Training resources enabling practitioners to design and implement economically optimized farming system innovation bundles.</t>
  </si>
  <si>
    <t>Regional variations in business systems training, economic education infrastructure, and poverty-focused capacity development.</t>
  </si>
  <si>
    <t>Economic systems education curricula, business integration training, and poverty-focused implementation methodologies.</t>
  </si>
  <si>
    <t>Integration with Capacity Sharing Accelerator; Markets Program for business frameworks.</t>
  </si>
  <si>
    <t>Policy frameworks rarely integrate productivity, sustainability, and economic objectives in coherent system-level approaches.</t>
  </si>
  <si>
    <t>Evidence-based policies enabling and incentivizing economically optimized, integrated farming systems across contexts.</t>
  </si>
  <si>
    <t>Differences in policy environments, economic-environmental integration, and poverty reduction in agricultural strategies.</t>
  </si>
  <si>
    <t>Economic policy analysis, systems-level poverty assessment, and integrated agricultural strategy development approaches.</t>
  </si>
  <si>
    <t>Monitoring systems rarely track economic outcomes, livelihood impacts, or poverty reduction contributions alongside agronomic metrics.</t>
  </si>
  <si>
    <t>Comprehensive monitoring frameworks tracking both agricultural productivity and economic impacts across diverse contexts.</t>
  </si>
  <si>
    <t>Regional variations in economic indicator capacity, livelihood impact tracking, and poverty monitoring integration.</t>
  </si>
  <si>
    <t>Economic indicator development, livelihood impact assessment, and poverty reduction monitoring methodologies.</t>
  </si>
  <si>
    <t>Partnership with Digital Accelerator for systems; Markets Program for economic frameworks.</t>
  </si>
  <si>
    <t>Agricultural data systems rarely integrate economic indicators, market information, or poverty metrics with production data.</t>
  </si>
  <si>
    <t>Integrated data infrastructure connecting agricultural interventions to economic outcomes for evidence-based decision making.</t>
  </si>
  <si>
    <t>Differences in data infrastructure, economic-production data integration, and poverty data incorporation capacity.</t>
  </si>
  <si>
    <t>Economic data architecture, integrated indicator frameworks, and poverty-agricultural data linkage methodologies.</t>
  </si>
  <si>
    <t>Major collaboration with Digital Accelerator; Markets Program for economic data systems.</t>
  </si>
  <si>
    <t>Capacity approaches rarely bridge technical-economic divides, limiting business development alongside agronomic improvement.</t>
  </si>
  <si>
    <t>Innovative capacity systems enabling effective implementation of economically optimized agricultural approaches.</t>
  </si>
  <si>
    <t>Regional variations in business extension integration, economic capacity development, and entrepreneurship education.</t>
  </si>
  <si>
    <t>Integrated technical-business training methodologies, entrepreneurship development approaches, and economic capacity frameworks.</t>
  </si>
  <si>
    <t>Strong integration with Capacity Sharing Accelerator; Markets Program for business content.</t>
  </si>
  <si>
    <t>Partnership platforms rarely integrate economic actors, market systems, or poverty reduction initiatives effectively.</t>
  </si>
  <si>
    <t>Coordinated platforms enabling systematic scaling of integrated technical-economic solutions across diverse contexts.</t>
  </si>
  <si>
    <t>Differences in market-research coordination, economic stakeholder integration, and poverty-focused collaborative traditions.</t>
  </si>
  <si>
    <t>Market systems partnership methodologies, economic stakeholder mapping, and poverty-focused engagement strategies.</t>
  </si>
  <si>
    <t>Major collaboration with Scaling Program; Markets Program for value chain engagement.</t>
  </si>
  <si>
    <t>Policy engagement often separates technical and economic evidence, limiting integrated approaches to agricultural development.</t>
  </si>
  <si>
    <t>Systematic integration of farming systems evidence into economically-optimized agricultural policy across governance scales.</t>
  </si>
  <si>
    <t>Regional variations in policy-market interfaces, economic-technical integration, and poverty-focused governance approaches.</t>
  </si>
  <si>
    <t>Economic-technical policy analysis, integrated evidence synthesis, and poverty-focused communication strategies.</t>
  </si>
  <si>
    <t>Social inclusion Indicator</t>
  </si>
  <si>
    <t>Climate hazard research rarely differentiates impacts by gender, age, or social group, leading to exclusionary adaptation responses.</t>
  </si>
  <si>
    <t>Climate hazard analysis that explicitly captures differential vulnerability across gender, youth, and social groups enabling inclusive adaptation.</t>
  </si>
  <si>
    <t>Regional variations in gender norms, youth engagement in agriculture, and social stratification affecting hazard impacts.</t>
  </si>
  <si>
    <t>Gender-disaggregated hazard assessment methodologies, social inclusion frameworks, and differential vulnerability mapping.</t>
  </si>
  <si>
    <t>Collaboration with Gender Program for analytical frameworks; Nutrition Program for household impacts.</t>
  </si>
  <si>
    <t>Adaptation innovations often reinforce gender inequalities by focusing on male-dominated crops and practices while overlooking female priorities.</t>
  </si>
  <si>
    <t>Inclusive innovation portfolios addressing gender-specific vulnerabilities and strengthening agency of women, youth, and marginalized groups in adaptation.</t>
  </si>
  <si>
    <t>Differences in gender roles in agriculture, youth engagement patterns, and social exclusion dynamics across regions.</t>
  </si>
  <si>
    <t>Gender-transformative innovation design methodologies, youth engagement strategies, and social inclusion testing protocols.</t>
  </si>
  <si>
    <t>Integration with Gender Program for inclusive innovation; Youth Program for targeted approaches.</t>
  </si>
  <si>
    <t>Climate extension materials often fail to address differentiated learning needs or access constraints across gender and social groups.</t>
  </si>
  <si>
    <t>Inclusive training resources addressing diverse learning needs and enabling equitable participation in climate adaptation implementation.</t>
  </si>
  <si>
    <t>Regional variations in literacy rates, gender-based mobility restrictions, and youth engagement in agricultural learning.</t>
  </si>
  <si>
    <t>Gender-responsive training design, youth-focused content development, and accessible material creation methodologies.</t>
  </si>
  <si>
    <t>Partnership with Capacity Sharing Accelerator; Gender Program for inclusive methodologies.</t>
  </si>
  <si>
    <t>Climate policy frameworks rarely address gender inequality, youth exclusion, or social marginalization in adaptation planning.</t>
  </si>
  <si>
    <t>Evidence-based climate policies explicitly addressing gender transformation, youth opportunity, and social inclusion in agricultural adaptation.</t>
  </si>
  <si>
    <t>Differences in policy environments, gender integration in governance, and youth representation in decision-making.</t>
  </si>
  <si>
    <t>Gender-responsive policy analysis, youth opportunity assessment, and social inclusion evidence synthesis methodologies.</t>
  </si>
  <si>
    <t>Strong integration with Policy Program; Gender Program for analytical frameworks.</t>
  </si>
  <si>
    <t>Nutrient management technologies often reflect and reinforce gender divides in resource access and decision-making power.</t>
  </si>
  <si>
    <t>Gender-transformative, youth-inclusive recommendation systems that address differentiated constraints and strengthen agency in soil management.</t>
  </si>
  <si>
    <t>Regional variations in gender roles in soil management, youth engagement in technology, and social stratification in resource access.</t>
  </si>
  <si>
    <t>Gender-responsive modeling approaches, youth engagement methodologies, and social inclusion assessment frameworks.</t>
  </si>
  <si>
    <t>Integration with Digital Accelerator for gender-inclusive design; Gender Program for analytical frameworks.</t>
  </si>
  <si>
    <t>Digital advisory services often exacerbate gender and social divides through design and delivery approaches that favor privileged groups.</t>
  </si>
  <si>
    <t>Inclusive advisory systems that bridge rather than widen digital divides and enable equitable participation in precision agriculture.</t>
  </si>
  <si>
    <t>Differences in digital access patterns, gender technology gaps, and youth engagement in digital agriculture across regions.</t>
  </si>
  <si>
    <t>Gender-responsive digital design, youth engagement strategies, and social inclusion testing methodologies.</t>
  </si>
  <si>
    <t>Collaboration with Digital Accelerator for inclusive interfaces; Gender Program for analytical frameworks.</t>
  </si>
  <si>
    <t>Nutrient management training often reinforces gender inequalities through content and delivery approaches that exclude women and marginalized groups.</t>
  </si>
  <si>
    <t>Inclusive capacity development resources that transform rather than reinforce gender inequalities in agricultural knowledge and practice.</t>
  </si>
  <si>
    <t>Regional variations in literacy rates, gender-based mobility restrictions, and youth engagement in agricultural training.</t>
  </si>
  <si>
    <t>Gender-transformative training design, youth-focused content development, and socially inclusive delivery methodologies.</t>
  </si>
  <si>
    <t>Partnership with Capacity Sharing Accelerator; Gender Program for inclusive approaches.</t>
  </si>
  <si>
    <t>Fertilizer policy frameworks rarely address gender inequality or social exclusion in input access and usage.</t>
  </si>
  <si>
    <t>Evidence-based input policies explicitly addressing gender transformation and social inclusion in agricultural resource distribution.</t>
  </si>
  <si>
    <t>Differences in policy environments, gender integration in agricultural governance, and social equity in input distribution.</t>
  </si>
  <si>
    <t>Gender-responsive policy analysis, equity assessment methodologies, and inclusion-focused evidence synthesis.</t>
  </si>
  <si>
    <t>Soil monitoring approaches often reflect and reinforce gender divides in knowledge systems and decision-making authority.</t>
  </si>
  <si>
    <t>Inclusive soil health frameworks that integrate diverse knowledge systems and enable equitable participation in soil management.</t>
  </si>
  <si>
    <t>Regional variations in gender roles in soil knowledge, youth engagement in monitoring, and social stratification in land management.</t>
  </si>
  <si>
    <t>Gender-responsive monitoring design, youth engagement strategies, and social inclusion assessment methodologies.</t>
  </si>
  <si>
    <t>Collaboration with Digital Accelerator for inclusive systems; Gender Program for analytical frameworks.</t>
  </si>
  <si>
    <t>Research networks often marginalize female researchers, indigenous knowledge systems, and youth engagement in scientific processes.</t>
  </si>
  <si>
    <t>Inclusive research networks that transform rather than reinforce gender and social inequalities in agricultural science and knowledge creation.</t>
  </si>
  <si>
    <t>Differences in gender representation in agricultural science, youth engagement in research, and validation of indigenous knowledge.</t>
  </si>
  <si>
    <t>Gender-balanced research design, youth scientist development, and inclusive knowledge co-creation methodologies.</t>
  </si>
  <si>
    <t>Partnership with Capacity Sharing Accelerator for inclusive science; Gender Program for frameworks.</t>
  </si>
  <si>
    <t>Impact assessment rarely disaggregates by gender, age, or social group, obscuring differentiated effects of agricultural interventions.</t>
  </si>
  <si>
    <t>Comprehensive evidence base explicitly documenting differentiated impacts across gender, age, and social groups to guide inclusive agriculture.</t>
  </si>
  <si>
    <t>Regional variations in gender impact patterns, youth engagement effects, and social differentiation in agricultural outcomes.</t>
  </si>
  <si>
    <t>Gender-disaggregated impact assessment, youth-specific indicators, and social inclusion measurement methodologies.</t>
  </si>
  <si>
    <t>Integration with MELIA systems across Programs; Gender Program for analytical frameworks.</t>
  </si>
  <si>
    <t>Policy communication often fails to reach female policymakers, youth advocates, or representatives of marginalized groups.</t>
  </si>
  <si>
    <t>Inclusive policy engagement explicitly addressing diversity in policy audiences and enabling equitable participation in evidence-based governance.</t>
  </si>
  <si>
    <t>Differences in gender representation in agricultural governance, youth leadership in policy, and social diversity in decision-making.</t>
  </si>
  <si>
    <t>Gender-responsive communication strategies, youth engagement approaches, and inclusive policy dialogue methodologies.</t>
  </si>
  <si>
    <t>Partnership with Policy Program; Communications for inclusive strategies.</t>
  </si>
  <si>
    <t>Plant health systems often marginalize female practitioners, traditional knowledge holders, and youth engagement in pest management.</t>
  </si>
  <si>
    <t>Inclusive practitioner networks that value diverse knowledge systems and enable equitable participation across gender, age, and social groups.</t>
  </si>
  <si>
    <t>Regional variations in gender roles in pest management, youth engagement in plant health, and social validation of knowledge systems.</t>
  </si>
  <si>
    <t>Gender-balanced network development, youth engagement strategies, and inclusive knowledge validation methodologies.</t>
  </si>
  <si>
    <t>Collaboration with Capacity Sharing Accelerator; Gender Program for inclusive frameworks.</t>
  </si>
  <si>
    <t>Digital pest monitoring tools often reflect and reinforce gender divides in technology access and information control.</t>
  </si>
  <si>
    <t>Inclusive monitoring systems that bridge rather than widen digital divides and enable equitable participation in plant health management.</t>
  </si>
  <si>
    <t>Partnership with Digital Accelerator for inclusive interfaces; Gender Program for frameworks.</t>
  </si>
  <si>
    <t>Pest management strategies often overlook differentiated impacts and implementation constraints across gender and social groups.</t>
  </si>
  <si>
    <t>Inclusive prevention approaches explicitly addressing diversity in pest management roles, constraints, and priorities across social boundaries.</t>
  </si>
  <si>
    <t>Regional variations in gender roles in pest control, youth engagement in surveillance, and social differentiation in management capacity.</t>
  </si>
  <si>
    <t>Gender-responsive strategy design, youth engagement approaches, and social inclusion assessment methodologies.</t>
  </si>
  <si>
    <t>Integration with Scaling Program for inclusive deployment; Gender Program for frameworks.</t>
  </si>
  <si>
    <t>Ecological pest management approaches often fail to address gender-specific constraints, priorities, and knowledge systems.</t>
  </si>
  <si>
    <t>Gender-transformative IPM approaches that build on diverse knowledge systems and enable equitable participation in implementation.</t>
  </si>
  <si>
    <t>Differences in gender roles in pest management, youth engagement in ecological approaches, and social differentiation in knowledge validation.</t>
  </si>
  <si>
    <t>Gender-responsive IPM design, youth engagement strategies, and inclusive knowledge co-creation methodologies.</t>
  </si>
  <si>
    <t>Collaboration with Biodiversity Program for ecological approaches; Gender Program for frameworks.</t>
  </si>
  <si>
    <t>Food safety interventions often overlook gender-specific roles, constraints, and priorities in post-harvest management.</t>
  </si>
  <si>
    <t>Inclusive food safety systems explicitly addressing differentiated roles and enabling equitable participation in quality management.</t>
  </si>
  <si>
    <t>Regional variations in gender roles in post-harvest handling, youth engagement in technology, and social differentiation in value chains.</t>
  </si>
  <si>
    <t>Gender-responsive traceability design, youth engagement approaches, and socially inclusive testing methodologies.</t>
  </si>
  <si>
    <t>Partnership with Markets Program for inclusive value chains; Gender Program for frameworks.</t>
  </si>
  <si>
    <t>Water technologies often reflect and reinforce gender divides in resource access, labor burden, and decision-making authority.</t>
  </si>
  <si>
    <t>Gender-transformative water innovations explicitly addressing inequities in access, burden, and control while enabling inclusive adaptation.</t>
  </si>
  <si>
    <t>Regional variations in gender roles in water management, youth engagement in innovation, and social stratification in resource governance.</t>
  </si>
  <si>
    <t>Gender-responsive innovation assessment, youth engagement strategies, and social inclusion prioritization methodologies.</t>
  </si>
  <si>
    <t>Collaboration with Gender Program for analytical frameworks; Markets Program for delivery models.</t>
  </si>
  <si>
    <t>Water governance systems often marginalize women, youth, and disadvantaged groups in decision-making processes.</t>
  </si>
  <si>
    <t>Inclusive governance models that transform rather than reinforce power inequalities in resource management and allocation.</t>
  </si>
  <si>
    <t>Differences in gender representation in water governance, youth leadership opportunities, and social equity in decision power.</t>
  </si>
  <si>
    <t>Gender-transformative governance design, youth engagement methodologies, and inclusive decision-making frameworks.</t>
  </si>
  <si>
    <t>Integration with Gender Program for institutional approaches; Policy Program for governance frameworks.</t>
  </si>
  <si>
    <t>Water management training often reinforces gender inequalities through content and delivery approaches that exclude women and marginalized groups.</t>
  </si>
  <si>
    <t>Inclusive capacity development resources that transform rather than reinforce gender inequalities in water knowledge and practice.</t>
  </si>
  <si>
    <t>Regional variations in literacy rates, gender-based mobility restrictions, and youth engagement in water management training.</t>
  </si>
  <si>
    <t>Water policy frameworks rarely address gender inequality, youth exclusion, or social marginalization in resource governance.</t>
  </si>
  <si>
    <t>Evidence-based water policies explicitly addressing gender transformation, youth opportunity, and social inclusion in agricultural water management.</t>
  </si>
  <si>
    <t>Differences in policy environments, gender integration in water governance, and youth representation in decision-making.</t>
  </si>
  <si>
    <t>Mechanization often displaces female labor while increasing male control over productive resources and benefits.</t>
  </si>
  <si>
    <t>Gender-transformative, youth-inclusive mechanization options that reduce drudgery while enhancing equity in resource control and benefit.</t>
  </si>
  <si>
    <t>Regional variations in gender roles in agriculture, youth employment in mechanization, and social access to technological resources.</t>
  </si>
  <si>
    <t>Gender-responsive mechanization design, youth employment strategies, and social inclusion assessment methodologies.</t>
  </si>
  <si>
    <t>Integration with Gender Program for transformative approaches; Markets Program for business models.</t>
  </si>
  <si>
    <t>Service delivery models often marginalize female farmers, youth entrepreneurs, and disadvantaged communities.</t>
  </si>
  <si>
    <t>Inclusive business models that enable equitable participation in service provision and access across gender, age, and social boundaries.</t>
  </si>
  <si>
    <t>Differences in female entrepreneurship environments, youth business opportunities, and social barriers to service access.</t>
  </si>
  <si>
    <t>Gender-responsive business model design, youth entrepreneurship strategies, and inclusive service testing methodologies.</t>
  </si>
  <si>
    <t>Partnership with Markets Program for inclusive business development; Gender Program for frameworks.</t>
  </si>
  <si>
    <t>Technical training often reinforces gender divides through male-focused content, delivery approaches, and exclusionary skill validation.</t>
  </si>
  <si>
    <t>Inclusive technical education explicitly addressing gender barriers and enabling equitable participation in mechanization skills development.</t>
  </si>
  <si>
    <t>Regional variations in technical education access, gender norms in mechanical skills, and youth engagement in vocational training.</t>
  </si>
  <si>
    <t>Gender-transformative training design, youth-focused skills development, and inclusive certification methodologies.</t>
  </si>
  <si>
    <t>Integration with Capacity Sharing Accelerator; Gender Program for inclusive approaches.</t>
  </si>
  <si>
    <t>Mechanization policy rarely addresses gender dimensions, youth employment potential, or social equity in technology access.</t>
  </si>
  <si>
    <t>Evidence-based policies explicitly promoting gender-transformative, youth-inclusive, and socially equitable mechanization pathways.</t>
  </si>
  <si>
    <t>Differences in policy environments, gender integration in agricultural technology, and youth emphasis in rural development.</t>
  </si>
  <si>
    <t>Farming system innovation often reflects male decision-making priorities while overlooking female and youth objectives and constraints.</t>
  </si>
  <si>
    <t>Inclusive innovation bundles explicitly addressing diversity in priorities, constraints, and roles across gender, age, and social boundaries.</t>
  </si>
  <si>
    <t>Regional variations in gender roles in farming systems, youth engagement in agriculture, and social differentiation in decision power.</t>
  </si>
  <si>
    <t>Gender-responsive systems design, youth engagement strategies, and social inclusion assessment methodologies.</t>
  </si>
  <si>
    <t>Collaboration with Gender Program for inclusive frameworks; Markets Program for value chain integration.</t>
  </si>
  <si>
    <t>Design methodologies often privilege male perspectives while systematically excluding female voices, youth priorities, and marginalized viewpoints.</t>
  </si>
  <si>
    <t>Inclusive co-creation approaches explicitly centering diverse perspectives and enabling equitable participation in innovation processes.</t>
  </si>
  <si>
    <t>Differences in gender voice in community settings, youth integration in participatory processes, and social power in design activities.</t>
  </si>
  <si>
    <t>Gender-transformative design methodologies, youth engagement strategies, and power-aware facilitation approaches.</t>
  </si>
  <si>
    <t>Partnership with Scaling Program for methodologies; Gender Program for inclusive frameworks.</t>
  </si>
  <si>
    <t>Systems training often reinforces gender divides through male-focused content, delivery approaches, and exclusionary knowledge validation.</t>
  </si>
  <si>
    <t>Inclusive capacity development resources explicitly addressing power dynamics and enabling equitable participation in systems innovation.</t>
  </si>
  <si>
    <t>Regional variations in education access, gender norms in knowledge systems, and youth engagement in agricultural learning.</t>
  </si>
  <si>
    <t>Gender-transformative training design, youth-focused content development, and power-aware delivery methodologies.</t>
  </si>
  <si>
    <t>Integrated policy frameworks rarely address gender dimensions, youth priorities, or social equity in farming systems development.</t>
  </si>
  <si>
    <t>Evidence-based policies explicitly promoting gender-transformative, youth-inclusive, and socially equitable agricultural systems.</t>
  </si>
  <si>
    <t>Differences in policy environments, gender integration in agricultural planning, and youth emphasis in rural development.</t>
  </si>
  <si>
    <t>Monitoring systems often fail to capture gender-differentiated outcomes, youth impacts, or effects on marginalized groups.</t>
  </si>
  <si>
    <t>Inclusive MELIA frameworks explicitly tracking outcomes across gender, age, and social boundaries to guide equitable agricultural development.</t>
  </si>
  <si>
    <t>Regional variations in gender-disaggregated data capacity, youth indicator development, and social inclusion metrics.</t>
  </si>
  <si>
    <t>Gender-responsive indicator development, youth outcome measurement, and social inclusion assessment methodologies.</t>
  </si>
  <si>
    <t>Partnership with MELIA systems across Programs; Gender Program for frameworks.</t>
  </si>
  <si>
    <t>Data systems often perpetuate gender biases through collection approaches, indicator selection, and analytical frameworks.</t>
  </si>
  <si>
    <t>Inclusive data infrastructure explicitly addressing gender bias, youth representation, and social equity in agricultural information systems.</t>
  </si>
  <si>
    <t>Differences in gender-disaggregated data availability, youth-specific metrics, and social inclusion indicators across regions.</t>
  </si>
  <si>
    <t>Gender-responsive data architecture, youth indicator frameworks, and inclusive analytical methodologies.</t>
  </si>
  <si>
    <t>Major collaboration with Digital Accelerator; Gender Program for indicator frameworks.</t>
  </si>
  <si>
    <t>Capacity approaches often reinforce gender divides through inequitable opportunity distribution, exclusionary content, and biased delivery.</t>
  </si>
  <si>
    <t>Innovative capacity models explicitly addressing structural barriers and enabling transformative participation across gender, age, and social boundaries.</t>
  </si>
  <si>
    <t>Regional variations in education access, gender norms in learning, and youth engagement in capacity development.</t>
  </si>
  <si>
    <t>Gender-transformative education design, youth learning strategies, and inclusive delivery methodologies.</t>
  </si>
  <si>
    <t>Strong integration with Capacity Sharing Accelerator; Gender Program for frameworks.</t>
  </si>
  <si>
    <t>Partnership platforms often reproduce societal power imbalances by privileging male-dominated institutions and established power centers.</t>
  </si>
  <si>
    <t>Inclusive partnership models explicitly addressing power dynamics and enabling equitable participation in agricultural development governance.</t>
  </si>
  <si>
    <t>Differences in gender representation in organizations, youth leadership in partnerships, and social diversity in agricultural platforms.</t>
  </si>
  <si>
    <t>Gender-balanced partnership design, youth engagement strategies, and power-aware facilitation methodologies.</t>
  </si>
  <si>
    <t>Major collaboration with Scaling Program; Gender Program for inclusive frameworks.</t>
  </si>
  <si>
    <t>Policy processes often exclude female perspectives, youth priorities, and marginalized voices from agricultural evidence and decision-making.</t>
  </si>
  <si>
    <t>Inclusive policy engagement explicitly addressing power dynamics and enabling equitable participation in evidence-based agricultural governance.</t>
  </si>
  <si>
    <t>Regional variations in gender representation in policy, youth voice in governance, and social diversity in decision-making.</t>
  </si>
  <si>
    <t>Gender-responsive policy communication, youth engagement strategies, and inclusive dialogue methodologies.</t>
  </si>
  <si>
    <t>Strong integration with Policy Program; Gender Program for inclusive frameworks.</t>
  </si>
  <si>
    <t>Climate adaptation Indicator</t>
  </si>
  <si>
    <t>Climate hazards are poorly quantified at local scales, with limited connection to agronomic impacts, resulting in ineffective adaptation strategies.</t>
  </si>
  <si>
    <t>Locally-relevant climate hazard data integrated with agronomic systems for evidence-based adaptation planning and implementation across diverse farming systems.</t>
  </si>
  <si>
    <t>Regions differ in climate data availability, monitoring infrastructure, and severity of climate hazards.</t>
  </si>
  <si>
    <t>Advanced climate modeling capacity, downscaling expertise, and agronomic impact assessment methodologies.</t>
  </si>
  <si>
    <t>Coordination with Digital Accelerator for data infrastructure; collaboration with Policies Program for implementation frameworks.</t>
  </si>
  <si>
    <t>Current adaptation practices are fragmented, often not inclusive, and lack evidence of effectiveness at scale for specific climate hazards.</t>
  </si>
  <si>
    <t>Comprehensive portfolio of proven, gender-inclusive adaptation innovations tailored to specific climate hazards and farming systems with quantified mitigation co-benefits.</t>
  </si>
  <si>
    <t>Regional differences in farming systems vulnerability, institutional support, and current adaptation practices.</t>
  </si>
  <si>
    <t>Participatory innovation testing frameworks, mitigation measurement tools, and inclusive research approaches.</t>
  </si>
  <si>
    <t>Integration with Scaling Program for deployment; Gender Program for inclusive innovation design; Digital Accelerator for monitoring systems.</t>
  </si>
  <si>
    <t>Training resources on climate-smart agriculture are generic, not context-specific, and often fail to reach the most vulnerable farmers.</t>
  </si>
  <si>
    <t>Comprehensive, accessible, and locally-relevant training materials enabling diverse stakeholders to implement effective climate solutions.</t>
  </si>
  <si>
    <t>Differences in educational access, extension system capacity, and existing training infrastructure.</t>
  </si>
  <si>
    <t>Adult education expertise, multimedia content development skills, and knowledge of local contexts and languages.</t>
  </si>
  <si>
    <t>Collaboration with Capacity Sharing Accelerator for delivery systems; Scaling Program for distribution channels.</t>
  </si>
  <si>
    <t>Climate policy frameworks often lack specific, evidence-based agricultural adaptation guidance, leading to poor investment allocation.</t>
  </si>
  <si>
    <t>Robust, implementable policy frameworks guiding climate-smart agricultural investments based on quantified adaptation and mitigation impacts.</t>
  </si>
  <si>
    <t>Variations in policy environments, institutional capacity, and climate finance readiness across regions.</t>
  </si>
  <si>
    <t>Policy analysis capabilities, economic modeling expertise, and investment case development skills.</t>
  </si>
  <si>
    <t>Strong linkage with Policies Program for analysis; Foresight services for scenario planning.</t>
  </si>
  <si>
    <t>Limited site-specific nutrient management leads to inefficient fertilizer use, contributing to emissions and reduced climate resilience.</t>
  </si>
  <si>
    <t>Precision nutrient management systems optimizing fertilizer use for productivity while minimizing N‚ÇÇO emissions and building system resilience.</t>
  </si>
  <si>
    <t>Regional differences in fertilizer access, soil mapping capacity, and nutrient-specific climate vulnerabilities.</t>
  </si>
  <si>
    <t>Advanced modeling capacity, soil mapping expertise, and ROI analysis capabilities.</t>
  </si>
  <si>
    <t>Integration with Digital Accelerator for data systems; Scaling Program for advisory service delivery.</t>
  </si>
  <si>
    <t>Current nutrient recommendations rarely incorporate climate factors, soil health, or long-term sustainability considerations.</t>
  </si>
  <si>
    <t>Integrated nutrient advisory systems optimizing productivity, climate resilience, and environmental health across diverse farming contexts.</t>
  </si>
  <si>
    <t>Differences in data availability, advisory service capacity, and climate-specific nutrient dynamics.</t>
  </si>
  <si>
    <t>Climate-nutrient interaction models, soil health assessment tools, and advisory system algorithms.</t>
  </si>
  <si>
    <t>Collaboration with Soil Health AoW for integration; Digital Accelerator for data systems.</t>
  </si>
  <si>
    <t>Generic nutrient management training fails to address climate-specific challenges or mitigation opportunities through precision approaches.</t>
  </si>
  <si>
    <t>Capacity development resources enabling context-specific implementation of climate-smart nutrient management across stakeholder groups.</t>
  </si>
  <si>
    <t>Regional variations in extension systems, educational levels, and private sector engagement in nutrient management.</t>
  </si>
  <si>
    <t>Adult education expertise, technical training development skills, and knowledge translation capabilities.</t>
  </si>
  <si>
    <t>Partnership with Capacity Sharing Accelerator for delivery; Private sector for implementation.</t>
  </si>
  <si>
    <t>Policy frameworks rarely incentivize climate-smart nutrient practices, missing mitigation and adaptation opportunities.</t>
  </si>
  <si>
    <t>Evidence-based policies that promote climate-optimized nutrient management through appropriate incentives, regulations, and support programs.</t>
  </si>
  <si>
    <t>Differences in policy environments, subsidy systems, and climate policy integration across regions.</t>
  </si>
  <si>
    <t>Policy analysis expertise, economic assessment capabilities, and stakeholder engagement skills.</t>
  </si>
  <si>
    <t>Strong integration with Policies Program for analysis and recommendations.</t>
  </si>
  <si>
    <t>Soil health monitoring systems rarely include climate-relevant indicators or support adaptation/mitigation decision-making.</t>
  </si>
  <si>
    <t>Comprehensive soil monitoring systems tracking climate-relevant indicators and supporting data-driven decisions for adaptation and carbon sequestration.</t>
  </si>
  <si>
    <t>Regional variations in soil monitoring infrastructure, technical capacity, and climate-soil interaction priorities.</t>
  </si>
  <si>
    <t>Soil health indicator expertise, digital monitoring systems, and advanced analytical capabilities.</t>
  </si>
  <si>
    <t>Collaboration with Digital Accelerator for data architecture; Scaling Program for implementation.</t>
  </si>
  <si>
    <t>Insufficient long-term data on agricultural carbon sequestration potential limits climate mitigation planning and implementation.</t>
  </si>
  <si>
    <t>Robust network providing verified data on carbon sequestration potential across diverse agricultural systems to guide climate investments.</t>
  </si>
  <si>
    <t>Differences in existing research infrastructure, agroecological diversity, and carbon sequestration priorities.</t>
  </si>
  <si>
    <t>Site selection expertise, standardized monitoring protocols, and long-term experimental design capabilities.</t>
  </si>
  <si>
    <t>Partnership with Environmental Health Program for monitoring; Climate Change Program for integration.</t>
  </si>
  <si>
    <t>Limited systematic evidence on climate impacts of agricultural practices hinders effective adaptation and mitigation investments.</t>
  </si>
  <si>
    <t>Comprehensive evidence base quantifying adaptation and mitigation impacts of practices across contexts to guide climate-smart agriculture scaling.</t>
  </si>
  <si>
    <t>Regional differences in research coverage, practice adoption patterns, and climate-specific priorities.</t>
  </si>
  <si>
    <t>Meta-analysis capabilities, impact assessment methodologies, and systematic review expertise.</t>
  </si>
  <si>
    <t>Integration with Foresight services for scenario modeling; Scaling Program for implementation pathways.</t>
  </si>
  <si>
    <t>Policy frameworks rarely prioritize soil health for climate resilience or mitigation due to knowledge translation gaps.</t>
  </si>
  <si>
    <t>Soil health integrated into climate policy frameworks based on accessible evidence demonstrating adaptation and mitigation benefits.</t>
  </si>
  <si>
    <t>Variations in policy environments, knowledge transmission systems, and prioritization of soil health in climate agendas.</t>
  </si>
  <si>
    <t>Science communication expertise, policy analysis skills, and stakeholder engagement capabilities.</t>
  </si>
  <si>
    <t>Partnership with Policy Program for translation; Communications for dissemination strategies.</t>
  </si>
  <si>
    <t>Insufficient capacity to address emerging climate-driven pest and disease threats undermines agricultural resilience.</t>
  </si>
  <si>
    <t>Robust practitioner networks equipped to monitor, predict, and manage climate-induced shifts in pest and disease pressure.</t>
  </si>
  <si>
    <t>Regional differences in existing plant health systems, emerging climate-driven threats, and surveillance capacity.</t>
  </si>
  <si>
    <t>Network development expertise, capacity assessment methodologies, and training program design skills.</t>
  </si>
  <si>
    <t>Collaboration with Capacity Development Accelerator; Digital Accelerator for surveillance tools.</t>
  </si>
  <si>
    <t>Early warning systems for climate-driven pest and disease outbreaks are underdeveloped, limiting adaptive response capacity.</t>
  </si>
  <si>
    <t>Advanced surveillance systems predicting climate-influenced pest and disease dynamics to enable proactive adaptation responses.</t>
  </si>
  <si>
    <t>Differences in monitoring infrastructure, data availability, and climate-pest modeling capacity.</t>
  </si>
  <si>
    <t>AI/ML expertise, surveillance technology development capabilities, and predictive modeling skills.</t>
  </si>
  <si>
    <t>Partnership with Digital Accelerator for technology; Climate Change Program for climate projections.</t>
  </si>
  <si>
    <t>Limited translation of pest/disease intelligence into climate-adaptive prevention strategies undermines resilience.</t>
  </si>
  <si>
    <t>Evidence-based prevention strategies informed by climate-pest dynamics data enabling proactive adaptation at multiple scales.</t>
  </si>
  <si>
    <t>Regional variations in data utilization capacity, prevention infrastructure, and climate-pest policy priorities.</t>
  </si>
  <si>
    <t>Data synthesis expertise, prevention strategy design skills, and policy brief development capabilities.</t>
  </si>
  <si>
    <t>Integration with Scaling Program for deployment; Policy Program for implementation frameworks.</t>
  </si>
  <si>
    <t>Chemical-intensive pest management approaches increase vulnerability to climate disruptions and undermine ecosystem resilience.</t>
  </si>
  <si>
    <t>Ecological pest management approaches that build system resilience to climate stresses while reducing environmental impacts.</t>
  </si>
  <si>
    <t>Differences in current management approaches, agroecological contexts, and climate-specific pest challenges.</t>
  </si>
  <si>
    <t>Agroecological expertise, participatory testing methodologies, and integrated management design skills.</t>
  </si>
  <si>
    <t>Collaboration with Biodiversity Program for ecological approaches; Scaling Program for deployment.</t>
  </si>
  <si>
    <t>Climate change is increasing mycotoxin contamination risks with limited monitoring systems to guide adaptation responses.</t>
  </si>
  <si>
    <t>Effective mycotoxin monitoring systems enabling climate-adaptive management strategies to ensure food safety under changing conditions.</t>
  </si>
  <si>
    <t>Regional differences in mycotoxin prevalence, climate-driven contamination risks, and monitoring capacity.</t>
  </si>
  <si>
    <t>Detection technology expertise, traceability system design capabilities, and validation methodology skills.</t>
  </si>
  <si>
    <t>Partnership with Food Safety initiatives; Digital Accelerator for traceability systems.</t>
  </si>
  <si>
    <t>Water-related climate risks are inadequately mapped to adaptation solutions, limiting effective response deployment.</t>
  </si>
  <si>
    <t>Spatially-explicit matching of water management solutions to specific climate risks across diverse contexts for targeted adaptation investments.</t>
  </si>
  <si>
    <t>Regional variations in water-related climate risks, solution appropriateness, and implementation capacity.</t>
  </si>
  <si>
    <t>Spatial analysis expertise, water innovation assessment methodologies, and prioritization framework development skills.</t>
  </si>
  <si>
    <t>Collaboration with Climate Program for risk assessment; Digital Accelerator for mapping tools.</t>
  </si>
  <si>
    <t>Current water adaptation approaches often fail to address gender and social inclusion, limiting effectiveness and exacerbating vulnerability.</t>
  </si>
  <si>
    <t>Inclusive water management solutions that address differentiated climate vulnerabilities and ensure equitable adaptation benefits.</t>
  </si>
  <si>
    <t>Differences in social structures, gender dynamics, and inclusivity of existing water management approaches.</t>
  </si>
  <si>
    <t>Gender analysis expertise, participatory design methodologies, and inclusive innovation development skills.</t>
  </si>
  <si>
    <t>Integration with Gender Program for analysis; Scaling Program for inclusive deployment.</t>
  </si>
  <si>
    <t>Limited capacity development resources for climate-adaptive water management constrains adoption of resilience-building approaches.</t>
  </si>
  <si>
    <t>Comprehensive training resources enabling diverse stakeholders to implement climate-adaptive water management solutions.</t>
  </si>
  <si>
    <t>Regional differences in water education infrastructure, stakeholder capacity needs, and climate-water priorities.</t>
  </si>
  <si>
    <t>Education material development expertise, knowledge translation skills, and adult learning methodologies.</t>
  </si>
  <si>
    <t>Partnership with Capacity Sharing Accelerator; Digital tools for innovative delivery methods.</t>
  </si>
  <si>
    <t>Water policy frameworks inadequately address climate adaptation needs, limiting coordinated and effective responses.</t>
  </si>
  <si>
    <t>Evidence-based water policies that enable climate-adaptive agricultural water management across scales and contexts.</t>
  </si>
  <si>
    <t>Variations in water governance systems, policy environments, and climate-water priorities across regions.</t>
  </si>
  <si>
    <t>Policy analysis expertise, evidence synthesis capabilities, and stakeholder engagement skills.</t>
  </si>
  <si>
    <t>Strong integration with Policy Program; Scaling Program for implementation frameworks.</t>
  </si>
  <si>
    <t>Mechanization approaches rarely optimize for climate resilience, emissions reduction, or inclusive adaptation benefits.</t>
  </si>
  <si>
    <t>Climate-smart, inclusive mechanization options enhancing resource efficiency while building resilience and reducing emissions.</t>
  </si>
  <si>
    <t>Regional differences in mechanization levels, energy access, and climate-specific mechanization needs.</t>
  </si>
  <si>
    <t>Engineering design expertise, gender-responsive mechanization approaches, and efficiency assessment methodologies.</t>
  </si>
  <si>
    <t>Collaboration with Gender Program for inclusive design; Energy initiatives for low-emission approaches.</t>
  </si>
  <si>
    <t>Weak service delivery models limit access to climate-adaptive mechanization, particularly for vulnerable farmers.</t>
  </si>
  <si>
    <t>Sustainable business models enabling widespread access to climate-smart mechanization services across diverse farming contexts.</t>
  </si>
  <si>
    <t>Variations in market development, service provision infrastructure, and demand for climate-adaptive mechanization.</t>
  </si>
  <si>
    <t>Business model design expertise, service system assessment methodologies, and validation approach skills.</t>
  </si>
  <si>
    <t>Partnership with Scaling Program for delivery; Digital Accelerator for service platforms.</t>
  </si>
  <si>
    <t>Limited capacity development resources constrain adoption of climate-smart mechanization approaches across stakeholder groups.</t>
  </si>
  <si>
    <t>Comprehensive training materials enabling diverse stakeholders to implement climate-adaptive mechanization solutions.</t>
  </si>
  <si>
    <t>Differences in technical education infrastructure, stakeholder capacity needs, and prioritized mechanization approaches.</t>
  </si>
  <si>
    <t>Training material development expertise, knowledge translation skills, and multi-stakeholder education methodologies.</t>
  </si>
  <si>
    <t>Collaboration with Capacity Sharing Accelerator; Vocational training institutions.</t>
  </si>
  <si>
    <t>Policy frameworks rarely optimize mechanization approaches for climate adaptation, mitigation, or inclusive resilience.</t>
  </si>
  <si>
    <t>Evidence-based policies promoting climate-smart, inclusive mechanization appropriately scaled for diverse contexts.</t>
  </si>
  <si>
    <t>Regional variations in mechanization policy environments, climate-policy integration, and social inclusion priorities.</t>
  </si>
  <si>
    <t>Integration with Policy Program for analysis; Gender Program for inclusive approaches.</t>
  </si>
  <si>
    <t>Fragmented adaptation approaches fail to address system-level climate vulnerabilities or capture synergistic resilience benefits.</t>
  </si>
  <si>
    <t>Integrated whole-farm innovation bundles optimized for context-specific climate resilience across diverse farming systems.</t>
  </si>
  <si>
    <t>Differences in farming system complexity, climate vulnerability patterns, and innovation integration capacity.</t>
  </si>
  <si>
    <t>Farming systems expertise, participatory bundling methodologies, and systems modeling capabilities.</t>
  </si>
  <si>
    <t>Collaboration across all technical Programs; Scaling Program for integration; Digital for tools.</t>
  </si>
  <si>
    <t>Current system innovation approaches often fail to center farmer decision-making in climate adaptation, limiting adoption.</t>
  </si>
  <si>
    <t>Design methodologies that effectively integrate farmer priorities and constraints into climate-optimized farming system innovations.</t>
  </si>
  <si>
    <t>Regional variations in farmer decision contexts, co-creation capacity, and participatory research traditions.</t>
  </si>
  <si>
    <t>Human-centered design expertise, participatory methodology development skills, and systems modeling integration capabilities.</t>
  </si>
  <si>
    <t>Partnership with Scaling Program for methodology; Digital Accelerator for design tools.</t>
  </si>
  <si>
    <t>Limited capacity development resources for systems-level climate adaptation constrain implementation of integrated approaches.</t>
  </si>
  <si>
    <t>Comprehensive training enabling stakeholders to design and implement bundled climate solutions across farming system contexts.</t>
  </si>
  <si>
    <t>Differences in systems thinking capacity, educational infrastructure, and prioritized bundling approaches.</t>
  </si>
  <si>
    <t>Systems education expertise, integrated training development skills, and knowledge translation capabilities.</t>
  </si>
  <si>
    <t>Integration with Capacity Sharing Accelerator; Academic institutions for curriculum development.</t>
  </si>
  <si>
    <t>Policy frameworks rarely support integrated climate adaptation approaches, limiting effectiveness of system-level resilience building.</t>
  </si>
  <si>
    <t>Evidence-based policies that enable and incentivize bundled climate solutions appropriate for diverse farming system contexts.</t>
  </si>
  <si>
    <t>Regional variations in integration of climate-agriculture policies, cross-sectoral coordination capacity, and systems policy approaches.</t>
  </si>
  <si>
    <t>Policy analysis expertise, cross-sectoral evidence synthesis skills, and systems policy development capabilities.</t>
  </si>
  <si>
    <t>Strong integration with Policy Program; partnerships across sectoral Ministries.</t>
  </si>
  <si>
    <t>Limited real-time monitoring of climate adaptation effectiveness constrains evidence-based adjustments and scaling.</t>
  </si>
  <si>
    <t>Digital monitoring systems tracking climate adaptation and mitigation outcomes in real-time across diverse contexts to guide scaling.</t>
  </si>
  <si>
    <t>Regional differences in digital infrastructure, monitoring capacity, and climate-relevant indicators.</t>
  </si>
  <si>
    <t>MELIA framework development expertise, digital monitoring design skills, and indicator development capabilities.</t>
  </si>
  <si>
    <t>Partnership with Digital Accelerator for systems; Scaling Program for indicator frameworks.</t>
  </si>
  <si>
    <t>Fragmented climate-agriculture data systems limit evidence-based adaptation planning and implementation.</t>
  </si>
  <si>
    <t>Integrated data infrastructure enabling sophisticated climate-agriculture analytics to guide adaptation across scales.</t>
  </si>
  <si>
    <t>Variations in existing data infrastructure, standardization approaches, and climate data priorities.</t>
  </si>
  <si>
    <t>Data architecture expertise, FAIRification methodologies, and analytical tool development capabilities.</t>
  </si>
  <si>
    <t>Major collaboration with Digital Accelerator; integration across all Programs.</t>
  </si>
  <si>
    <t>Current capacity development approaches inadequately address climate adaptation skill needs across stakeholder groups.</t>
  </si>
  <si>
    <t>Innovative capacity development systems enabling effective implementation of climate solutions across diverse contexts.</t>
  </si>
  <si>
    <t>Regional differences in education systems, capacity sharing traditions, and climate skill prioritization.</t>
  </si>
  <si>
    <t>Capacity development methodology expertise, innovative training approach design skills, and stakeholder assessment capabilities.</t>
  </si>
  <si>
    <t>Strong integration with Capacity Sharing Accelerator; Academic institutions for implementation.</t>
  </si>
  <si>
    <t>Fragmented implementation efforts undermine effective scaling of climate adaptation and mitigation solutions.</t>
  </si>
  <si>
    <t>Coordinated multi-stakeholder platforms enabling systematic scaling of proven climate solutions across contexts.</t>
  </si>
  <si>
    <t>Variations in partnership infrastructure, coordination capacity, and climate solution scaling priorities.</t>
  </si>
  <si>
    <t>Partnership development expertise, platform design methodologies, and stakeholder engagement capabilities.</t>
  </si>
  <si>
    <t>Major collaboration with Scaling Program; integration across implementing partners.</t>
  </si>
  <si>
    <t>Limited integration of technical evidence into climate policy constrains effective adaptation and mitigation governance.</t>
  </si>
  <si>
    <t>Systematic translation of farming systems evidence into implementable climate policy across governance scales.</t>
  </si>
  <si>
    <t>Regional differences in policy-science interfaces, evidence utilization capacity, and climate governance approaches.</t>
  </si>
  <si>
    <t>Science-policy translation expertise, evidence synthesis methodologies, and policy communication skills.</t>
  </si>
  <si>
    <t>Strong integration with Policy Program; partnerships with governance institutions.</t>
  </si>
  <si>
    <t>Environmental Indicators</t>
  </si>
  <si>
    <t>Limited understanding of how climate hazards impact biodiversity, ecosystem services, and overall environmental health in agricultural landscapes.</t>
  </si>
  <si>
    <t>Comprehensive mapping of climate-biodiversity-agriculture relationships enabling interventions that enhance productivity while protecting ecosystems.</t>
  </si>
  <si>
    <t>Regional variations in biodiversity hotspots, ecosystem vulnerability to climate change, and environmentally sensitive agricultural systems.</t>
  </si>
  <si>
    <t>Integrated climate-biodiversity assessment methodologies, ecosystem service mapping, and environmental risk analysis frameworks.</t>
  </si>
  <si>
    <t>Collaboration with Biodiversity Program for analytical frameworks; Environmental Health Program for monitoring systems.</t>
  </si>
  <si>
    <t>Adaptation approaches often increase environmental pressure through intensification, land expansion, or resource extraction.</t>
  </si>
  <si>
    <t>Climate-adaptive farming systems explicitly designed to enhance ecosystem services, conserve biodiversity, and reduce land pressure.</t>
  </si>
  <si>
    <t>Differences in ecosystem-climate dynamics, agrobiodiversity potential, and land pressure patterns across regions.</t>
  </si>
  <si>
    <t>Ecosystem service-enhancing adaptation research, biodiversity-friendly innovation design, and land footprint assessment methodologies.</t>
  </si>
  <si>
    <t>Integration with Biodiversity Program for design frameworks; Landscape Program for spatial optimization.</t>
  </si>
  <si>
    <t>Extension materials rarely emphasize ecosystem conservation, biodiversity protection, or environmental stewardship within adaptation strategies.</t>
  </si>
  <si>
    <t>Capacity development resources enabling implementers to optimize both climate resilience and biodiversity conservation in agricultural landscapes.</t>
  </si>
  <si>
    <t>Variations in environmental extension capacity, ecosystem stewardship awareness, and prioritization of biodiversity in agricultural training.</t>
  </si>
  <si>
    <t>Biodiversity-sensitive adaptation curricula, ecosystem service protection modules, and environmental impact minimization tools.</t>
  </si>
  <si>
    <t>Partnership with Capacity Sharing Accelerator; Biodiversity Program for technical content.</t>
  </si>
  <si>
    <t>Climate policy frameworks rarely prioritize biodiversity co-benefits, ecosystem service protection, or land-sparing productivity.</t>
  </si>
  <si>
    <t>Integrated climate-biodiversity policies guiding investments toward farming systems that enhance environmental health while building resilience.</t>
  </si>
  <si>
    <t>Differences in policy integration, biodiversity prioritization in climate agendas, and ecosystem service governance.</t>
  </si>
  <si>
    <t>Climate-biodiversity policy analysis, ecological investment case development, and ecosystem service valuation methodologies.</t>
  </si>
  <si>
    <t>Collaboration with Policy Program; Biodiversity Program for technical framing.</t>
  </si>
  <si>
    <t>Nutrient recommendations rarely optimize for ecosystem impacts, biodiversity protection, or land-sparing productivity enhancement.</t>
  </si>
  <si>
    <t>Precision nutrient management systems enhancing productivity while minimizing environmental footprint across diverse landscapes.</t>
  </si>
  <si>
    <t>Regional variations in ecosystem sensitivity to nutrients, biodiversity-agriculture interactions, and land pressure dynamics.</t>
  </si>
  <si>
    <t>Ecosystem impact modeling capacity, biodiversity-sensitive recommendation frameworks, and land-sparing productivity assessment tools.</t>
  </si>
  <si>
    <t>Integration with Digital Accelerator for systems; Biodiversity Program for environmental frameworks.</t>
  </si>
  <si>
    <t>Advisory systems rarely incorporate ecosystem health indicators, biodiversity considerations, or environmental impact minimization.</t>
  </si>
  <si>
    <t>Integrated nutrient recommendations explicitly balancing productivity enhancement with ecosystem protection and biodiversity conservation.</t>
  </si>
  <si>
    <t>Differences in ecosystem-nutrient relationships, environmental advisory capacity, and biodiversity-sensitive management approaches.</t>
  </si>
  <si>
    <t>Ecosystem impact assessment algorithms, biodiversity-sensitive recommendation frameworks, and environmental outcome monitoring tools.</t>
  </si>
  <si>
    <t>Collaboration with Biodiversity Program; Digital Accelerator for systems development.</t>
  </si>
  <si>
    <t>Extension resources rarely connect soil nutrient management to biodiversity conservation, ecosystem services, or environmental health.</t>
  </si>
  <si>
    <t>Capacity building materials enabling practitioners to optimize nutrient management for both productivity and environmental objectives.</t>
  </si>
  <si>
    <t>Regional differences in environmental extension awareness, ecosystem impact training, and biodiversity-nutrient management education.</t>
  </si>
  <si>
    <t>Ecosystem-sensitive nutrient management curricula, biodiversity impact training modules, and environmental assessment tools.</t>
  </si>
  <si>
    <t>Partnership with Capacity Sharing Accelerator; Biodiversity Program for content frameworks.</t>
  </si>
  <si>
    <t>Policy frameworks rarely optimize fertilizer programs for ecosystem protection, biodiversity conservation, or land-sparing productivity.</t>
  </si>
  <si>
    <t>Evidence-based policies balancing productivity, economic returns, and environmental health from nutrient management investments.</t>
  </si>
  <si>
    <t>Variations in policy environments, environmental regulation of inputs, and ecosystem-service valuation in fertilizer governance.</t>
  </si>
  <si>
    <t>Environmental policy analysis, biodiversity impact evidence synthesis, and ecosystem service valuation methodologies.</t>
  </si>
  <si>
    <t>Strong integration with Policy Program; Biodiversity Program for analytical frameworks.</t>
  </si>
  <si>
    <t>Soil monitoring systems rarely track biodiversity indicators, ecosystem service provision, or environmental health outcomes.</t>
  </si>
  <si>
    <t>Comprehensive soil frameworks connecting soil health to measurable environmental benefits across diverse landscapes.</t>
  </si>
  <si>
    <t>Regional differences in soil-biodiversity connections, ecosystem service monitoring capacity, and environmental health assessment.</t>
  </si>
  <si>
    <t>Biodiversity indicator development, ecosystem service tracking methodologies, and environmental health assessment protocols.</t>
  </si>
  <si>
    <t>Collaboration with Digital Accelerator for systems; Biodiversity Program for indicator frameworks.</t>
  </si>
  <si>
    <t>Insufficient long-term data on agricultural management impacts on biodiversity, ecosystem services, and environmental health.</t>
  </si>
  <si>
    <t>Robust network providing verified data on biodiversity impacts of agricultural practices to guide environmental investment.</t>
  </si>
  <si>
    <t>Differences in existing research infrastructure, agroecological diversity, and biodiversity conservation priorities.</t>
  </si>
  <si>
    <t>Biodiversity monitoring protocols, ecosystem service assessment methodologies, and environmental impact tracking systems.</t>
  </si>
  <si>
    <t>Partnership with Biodiversity Program for frameworks; Environmental Health Program for integration.</t>
  </si>
  <si>
    <t>Limited systematic evidence on biodiversity impacts, ecosystem service enhancements, or environmental benefits of agricultural practices.</t>
  </si>
  <si>
    <t>Comprehensive evidence base quantifying ecological outcomes of practices across contexts to guide biodiversity-enhancing agriculture.</t>
  </si>
  <si>
    <t>Regional differences in ecosystem-agriculture research coverage, biodiversity impact methodologies, and environmental evidence synthesis.</t>
  </si>
  <si>
    <t>Biodiversity impact assessment methodologies, ecosystem service quantification tools, and environmental meta-analysis frameworks.</t>
  </si>
  <si>
    <t>Integration with Biodiversity Program for frameworks; Scaling Program for implementation pathways.</t>
  </si>
  <si>
    <t>Soil health policy communication rarely emphasizes biodiversity benefits, ecosystem service provision, or environmental health enhancement.</t>
  </si>
  <si>
    <t>Soil policies explicitly connecting soil health to biodiversity conservation and ecosystem service provision through accessible evidence.</t>
  </si>
  <si>
    <t>Differences in policy environmental framing, ecosystem service emphasis in governance, and biodiversity orientation in soil health.</t>
  </si>
  <si>
    <t>Biodiversity policy analysis, ecosystem service communication strategies, and environmental stakeholder engagement methodologies.</t>
  </si>
  <si>
    <t>Partnership with Policy Program; Communications for environmental messaging.</t>
  </si>
  <si>
    <t>Plant health systems rarely optimize for ecological outcomes, biodiversity conservation, or environmental health enhancement.</t>
  </si>
  <si>
    <t>Practitioner networks balancing plant protection with explicit ecosystem enhancement and biodiversity conservation objectives.</t>
  </si>
  <si>
    <t>Regional variations in agroecological approaches, biodiversity-sensitive pest management, and ecosystem-based plant health traditions.</t>
  </si>
  <si>
    <t>Ecological plant health training, biodiversity-centered management approaches, and ecosystem-based intervention strategies.</t>
  </si>
  <si>
    <t>Collaboration with Capacity Sharing Accelerator; Biodiversity Program for ecological frameworks.</t>
  </si>
  <si>
    <t>Monitoring systems rarely prioritize non-target impacts, biodiversity protection, or ecosystem service preservation.</t>
  </si>
  <si>
    <t>Advanced surveillance systems enabling ecologically-optimized pest management decisions that protect biodiversity and ecosystem health.</t>
  </si>
  <si>
    <t>Differences in monitoring ecological integration, biodiversity impact assessment, and ecosystem-service preservation approaches.</t>
  </si>
  <si>
    <t>Ecological impact modeling, biodiversity risk assessment, and ecosystem service preservation prioritization frameworks.</t>
  </si>
  <si>
    <t>Partnership with Digital Accelerator for systems; Biodiversity Program for ecological frameworks.</t>
  </si>
  <si>
    <t>Prevention strategies rarely differentiate ecological sensitivity of interventions, biodiversity impacts, or ecosystem service effects.</t>
  </si>
  <si>
    <t>Evidence-based prevention approaches explicitly prioritizing biodiversity conservation and ecosystem service protection.</t>
  </si>
  <si>
    <t>Regional variations in ecosystem-pest relationships, biodiversity-sensitive prevention capacity, and ecological prevention traditions.</t>
  </si>
  <si>
    <t>Ecological prioritization frameworks, biodiversity impact assessment tools, and ecosystem-based prevention strategies.</t>
  </si>
  <si>
    <t>Integration with Biodiversity Program for frameworks; Environmental Health Program for indicators.</t>
  </si>
  <si>
    <t>Ecological approaches represent a fundamental pathway to biodiversity conservation and environmental health enhancement in agriculture.</t>
  </si>
  <si>
    <t>Agroecological pest management systems enhancing both production sustainability and ecosystem health across farm types.</t>
  </si>
  <si>
    <t>Differences in agroecological potential, biodiversity conservation opportunity, and ecosystem restoration capacity across regions.</t>
  </si>
  <si>
    <t>Biodiversity-enhancing IPM design, ecosystem service assessment tools, and environmental impact measurement methodologies.</t>
  </si>
  <si>
    <t>Collaboration with Biodiversity Program for frameworks; Environmental Health Program for monitoring.</t>
  </si>
  <si>
    <t>Mycotoxin management rarely optimizes for ecological impacts, potentially increasing pesticide use and environmental contamination.</t>
  </si>
  <si>
    <t>Effective monitoring systems enabling contamination prevention with minimal ecological impact across supply chains.</t>
  </si>
  <si>
    <t>Regional variations in ecological mycotoxin management approaches, biodiversity-sensitive monitoring, and ecosystem impact potential.</t>
  </si>
  <si>
    <t>Ecological impact assessment, biodiversity-sensitive management strategies, and ecosystem-compatible implementation methodologies.</t>
  </si>
  <si>
    <t>Partnership with Markets Program for implementation; Digital Accelerator for systems.</t>
  </si>
  <si>
    <t>Water technologies rarely optimize for ecosystem health, biodiversity conservation, or environmental flow maintenance.</t>
  </si>
  <si>
    <t>Water innovations explicitly prioritized based on ecological enhancement, biodiversity protection, and ecosystem service provision.</t>
  </si>
  <si>
    <t>Regional differences in water-ecosystem relationships, aquatic biodiversity vulnerability, and environmental flow challenges.</t>
  </si>
  <si>
    <t>Ecological impact assessment, biodiversity benefit quantification, and ecosystem service enhancement prioritization methodologies.</t>
  </si>
  <si>
    <t>Collaboration with Biodiversity Program for frameworks; Environmental Health Program for indicators.</t>
  </si>
  <si>
    <t>Water approaches rarely balance social inclusivity with ecological sustainability, potentially trading off environmental health for human benefit.</t>
  </si>
  <si>
    <t>Inclusive water management systems optimizing both social equity and ecological sustainability across diverse contexts.</t>
  </si>
  <si>
    <t>Variations in socio-ecological system complexity, environmental governance traditions, and ecosystem service valuation approaches.</t>
  </si>
  <si>
    <t>Socio-ecological trade-off analysis, ecosystem service valuation methodologies, and inclusive sustainability assessment frameworks.</t>
  </si>
  <si>
    <t>Integration with Gender Program for inclusivity frameworks; Biodiversity Program for ecological approaches.</t>
  </si>
  <si>
    <t>Capacity development rarely emphasizes ecosystem protection, biodiversity conservation, or environmental flow maintenance alongside productivity.</t>
  </si>
  <si>
    <t>Training resources enabling implementers to optimize water management for both productivity and ecological sustainability.</t>
  </si>
  <si>
    <t>Regional differences in ecological extension capacity, ecosystem-water training infrastructure, and biodiversity-water education.</t>
  </si>
  <si>
    <t>Ecosystem-sensitive water management curricula, biodiversity impact training modules, and ecological assessment tools.</t>
  </si>
  <si>
    <t>Water policy frameworks rarely optimize for ecosystem health, biodiversity conservation, or environmental flow requirements.</t>
  </si>
  <si>
    <t>Evidence-based water policies explicitly balancing agricultural productivity, social equity, and ecological sustainability.</t>
  </si>
  <si>
    <t>Differences in environmental water governance, ecosystem service valuation, and biodiversity-sensitivity in resource allocation.</t>
  </si>
  <si>
    <t>Ecological policy analysis, biodiversity impact assessment, and environmental flow requirement methodologies.</t>
  </si>
  <si>
    <t>Mechanization approaches rarely optimize for biodiversity protection, ecosystem service enhancement, or land-sparing productivity.</t>
  </si>
  <si>
    <t>Scale-appropriate mechanization options explicitly minimizing ecological footprint while enhancing land-sparing productivity gains.</t>
  </si>
  <si>
    <t>Regional variations in mechanization ecological impacts, biodiversity conservation opportunities, and land pressure dynamics.</t>
  </si>
  <si>
    <t>Ecological impact assessment, biodiversity-sensitive design approaches, and land-sparing productivity enhancement methodologies.</t>
  </si>
  <si>
    <t>Service models rarely incorporate ecological criteria, biodiversity safeguards, or ecosystem enhancement incentives.</t>
  </si>
  <si>
    <t>Sustainable business approaches explicitly valuing and incentivizing biodiversity conservation in mechanization service provision.</t>
  </si>
  <si>
    <t>Differences in ecological business model potential, ecosystem service market development, and biodiversity incentive mechanisms.</t>
  </si>
  <si>
    <t>Ecological business model design, ecosystem service valuation methodologies, and biodiversity incentive framework development.</t>
  </si>
  <si>
    <t>Partnership with Markets Program for business approaches; Biodiversity Program for frameworks.</t>
  </si>
  <si>
    <t>Technical training rarely emphasizes ecological impact minimization, biodiversity protection, or ecosystem service enhancement.</t>
  </si>
  <si>
    <t>Capacity resources enabling both technical mastery and ecological optimization in mechanization implementation.</t>
  </si>
  <si>
    <t>Regional variations in ecological training infrastructure, biodiversity awareness in technical education, and ecosystem impact minimization approaches.</t>
  </si>
  <si>
    <t>Ecological impact training curricula, biodiversity protection methodologies, and ecosystem-sensitive implementation resources.</t>
  </si>
  <si>
    <t>Integration with Capacity Sharing Accelerator; Biodiversity Program for content frameworks.</t>
  </si>
  <si>
    <t>Mechanization policy rarely optimizes for ecosystem protection, biodiversity conservation, or land-sparing productivity.</t>
  </si>
  <si>
    <t>Evidence-based policies explicitly balancing productivity gains with ecological sustainability and biodiversity protection.</t>
  </si>
  <si>
    <t>Differences in environmental policy integration, mechanization ecological impact regulation, and biodiversity conservation frameworks.</t>
  </si>
  <si>
    <t>Ecological impact analysis, biodiversity protection assessment, and ecosystem-sensitive policy development approaches.</t>
  </si>
  <si>
    <t>Farming system approaches represent a fundamental pathway to biodiversity conservation and sustainable intensification.</t>
  </si>
  <si>
    <t>Integrated innovation bundles explicitly designed to enhance ecosystem services while reducing agricultural footprint.</t>
  </si>
  <si>
    <t>Regional variations in agroecological potential, biodiversity enhancement opportunities, and ecosystem restoration pathways.</t>
  </si>
  <si>
    <t>Ecological systems modeling, biodiversity enhancement strategies, and ecosystem service optimization methodologies.</t>
  </si>
  <si>
    <t>Collaboration with Biodiversity Program for frameworks; Landscape Program for spatial optimization.</t>
  </si>
  <si>
    <t>Design approaches rarely incorporate ecological priorities, biodiversity conservation objectives, or ecosystem service valuation.</t>
  </si>
  <si>
    <t>Co-creation methodologies explicitly incorporating environmental sustainability alongside productivity and livelihood objectives.</t>
  </si>
  <si>
    <t>Differences in ecological design integration, biodiversity conservation participatory approaches, and ecosystem service valuation traditions.</t>
  </si>
  <si>
    <t>Ecological priority elicitation tools, biodiversity-centered design methodologies, and ecosystem service valuation frameworks.</t>
  </si>
  <si>
    <t>Partnership with Scaling Program for methodologies; Biodiversity Program for ecological frameworks.</t>
  </si>
  <si>
    <t>Capacity development for system approaches rarely emphasizes biodiversity integration, ecosystem service enhancement, or environmental sustainability.</t>
  </si>
  <si>
    <t>Training resources enabling practitioners to design and implement ecologically optimized farming system innovation bundles.</t>
  </si>
  <si>
    <t>Regional variations in ecological systems training, biodiversity education infrastructure, and ecosystem service capacity development.</t>
  </si>
  <si>
    <t>Ecological systems education curricula, biodiversity integration training, and ecosystem service valuation methodologies.</t>
  </si>
  <si>
    <t>Policy frameworks rarely integrate productivity, livelihood, and ecological objectives in coherent system-level approaches.</t>
  </si>
  <si>
    <t>Evidence-based policies enabling and incentivizing ecologically optimized, integrated farming systems across diverse contexts.</t>
  </si>
  <si>
    <t>Differences in environmental policy integration, ecosystem service governance, and biodiversity conservation in agricultural strategies.</t>
  </si>
  <si>
    <t>Ecological policy analysis, biodiversity impact assessment, and ecosystem service valuation methodologies.</t>
  </si>
  <si>
    <t>Monitoring systems rarely track ecological outcomes, biodiversity impacts, or ecosystem service enhancements alongside productivity.</t>
  </si>
  <si>
    <t>Comprehensive monitoring frameworks tracking both agricultural productivity and environmental sustainability across diverse contexts.</t>
  </si>
  <si>
    <t>Regional variations in ecological indicator capacity, biodiversity impact assessment, and ecosystem service monitoring integration.</t>
  </si>
  <si>
    <t>Biodiversity indicator development, ecosystem service metrics, and environmental sustainability monitoring methodologies.</t>
  </si>
  <si>
    <t>Partnership with Digital Accelerator for systems; Biodiversity Program for indicator frameworks.</t>
  </si>
  <si>
    <t>Agricultural data systems rarely integrate ecological indicators, biodiversity metrics, or ecosystem service measurements.</t>
  </si>
  <si>
    <t>Integrated data infrastructure connecting agricultural interventions to environmental outcomes for evidence-based sustainability.</t>
  </si>
  <si>
    <t>Differences in ecological data infrastructure, biodiversity-agriculture data integration, and ecosystem monitoring capacity.</t>
  </si>
  <si>
    <t>Ecological data architecture, integrated indicator frameworks, and biodiversity-agricultural data linkage methodologies.</t>
  </si>
  <si>
    <t>Major collaboration with Digital Accelerator; Biodiversity Program for indicator systems.</t>
  </si>
  <si>
    <t>Capacity approaches rarely bridge agriculture-environment divides, limiting integration of ecological sustainability in implementation.</t>
  </si>
  <si>
    <t>Innovative capacity systems enabling effective integration of environmental sustainability in agricultural approaches.</t>
  </si>
  <si>
    <t>Regional variations in ecological extension integration, biodiversity training traditions, and ecosystem service education approaches.</t>
  </si>
  <si>
    <t>Integrated agricultural-environmental training methodologies, biodiversity knowledge integration, and ecosystem service education frameworks.</t>
  </si>
  <si>
    <t>Strong integration with Capacity Sharing Accelerator; Biodiversity Program for content frameworks.</t>
  </si>
  <si>
    <t>Partnership platforms rarely integrate environmental actors, conservation initiatives, or ecosystem service stakeholders effectively.</t>
  </si>
  <si>
    <t>Coordinated platforms enabling systematic scaling of integrated production-conservation solutions across diverse landscapes.</t>
  </si>
  <si>
    <t>Differences in conservation-agriculture coordination, environmental stakeholder integration, and ecosystem service collaborative traditions.</t>
  </si>
  <si>
    <t>Conservation-agriculture partnership methodologies, environmental stakeholder mapping, and ecosystem-focused engagement strategies.</t>
  </si>
  <si>
    <t>Major collaboration with Scaling Program; Biodiversity Program for conservation engagement.</t>
  </si>
  <si>
    <t>Policy engagement often separates agricultural production and environmental conservation evidence, limiting integrated approaches.</t>
  </si>
  <si>
    <t>Systematic integration of farming systems evidence into biodiversity-sensitive agricultural policy across governance scales.</t>
  </si>
  <si>
    <t>Regional variations in environment-agriculture policy interfaces, conservation-production integration, and ecosystem service governance approaches.</t>
  </si>
  <si>
    <t>Environmental-agricultural policy analysis, integrated evidence synthesis, and conservation-focused communication strategies.</t>
  </si>
  <si>
    <t>Strong integration with Policy Program; Biodiversity Program for conservation frameworks.</t>
  </si>
  <si>
    <r>
      <t xml:space="preserve">Potential Scale of Impact - </t>
    </r>
    <r>
      <rPr>
        <i/>
        <sz val="11"/>
        <color theme="0"/>
        <rFont val="Aptos Narrow"/>
        <family val="2"/>
        <scheme val="minor"/>
      </rPr>
      <t xml:space="preserve">this tab </t>
    </r>
    <r>
      <rPr>
        <b/>
        <i/>
        <u/>
        <sz val="11"/>
        <color theme="0"/>
        <rFont val="Aptos Narrow"/>
        <family val="2"/>
        <scheme val="minor"/>
      </rPr>
      <t xml:space="preserve">automatically </t>
    </r>
    <r>
      <rPr>
        <i/>
        <sz val="11"/>
        <color theme="0"/>
        <rFont val="Aptos Narrow"/>
        <family val="2"/>
        <scheme val="minor"/>
      </rPr>
      <t xml:space="preserve">populates your scores from your Step A Impact Area tabs, </t>
    </r>
    <r>
      <rPr>
        <b/>
        <i/>
        <u/>
        <sz val="11"/>
        <color theme="0"/>
        <rFont val="Aptos Narrow"/>
        <family val="2"/>
        <scheme val="minor"/>
      </rPr>
      <t xml:space="preserve">automatically </t>
    </r>
    <r>
      <rPr>
        <i/>
        <sz val="11"/>
        <color theme="0"/>
        <rFont val="Aptos Narrow"/>
        <family val="2"/>
        <scheme val="minor"/>
      </rPr>
      <t xml:space="preserve">weighting them by the regional Potential Scale of Impact Scores - </t>
    </r>
    <r>
      <rPr>
        <b/>
        <i/>
        <u/>
        <sz val="11"/>
        <color theme="0"/>
        <rFont val="Aptos Narrow"/>
        <family val="2"/>
        <scheme val="minor"/>
      </rPr>
      <t>You do not have to do anything in this tab</t>
    </r>
    <r>
      <rPr>
        <i/>
        <sz val="11"/>
        <color theme="0"/>
        <rFont val="Aptos Narrow"/>
        <family val="2"/>
        <scheme val="minor"/>
      </rPr>
      <t>, the excel formulas do the weighting for you.</t>
    </r>
  </si>
  <si>
    <t xml:space="preserve"> </t>
  </si>
  <si>
    <t xml:space="preserve">Food Security </t>
  </si>
  <si>
    <t>Poverty reduction</t>
  </si>
  <si>
    <t>Social Inclusion</t>
  </si>
  <si>
    <t>Climate Adaptation</t>
  </si>
  <si>
    <t>Environmental health</t>
  </si>
  <si>
    <r>
      <rPr>
        <sz val="11"/>
        <rFont val="Aptos Narrow"/>
        <family val="2"/>
        <scheme val="minor"/>
      </rPr>
      <t xml:space="preserve">Link to spreadsheet with raw data: </t>
    </r>
    <r>
      <rPr>
        <u/>
        <sz val="11"/>
        <color theme="10"/>
        <rFont val="Aptos Narrow"/>
        <family val="2"/>
        <scheme val="minor"/>
      </rPr>
      <t>Projected Benefits Data (Nov 2024) - With Analysis.xlsx</t>
    </r>
  </si>
  <si>
    <t>Poor Population ($2.15)</t>
  </si>
  <si>
    <t>Gender Inclusivity Index</t>
  </si>
  <si>
    <t>Coverage</t>
  </si>
  <si>
    <t>Region totals</t>
  </si>
  <si>
    <t>Units</t>
  </si>
  <si>
    <t xml:space="preserve">Share of total population living below the minimum calorie daily threshold </t>
  </si>
  <si>
    <t>Millions of people living below the poverty line</t>
  </si>
  <si>
    <t>Millions of tons of CO2eq emissions</t>
  </si>
  <si>
    <t>Region</t>
  </si>
  <si>
    <t>r_wld</t>
  </si>
  <si>
    <t>r_dev</t>
  </si>
  <si>
    <t>Population</t>
  </si>
  <si>
    <t>Billions of people</t>
  </si>
  <si>
    <t>Number of undernourished</t>
  </si>
  <si>
    <t>Number of poor</t>
  </si>
  <si>
    <t>GII</t>
  </si>
  <si>
    <t>GHG emssions</t>
  </si>
  <si>
    <t>Weights for Food Security scale of impact</t>
  </si>
  <si>
    <t>Transposed weights</t>
  </si>
  <si>
    <t>Index components</t>
  </si>
  <si>
    <t>low better</t>
  </si>
  <si>
    <t>high better</t>
  </si>
  <si>
    <t>conflixt_index</t>
  </si>
  <si>
    <t>CPI</t>
  </si>
  <si>
    <t>EoDB</t>
  </si>
  <si>
    <t>EMPINX</t>
  </si>
  <si>
    <t>FSI</t>
  </si>
  <si>
    <t>Latin America and the Caribbean</t>
  </si>
  <si>
    <t>Central and West Asia and North Africa</t>
  </si>
  <si>
    <t>West and Central Africa</t>
  </si>
  <si>
    <t>East and Southern Africa</t>
  </si>
  <si>
    <t>South Asia</t>
  </si>
  <si>
    <t>South East Asia and the Pacific</t>
  </si>
  <si>
    <t>Europe</t>
  </si>
  <si>
    <t>North America</t>
  </si>
  <si>
    <t>Enabling environment weights</t>
  </si>
  <si>
    <t>Aggregate (equal weighting of component indices)</t>
  </si>
  <si>
    <r>
      <t xml:space="preserve">Enabling Environment - </t>
    </r>
    <r>
      <rPr>
        <i/>
        <sz val="11"/>
        <color theme="0"/>
        <rFont val="Aptos Narrow"/>
        <family val="2"/>
        <scheme val="minor"/>
      </rPr>
      <t xml:space="preserve">This tab </t>
    </r>
    <r>
      <rPr>
        <b/>
        <i/>
        <u/>
        <sz val="11"/>
        <color theme="0"/>
        <rFont val="Aptos Narrow"/>
        <family val="2"/>
        <scheme val="minor"/>
      </rPr>
      <t>automatically</t>
    </r>
    <r>
      <rPr>
        <b/>
        <i/>
        <sz val="11"/>
        <color theme="0"/>
        <rFont val="Aptos Narrow"/>
        <family val="2"/>
        <scheme val="minor"/>
      </rPr>
      <t xml:space="preserve"> </t>
    </r>
    <r>
      <rPr>
        <i/>
        <sz val="11"/>
        <color theme="0"/>
        <rFont val="Aptos Narrow"/>
        <family val="2"/>
        <scheme val="minor"/>
      </rPr>
      <t xml:space="preserve">populates your scores from your Step B tab (that is, the Impact Area tabs*Potential Scale for Impact). It automatically weights your Step B scores by the regional Enabling Environment - </t>
    </r>
    <r>
      <rPr>
        <b/>
        <i/>
        <u/>
        <sz val="11"/>
        <color theme="0"/>
        <rFont val="Aptos Narrow"/>
        <family val="2"/>
        <scheme val="minor"/>
      </rPr>
      <t>You do not have to do anything in this tab</t>
    </r>
    <r>
      <rPr>
        <i/>
        <sz val="11"/>
        <color theme="0"/>
        <rFont val="Aptos Narrow"/>
        <family val="2"/>
        <scheme val="minor"/>
      </rPr>
      <t>, the excel formulas do the weighting for you.</t>
    </r>
    <r>
      <rPr>
        <b/>
        <sz val="11"/>
        <color theme="0"/>
        <rFont val="Aptos Narrow"/>
        <family val="2"/>
        <scheme val="minor"/>
      </rPr>
      <t xml:space="preserve"> THESE ARE YOUR FINAL SCORES</t>
    </r>
  </si>
  <si>
    <r>
      <t xml:space="preserve">Deviations from Scores - </t>
    </r>
    <r>
      <rPr>
        <i/>
        <sz val="11"/>
        <color theme="0"/>
        <rFont val="Aptos Narrow"/>
        <family val="2"/>
        <scheme val="minor"/>
      </rPr>
      <t>In this tab, you should higlight, for the HLOs (and regions), where, based on Phase 2 of the methodology, your Program/Accelerator team has decided to deviate from the scores shown in Phase 1. Here you will justify your decisions - this analysis will inform the content of your Inception Report, Section 5.2.</t>
    </r>
  </si>
  <si>
    <t>HLO (Region + Impact Area, if relevant)</t>
  </si>
  <si>
    <t xml:space="preserve">Other factors considered </t>
  </si>
  <si>
    <t>How they were considered</t>
  </si>
  <si>
    <t xml:space="preserve">Final decisions and justifications on the priority of this HLO </t>
  </si>
  <si>
    <r>
      <t xml:space="preserve">E.g. 1. ASSESS "Assessing and cataloging subsidies in the agriculture sector" (LAC and SEA, all IAs) -- </t>
    </r>
    <r>
      <rPr>
        <b/>
        <i/>
        <sz val="11"/>
        <color rgb="FF000000"/>
        <rFont val="Calibri"/>
        <family val="2"/>
      </rPr>
      <t xml:space="preserve">DELETE THIS ROW AFTER FINALISING YOUR ANALYSIS. </t>
    </r>
  </si>
  <si>
    <r>
      <t>E.g., NARES and private sector actors (AgroSavia, EMBRAPA; APAARI); Comparative advantage analysis; Research papers X, Y, Z (provide links)</t>
    </r>
    <r>
      <rPr>
        <b/>
        <i/>
        <sz val="11"/>
        <color theme="1"/>
        <rFont val="Aptos Narrow"/>
        <family val="2"/>
        <scheme val="minor"/>
      </rPr>
      <t xml:space="preserve">-- DELETE THIS ROW AFTER FINALISING YOUR ANALYSIS. </t>
    </r>
  </si>
  <si>
    <r>
      <t>E.g., Stakeholder engagement; anlaysis of CA results</t>
    </r>
    <r>
      <rPr>
        <b/>
        <i/>
        <sz val="11"/>
        <color theme="1"/>
        <rFont val="Aptos Narrow"/>
        <family val="2"/>
        <scheme val="minor"/>
      </rPr>
      <t xml:space="preserve"> -- DELETE THIS ROW AFTER FINALISING YOUR ANALYSIS. </t>
    </r>
  </si>
  <si>
    <r>
      <t xml:space="preserve">E.g., The final Step A score was high (5) -- However, stakeholders note that this type of analysis is not impactful at the moment as their priorities align with developing new sustainable farming technologies (e.g., our HLO "TECHDEV"). There was some compromise, as CGIAR believes it important to get the foundations of this analysis (which will be done in  2025) and moving forward to 2030, less funding will be put into ASSESS as the foundational information and anlaysis are gathered and developed (meaning  only annual updates are required) </t>
    </r>
    <r>
      <rPr>
        <b/>
        <i/>
        <sz val="11"/>
        <color theme="1"/>
        <rFont val="Aptos Narrow"/>
        <family val="2"/>
        <scheme val="minor"/>
      </rPr>
      <t xml:space="preserve">-- DELETE THIS ROW AFTER FINALISING YOUR ANALYSIS.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</si>
</sst>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3">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11"/>
      <color rgb="FF000000"/>
      <name val="Calibri"/>
      <family val="2"/>
    </font>
    <font>
      <u/>
      <sz val="11"/>
      <color theme="10"/>
      <name val="Aptos Narrow"/>
      <family val="2"/>
      <scheme val="minor"/>
    </font>
    <font>
      <b/>
      <i/>
      <sz val="11"/>
      <color theme="1"/>
      <name val="Aptos Narrow"/>
      <family val="2"/>
      <scheme val="minor"/>
    </font>
    <font>
      <b/>
      <i/>
      <sz val="11"/>
      <color theme="0"/>
      <name val="Aptos Narrow"/>
      <family val="2"/>
      <scheme val="minor"/>
    </font>
    <font>
      <i/>
      <sz val="11"/>
      <color theme="0"/>
      <name val="Aptos Narrow"/>
      <family val="2"/>
      <scheme val="minor"/>
    </font>
    <font>
      <b/>
      <i/>
      <u/>
      <sz val="11"/>
      <color theme="0"/>
      <name val="Aptos Narrow"/>
      <family val="2"/>
      <scheme val="minor"/>
    </font>
    <font>
      <i/>
      <sz val="11"/>
      <color rgb="FF000000"/>
      <name val="Calibri"/>
      <family val="2"/>
    </font>
    <font>
      <i/>
      <sz val="11"/>
      <color theme="1"/>
      <name val="Aptos Narrow"/>
      <family val="2"/>
      <scheme val="minor"/>
    </font>
    <font>
      <b/>
      <i/>
      <sz val="11"/>
      <color rgb="FF000000"/>
      <name val="Calibri"/>
      <family val="2"/>
    </font>
    <font>
      <b/>
      <sz val="14"/>
      <color theme="1"/>
      <name val="Aptos Narrow"/>
      <family val="2"/>
      <scheme val="minor"/>
    </font>
    <font>
      <sz val="14"/>
      <color theme="1"/>
      <name val="Aptos Narrow"/>
      <family val="2"/>
      <scheme val="minor"/>
    </font>
    <font>
      <sz val="8"/>
      <name val="Aptos Narrow"/>
      <family val="2"/>
      <scheme val="minor"/>
    </font>
    <font>
      <sz val="11"/>
      <name val="Aptos Narrow"/>
      <family val="2"/>
      <scheme val="minor"/>
    </font>
    <font>
      <sz val="9"/>
      <color indexed="81"/>
      <name val="Tahoma"/>
      <family val="2"/>
    </font>
    <font>
      <b/>
      <sz val="9"/>
      <color indexed="81"/>
      <name val="Tahoma"/>
      <family val="2"/>
    </font>
    <font>
      <sz val="11"/>
      <color theme="1" tint="0.34998626667073579"/>
      <name val="Aptos Narrow"/>
      <family val="2"/>
      <scheme val="minor"/>
    </font>
    <font>
      <b/>
      <sz val="12"/>
      <color theme="1"/>
      <name val="Aptos"/>
      <family val="2"/>
    </font>
    <font>
      <sz val="12"/>
      <color theme="1"/>
      <name val="Aptos"/>
      <family val="2"/>
    </font>
    <font>
      <sz val="11"/>
      <color theme="1"/>
      <name val="Aptos"/>
      <family val="2"/>
    </font>
    <font>
      <sz val="8"/>
      <color theme="1"/>
      <name val="Aptos"/>
      <family val="2"/>
    </font>
    <font>
      <i/>
      <sz val="11"/>
      <color theme="5"/>
      <name val="Aptos"/>
      <family val="2"/>
    </font>
    <font>
      <sz val="11"/>
      <name val="Calibri"/>
      <family val="2"/>
    </font>
    <font>
      <i/>
      <sz val="11"/>
      <color rgb="FFC00000"/>
      <name val="Aptos"/>
      <family val="2"/>
    </font>
    <font>
      <i/>
      <sz val="11"/>
      <color theme="5"/>
      <name val="Aptos Narrow"/>
      <family val="2"/>
      <scheme val="minor"/>
    </font>
    <font>
      <b/>
      <i/>
      <sz val="11"/>
      <color theme="5"/>
      <name val="Aptos Narrow"/>
      <family val="2"/>
      <scheme val="minor"/>
    </font>
    <font>
      <sz val="13"/>
      <color rgb="FF000000"/>
      <name val="Helvetica Neue"/>
      <family val="2"/>
    </font>
    <font>
      <b/>
      <sz val="9"/>
      <color rgb="FF000000"/>
      <name val="Tahoma"/>
      <family val="2"/>
    </font>
    <font>
      <sz val="11"/>
      <color rgb="FF000000"/>
      <name val="Aptos Narrow"/>
      <family val="2"/>
      <scheme val="minor"/>
    </font>
    <font>
      <b/>
      <sz val="14"/>
      <color theme="1"/>
      <name val="Aptos Narrow"/>
      <scheme val="minor"/>
    </font>
  </fonts>
  <fills count="17">
    <fill>
      <patternFill patternType="none"/>
    </fill>
    <fill>
      <patternFill patternType="gray125"/>
    </fill>
    <fill>
      <patternFill patternType="solid">
        <fgColor theme="9" tint="0.79998168889431442"/>
        <bgColor indexed="64"/>
      </patternFill>
    </fill>
    <fill>
      <patternFill patternType="solid">
        <fgColor rgb="FF00B05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tint="-0.499984740745262"/>
        <bgColor indexed="64"/>
      </patternFill>
    </fill>
    <fill>
      <patternFill patternType="solid">
        <fgColor theme="3"/>
        <bgColor indexed="64"/>
      </patternFill>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theme="3" tint="0.89999084444715716"/>
        <bgColor indexed="64"/>
      </patternFill>
    </fill>
    <fill>
      <patternFill patternType="solid">
        <fgColor rgb="FFFFFF99"/>
        <bgColor indexed="64"/>
      </patternFill>
    </fill>
    <fill>
      <patternFill patternType="solid">
        <fgColor theme="5" tint="0.79998168889431442"/>
        <bgColor indexed="64"/>
      </patternFill>
    </fill>
    <fill>
      <patternFill patternType="solid">
        <fgColor theme="8" tint="0.79998168889431442"/>
        <bgColor indexed="64"/>
      </patternFill>
    </fill>
  </fills>
  <borders count="2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3">
    <xf numFmtId="0" fontId="0" fillId="0" borderId="0"/>
    <xf numFmtId="0" fontId="5" fillId="0" borderId="0" applyNumberFormat="0" applyFill="0" applyBorder="0" applyAlignment="0" applyProtection="0"/>
    <xf numFmtId="0" fontId="25" fillId="0" borderId="0"/>
  </cellStyleXfs>
  <cellXfs count="90">
    <xf numFmtId="0" fontId="0" fillId="0" borderId="0" xfId="0"/>
    <xf numFmtId="0" fontId="1" fillId="0" borderId="0" xfId="0" applyFont="1"/>
    <xf numFmtId="0" fontId="0" fillId="0" borderId="2"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7" xfId="0"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3" borderId="1" xfId="0" applyFont="1" applyFill="1" applyBorder="1" applyAlignment="1">
      <alignment horizontal="center"/>
    </xf>
    <xf numFmtId="0" fontId="1" fillId="4" borderId="3" xfId="0" applyFont="1" applyFill="1" applyBorder="1" applyAlignment="1">
      <alignment horizontal="center"/>
    </xf>
    <xf numFmtId="0" fontId="1" fillId="5" borderId="3" xfId="0" applyFont="1" applyFill="1" applyBorder="1" applyAlignment="1">
      <alignment horizontal="center"/>
    </xf>
    <xf numFmtId="0" fontId="1" fillId="6" borderId="3" xfId="0" applyFont="1" applyFill="1" applyBorder="1" applyAlignment="1">
      <alignment horizontal="center"/>
    </xf>
    <xf numFmtId="0" fontId="1" fillId="7" borderId="5" xfId="0" applyFont="1" applyFill="1" applyBorder="1" applyAlignment="1">
      <alignment horizontal="center"/>
    </xf>
    <xf numFmtId="0" fontId="0" fillId="0" borderId="0" xfId="0" applyAlignment="1">
      <alignment horizontal="center"/>
    </xf>
    <xf numFmtId="0" fontId="0" fillId="0" borderId="12" xfId="0" applyBorder="1"/>
    <xf numFmtId="0" fontId="1" fillId="8" borderId="13" xfId="0" applyFont="1" applyFill="1" applyBorder="1"/>
    <xf numFmtId="0" fontId="1" fillId="8" borderId="14" xfId="0" applyFont="1" applyFill="1" applyBorder="1"/>
    <xf numFmtId="0" fontId="0" fillId="0" borderId="11" xfId="0" applyBorder="1"/>
    <xf numFmtId="0" fontId="3" fillId="9" borderId="0" xfId="0" applyFont="1" applyFill="1"/>
    <xf numFmtId="0" fontId="2" fillId="9" borderId="0" xfId="0" applyFont="1" applyFill="1"/>
    <xf numFmtId="0" fontId="1" fillId="0" borderId="15" xfId="0" applyFont="1" applyBorder="1"/>
    <xf numFmtId="0" fontId="1" fillId="2" borderId="8" xfId="0" applyFont="1" applyFill="1" applyBorder="1" applyAlignment="1">
      <alignment horizontal="center" vertical="top"/>
    </xf>
    <xf numFmtId="0" fontId="1" fillId="2" borderId="9" xfId="0" applyFont="1" applyFill="1" applyBorder="1" applyAlignment="1">
      <alignment horizontal="center" vertical="top"/>
    </xf>
    <xf numFmtId="0" fontId="1" fillId="2" borderId="10" xfId="0" applyFont="1" applyFill="1" applyBorder="1" applyAlignment="1">
      <alignment horizontal="center" vertical="top"/>
    </xf>
    <xf numFmtId="0" fontId="0" fillId="0" borderId="0" xfId="0" applyAlignment="1">
      <alignment horizontal="left" vertical="top"/>
    </xf>
    <xf numFmtId="0" fontId="1" fillId="0" borderId="15" xfId="0" applyFont="1" applyBorder="1" applyAlignment="1">
      <alignment horizontal="left" vertical="top"/>
    </xf>
    <xf numFmtId="0" fontId="0" fillId="0" borderId="0" xfId="0" applyAlignment="1">
      <alignment horizontal="center" vertical="top"/>
    </xf>
    <xf numFmtId="0" fontId="4" fillId="0" borderId="0" xfId="0" applyFont="1"/>
    <xf numFmtId="0" fontId="4" fillId="0" borderId="0" xfId="0" applyFont="1" applyAlignment="1">
      <alignment vertical="top"/>
    </xf>
    <xf numFmtId="0" fontId="1" fillId="0" borderId="0" xfId="0" applyFont="1" applyAlignment="1">
      <alignment horizontal="right" vertical="top"/>
    </xf>
    <xf numFmtId="0" fontId="0" fillId="0" borderId="0" xfId="0" applyAlignment="1">
      <alignment horizontal="right" vertical="top"/>
    </xf>
    <xf numFmtId="0" fontId="0" fillId="14" borderId="0" xfId="0" applyFill="1"/>
    <xf numFmtId="0" fontId="1" fillId="14" borderId="0" xfId="0" applyFont="1" applyFill="1"/>
    <xf numFmtId="0" fontId="5" fillId="0" borderId="0" xfId="1"/>
    <xf numFmtId="0" fontId="0" fillId="10" borderId="0" xfId="0" applyFill="1"/>
    <xf numFmtId="0" fontId="0" fillId="11" borderId="0" xfId="0" applyFill="1"/>
    <xf numFmtId="0" fontId="0" fillId="0" borderId="0" xfId="0" applyAlignment="1">
      <alignment wrapText="1"/>
    </xf>
    <xf numFmtId="0" fontId="11" fillId="0" borderId="0" xfId="0" applyFont="1" applyAlignment="1">
      <alignment wrapText="1"/>
    </xf>
    <xf numFmtId="0" fontId="1" fillId="13" borderId="16" xfId="0" applyFont="1" applyFill="1" applyBorder="1"/>
    <xf numFmtId="0" fontId="10" fillId="0" borderId="16" xfId="0" applyFont="1" applyBorder="1" applyAlignment="1">
      <alignment wrapText="1"/>
    </xf>
    <xf numFmtId="0" fontId="11" fillId="0" borderId="16" xfId="0" applyFont="1" applyBorder="1" applyAlignment="1">
      <alignment wrapText="1"/>
    </xf>
    <xf numFmtId="0" fontId="13" fillId="0" borderId="0" xfId="0" applyFont="1"/>
    <xf numFmtId="4" fontId="0" fillId="0" borderId="0" xfId="0" applyNumberFormat="1"/>
    <xf numFmtId="0" fontId="0" fillId="5" borderId="0" xfId="0" applyFill="1"/>
    <xf numFmtId="0" fontId="5" fillId="5" borderId="0" xfId="1" applyFill="1"/>
    <xf numFmtId="0" fontId="1" fillId="2" borderId="0" xfId="0" applyFont="1" applyFill="1" applyAlignment="1">
      <alignment horizontal="center"/>
    </xf>
    <xf numFmtId="164" fontId="0" fillId="0" borderId="0" xfId="0" applyNumberFormat="1"/>
    <xf numFmtId="2" fontId="0" fillId="0" borderId="0" xfId="0" applyNumberFormat="1"/>
    <xf numFmtId="0" fontId="1" fillId="0" borderId="0" xfId="0" applyFont="1" applyAlignment="1">
      <alignment horizontal="center"/>
    </xf>
    <xf numFmtId="0" fontId="19" fillId="0" borderId="0" xfId="0" applyFont="1"/>
    <xf numFmtId="164" fontId="19" fillId="0" borderId="0" xfId="0" applyNumberFormat="1" applyFont="1"/>
    <xf numFmtId="0" fontId="21" fillId="0" borderId="0" xfId="0" applyFont="1" applyAlignment="1">
      <alignment horizontal="left" vertical="center" wrapText="1"/>
    </xf>
    <xf numFmtId="0" fontId="22" fillId="2" borderId="0" xfId="0" applyFont="1" applyFill="1" applyAlignment="1">
      <alignment horizontal="left" vertical="center" wrapText="1"/>
    </xf>
    <xf numFmtId="0" fontId="23" fillId="2" borderId="0" xfId="0" applyFont="1" applyFill="1" applyAlignment="1">
      <alignment horizontal="left" vertical="center" wrapText="1"/>
    </xf>
    <xf numFmtId="0" fontId="22" fillId="0" borderId="0" xfId="0" applyFont="1" applyAlignment="1">
      <alignment horizontal="left" vertical="center" wrapText="1"/>
    </xf>
    <xf numFmtId="0" fontId="22" fillId="2" borderId="0" xfId="0" applyFont="1" applyFill="1" applyAlignment="1">
      <alignment horizontal="left" vertical="center"/>
    </xf>
    <xf numFmtId="0" fontId="23" fillId="2" borderId="0" xfId="0" applyFont="1" applyFill="1" applyAlignment="1">
      <alignment horizontal="left" vertical="center"/>
    </xf>
    <xf numFmtId="0" fontId="23" fillId="0" borderId="0" xfId="0" applyFont="1" applyAlignment="1">
      <alignment horizontal="left" vertical="center" wrapText="1"/>
    </xf>
    <xf numFmtId="0" fontId="22" fillId="0" borderId="0" xfId="0" applyFont="1" applyAlignment="1">
      <alignment horizontal="left" vertical="center"/>
    </xf>
    <xf numFmtId="165" fontId="0" fillId="0" borderId="0" xfId="0" applyNumberFormat="1"/>
    <xf numFmtId="165" fontId="22" fillId="0" borderId="0" xfId="0" applyNumberFormat="1" applyFont="1" applyAlignment="1">
      <alignment horizontal="left" vertical="center" wrapText="1"/>
    </xf>
    <xf numFmtId="3" fontId="0" fillId="0" borderId="0" xfId="0" applyNumberFormat="1"/>
    <xf numFmtId="3" fontId="22" fillId="0" borderId="0" xfId="0" applyNumberFormat="1" applyFont="1" applyAlignment="1">
      <alignment horizontal="left" vertical="center" wrapText="1"/>
    </xf>
    <xf numFmtId="0" fontId="2" fillId="0" borderId="0" xfId="0" applyFont="1" applyAlignment="1">
      <alignment horizontal="left" wrapText="1"/>
    </xf>
    <xf numFmtId="0" fontId="24" fillId="0" borderId="0" xfId="0" applyFont="1" applyAlignment="1">
      <alignment horizontal="left" vertical="center"/>
    </xf>
    <xf numFmtId="0" fontId="25" fillId="0" borderId="0" xfId="2"/>
    <xf numFmtId="0" fontId="26" fillId="0" borderId="0" xfId="0" applyFont="1" applyAlignment="1">
      <alignment horizontal="left" vertical="center"/>
    </xf>
    <xf numFmtId="0" fontId="27" fillId="0" borderId="0" xfId="0" applyFont="1"/>
    <xf numFmtId="1" fontId="0" fillId="0" borderId="0" xfId="0" applyNumberFormat="1"/>
    <xf numFmtId="0" fontId="29" fillId="5" borderId="0" xfId="0" applyFont="1" applyFill="1"/>
    <xf numFmtId="0" fontId="31" fillId="0" borderId="0" xfId="0" applyFont="1" applyAlignment="1">
      <alignment wrapText="1"/>
    </xf>
    <xf numFmtId="0" fontId="32" fillId="0" borderId="0" xfId="0" applyFont="1"/>
    <xf numFmtId="0" fontId="0" fillId="13" borderId="8" xfId="0" applyFill="1" applyBorder="1" applyAlignment="1">
      <alignment horizontal="center"/>
    </xf>
    <xf numFmtId="0" fontId="0" fillId="13" borderId="9" xfId="0" applyFill="1" applyBorder="1" applyAlignment="1">
      <alignment horizontal="center"/>
    </xf>
    <xf numFmtId="0" fontId="0" fillId="13" borderId="10" xfId="0" applyFill="1" applyBorder="1" applyAlignment="1">
      <alignment horizontal="center"/>
    </xf>
    <xf numFmtId="0" fontId="0" fillId="16" borderId="1" xfId="0" applyFill="1" applyBorder="1" applyAlignment="1">
      <alignment horizontal="center" vertical="center"/>
    </xf>
    <xf numFmtId="0" fontId="0" fillId="16" borderId="5" xfId="0" applyFill="1" applyBorder="1" applyAlignment="1">
      <alignment horizontal="center" vertical="center"/>
    </xf>
    <xf numFmtId="0" fontId="0" fillId="13" borderId="19" xfId="0" applyFill="1" applyBorder="1" applyAlignment="1">
      <alignment horizontal="center" vertical="center"/>
    </xf>
    <xf numFmtId="0" fontId="0" fillId="13" borderId="20" xfId="0" applyFill="1" applyBorder="1" applyAlignment="1">
      <alignment horizontal="center" vertical="center"/>
    </xf>
    <xf numFmtId="0" fontId="0" fillId="16" borderId="17" xfId="0" applyFill="1" applyBorder="1" applyAlignment="1">
      <alignment horizontal="center" vertical="center"/>
    </xf>
    <xf numFmtId="0" fontId="0" fillId="16" borderId="18" xfId="0" applyFill="1" applyBorder="1" applyAlignment="1">
      <alignment horizontal="center" vertical="center"/>
    </xf>
    <xf numFmtId="0" fontId="0" fillId="16" borderId="8" xfId="0" applyFill="1" applyBorder="1" applyAlignment="1">
      <alignment horizontal="center"/>
    </xf>
    <xf numFmtId="0" fontId="0" fillId="16" borderId="9" xfId="0" applyFill="1" applyBorder="1" applyAlignment="1">
      <alignment horizontal="center"/>
    </xf>
    <xf numFmtId="0" fontId="0" fillId="16" borderId="10" xfId="0" applyFill="1" applyBorder="1" applyAlignment="1">
      <alignment horizontal="center"/>
    </xf>
    <xf numFmtId="0" fontId="20" fillId="15" borderId="0" xfId="0" applyFont="1" applyFill="1" applyAlignment="1">
      <alignment horizontal="center" vertical="center" wrapText="1"/>
    </xf>
    <xf numFmtId="0" fontId="1" fillId="2" borderId="16" xfId="0" applyFont="1" applyFill="1" applyBorder="1" applyAlignment="1">
      <alignment horizontal="center" vertical="top" wrapText="1"/>
    </xf>
    <xf numFmtId="0" fontId="2" fillId="10" borderId="0" xfId="0" applyFont="1" applyFill="1" applyAlignment="1">
      <alignment horizontal="left" wrapText="1"/>
    </xf>
    <xf numFmtId="0" fontId="2" fillId="11" borderId="0" xfId="0" applyFont="1" applyFill="1" applyAlignment="1">
      <alignment horizontal="left" vertical="top" wrapText="1"/>
    </xf>
    <xf numFmtId="0" fontId="2" fillId="12" borderId="0" xfId="0" applyFont="1" applyFill="1" applyAlignment="1">
      <alignment horizontal="left" wrapText="1"/>
    </xf>
  </cellXfs>
  <cellStyles count="3">
    <cellStyle name="Hipervínculo" xfId="1" builtinId="8"/>
    <cellStyle name="Normal" xfId="0" builtinId="0"/>
    <cellStyle name="Normal 2" xfId="2" xr:uid="{84515C97-1619-4B03-85EB-BAA3765409E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Prevelance of Undernourishment </a:t>
            </a:r>
          </a:p>
          <a:p>
            <a:pPr>
              <a:defRPr/>
            </a:pPr>
            <a:r>
              <a:rPr lang="en-AU" sz="900" i="1"/>
              <a:t>Share of total population living below the minimum calorie daily threshold </a:t>
            </a:r>
            <a:endParaRPr lang="en-AU" i="1"/>
          </a:p>
        </c:rich>
      </c:tx>
      <c:layout>
        <c:manualLayout>
          <c:xMode val="edge"/>
          <c:yMode val="edge"/>
          <c:x val="0.1389722222222222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[2]Hunger!$H$8</c:f>
              <c:strCache>
                <c:ptCount val="1"/>
                <c:pt idx="0">
                  <c:v>LAC</c:v>
                </c:pt>
              </c:strCache>
            </c:strRef>
          </c:tx>
          <c:spPr>
            <a:ln w="28575" cap="rnd">
              <a:solidFill>
                <a:schemeClr val="accent1"/>
              </a:solidFill>
              <a:round/>
            </a:ln>
            <a:effectLst/>
          </c:spPr>
          <c:marker>
            <c:symbol val="none"/>
          </c:marker>
          <c:val>
            <c:numRef>
              <c:f>[1]Hunger!$J$8:$AB$8</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0-235F-42B4-BE41-C87AC3C1B033}"/>
            </c:ext>
          </c:extLst>
        </c:ser>
        <c:ser>
          <c:idx val="1"/>
          <c:order val="1"/>
          <c:tx>
            <c:strRef>
              <c:f>[2]Hunger!$H$9</c:f>
              <c:strCache>
                <c:ptCount val="1"/>
                <c:pt idx="0">
                  <c:v>CWANA</c:v>
                </c:pt>
              </c:strCache>
            </c:strRef>
          </c:tx>
          <c:spPr>
            <a:ln w="28575" cap="rnd">
              <a:solidFill>
                <a:schemeClr val="accent2"/>
              </a:solidFill>
              <a:round/>
            </a:ln>
            <a:effectLst/>
          </c:spPr>
          <c:marker>
            <c:symbol val="none"/>
          </c:marker>
          <c:val>
            <c:numRef>
              <c:f>[1]Hunger!$J$9:$AB$9</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1-235F-42B4-BE41-C87AC3C1B033}"/>
            </c:ext>
          </c:extLst>
        </c:ser>
        <c:ser>
          <c:idx val="2"/>
          <c:order val="2"/>
          <c:tx>
            <c:strRef>
              <c:f>[2]Hunger!$H$10</c:f>
              <c:strCache>
                <c:ptCount val="1"/>
                <c:pt idx="0">
                  <c:v>WCA</c:v>
                </c:pt>
              </c:strCache>
            </c:strRef>
          </c:tx>
          <c:spPr>
            <a:ln w="28575" cap="rnd">
              <a:solidFill>
                <a:schemeClr val="accent3"/>
              </a:solidFill>
              <a:round/>
            </a:ln>
            <a:effectLst/>
          </c:spPr>
          <c:marker>
            <c:symbol val="none"/>
          </c:marker>
          <c:val>
            <c:numRef>
              <c:f>[1]Hunger!$J$10:$AB$10</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2-235F-42B4-BE41-C87AC3C1B033}"/>
            </c:ext>
          </c:extLst>
        </c:ser>
        <c:ser>
          <c:idx val="3"/>
          <c:order val="3"/>
          <c:tx>
            <c:strRef>
              <c:f>[2]Hunger!$H$11</c:f>
              <c:strCache>
                <c:ptCount val="1"/>
                <c:pt idx="0">
                  <c:v>ESA</c:v>
                </c:pt>
              </c:strCache>
            </c:strRef>
          </c:tx>
          <c:spPr>
            <a:ln w="28575" cap="rnd">
              <a:solidFill>
                <a:schemeClr val="accent4"/>
              </a:solidFill>
              <a:round/>
            </a:ln>
            <a:effectLst/>
          </c:spPr>
          <c:marker>
            <c:symbol val="none"/>
          </c:marker>
          <c:val>
            <c:numRef>
              <c:f>[1]Hunger!$J$11:$AB$11</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3-235F-42B4-BE41-C87AC3C1B033}"/>
            </c:ext>
          </c:extLst>
        </c:ser>
        <c:ser>
          <c:idx val="4"/>
          <c:order val="4"/>
          <c:tx>
            <c:strRef>
              <c:f>[2]Hunger!$H$12</c:f>
              <c:strCache>
                <c:ptCount val="1"/>
                <c:pt idx="0">
                  <c:v>SA</c:v>
                </c:pt>
              </c:strCache>
            </c:strRef>
          </c:tx>
          <c:spPr>
            <a:ln w="28575" cap="rnd">
              <a:solidFill>
                <a:schemeClr val="accent5"/>
              </a:solidFill>
              <a:round/>
            </a:ln>
            <a:effectLst/>
          </c:spPr>
          <c:marker>
            <c:symbol val="none"/>
          </c:marker>
          <c:val>
            <c:numRef>
              <c:f>[1]Hunger!$J$12:$AB$12</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4-235F-42B4-BE41-C87AC3C1B033}"/>
            </c:ext>
          </c:extLst>
        </c:ser>
        <c:ser>
          <c:idx val="5"/>
          <c:order val="5"/>
          <c:tx>
            <c:strRef>
              <c:f>[2]Hunger!$H$13</c:f>
              <c:strCache>
                <c:ptCount val="1"/>
                <c:pt idx="0">
                  <c:v>SEA</c:v>
                </c:pt>
              </c:strCache>
            </c:strRef>
          </c:tx>
          <c:spPr>
            <a:ln w="28575" cap="rnd">
              <a:solidFill>
                <a:schemeClr val="accent6"/>
              </a:solidFill>
              <a:round/>
            </a:ln>
            <a:effectLst/>
          </c:spPr>
          <c:marker>
            <c:symbol val="none"/>
          </c:marker>
          <c:val>
            <c:numRef>
              <c:f>[1]Hunger!$J$13:$AB$13</c:f>
              <c:numCache>
                <c:formatCode>General</c:formatCode>
                <c:ptCount val="19"/>
              </c:numCache>
              <c:extLst/>
            </c:numRef>
          </c:val>
          <c:smooth val="0"/>
          <c:extLst>
            <c:ext xmlns:c15="http://schemas.microsoft.com/office/drawing/2012/chart" uri="{02D57815-91ED-43cb-92C2-25804820EDAC}">
              <c15:filteredCategoryTitle>
                <c15:cat>
                  <c:strRef>
                    <c:extLst>
                      <c:ext uri="{02D57815-91ED-43cb-92C2-25804820EDAC}">
                        <c15:formulaRef>
                          <c15:sqref>[1]Hunger!$I$6:$AB$6</c15:sqref>
                        </c15:formulaRef>
                      </c:ext>
                    </c:extLst>
                    <c:strCache>
                      <c:ptCount val="20"/>
                    </c:strCache>
                  </c:strRef>
                </c15:cat>
              </c15:filteredCategoryTitle>
            </c:ext>
            <c:ext xmlns:c16="http://schemas.microsoft.com/office/drawing/2014/chart" uri="{C3380CC4-5D6E-409C-BE32-E72D297353CC}">
              <c16:uniqueId val="{00000005-235F-42B4-BE41-C87AC3C1B033}"/>
            </c:ext>
          </c:extLst>
        </c:ser>
        <c:dLbls>
          <c:showLegendKey val="0"/>
          <c:showVal val="0"/>
          <c:showCatName val="0"/>
          <c:showSerName val="0"/>
          <c:showPercent val="0"/>
          <c:showBubbleSize val="0"/>
        </c:dLbls>
        <c:smooth val="0"/>
        <c:axId val="1148425615"/>
        <c:axId val="1148423695"/>
      </c:lineChart>
      <c:catAx>
        <c:axId val="114842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6367935258092741"/>
              <c:y val="0.8237029746281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3695"/>
        <c:crosses val="autoZero"/>
        <c:auto val="1"/>
        <c:lblAlgn val="ctr"/>
        <c:lblOffset val="100"/>
        <c:noMultiLvlLbl val="0"/>
      </c:catAx>
      <c:valAx>
        <c:axId val="1148423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Percentage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5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Poverty Headcount Rate ($2.15)</a:t>
            </a:r>
            <a:br>
              <a:rPr lang="en-AU"/>
            </a:br>
            <a:r>
              <a:rPr lang="en-AU" sz="900" i="1"/>
              <a:t>Share of total population living below the poverty line</a:t>
            </a:r>
            <a:endParaRPr lang="en-AU" i="1"/>
          </a:p>
        </c:rich>
      </c:tx>
      <c:layout>
        <c:manualLayout>
          <c:xMode val="edge"/>
          <c:yMode val="edge"/>
          <c:x val="0.21656131978417287"/>
          <c:y val="1.397006016429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1952661869781522"/>
          <c:y val="0.15446606165286514"/>
          <c:w val="0.8555340005799551"/>
          <c:h val="0.55386599994778229"/>
        </c:manualLayout>
      </c:layout>
      <c:lineChart>
        <c:grouping val="standard"/>
        <c:varyColors val="0"/>
        <c:ser>
          <c:idx val="1"/>
          <c:order val="0"/>
          <c:tx>
            <c:strRef>
              <c:f>[2]Poverty_215!$M$8</c:f>
              <c:strCache>
                <c:ptCount val="1"/>
                <c:pt idx="0">
                  <c:v>LAC</c:v>
                </c:pt>
              </c:strCache>
            </c:strRef>
          </c:tx>
          <c:spPr>
            <a:ln w="28575" cap="rnd">
              <a:solidFill>
                <a:schemeClr val="accent2"/>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[2]Poverty_215!$N$8:$AG$8</c:f>
              <c:numCache>
                <c:formatCode>General</c:formatCode>
                <c:ptCount val="20"/>
                <c:pt idx="0">
                  <c:v>4.9855700000000001</c:v>
                </c:pt>
                <c:pt idx="1">
                  <c:v>5.0242558249487326</c:v>
                </c:pt>
                <c:pt idx="2">
                  <c:v>5.062117154095195</c:v>
                </c:pt>
                <c:pt idx="3">
                  <c:v>5.0991221524061769</c:v>
                </c:pt>
                <c:pt idx="4">
                  <c:v>5.1352386432570594</c:v>
                </c:pt>
                <c:pt idx="5">
                  <c:v>5.1704341135176257</c:v>
                </c:pt>
                <c:pt idx="6">
                  <c:v>5.2046757190976036</c:v>
                </c:pt>
                <c:pt idx="7">
                  <c:v>5.2379302909876833</c:v>
                </c:pt>
                <c:pt idx="8">
                  <c:v>5.2701643418338628</c:v>
                </c:pt>
                <c:pt idx="9">
                  <c:v>5.3013440730862023</c:v>
                </c:pt>
                <c:pt idx="10">
                  <c:v>5.3314353827658323</c:v>
                </c:pt>
                <c:pt idx="11">
                  <c:v>5.3604038738972362</c:v>
                </c:pt>
                <c:pt idx="12">
                  <c:v>5.3882148636566836</c:v>
                </c:pt>
                <c:pt idx="13">
                  <c:v>5.4148333932908708</c:v>
                </c:pt>
                <c:pt idx="14">
                  <c:v>5.440224238864193</c:v>
                </c:pt>
                <c:pt idx="15">
                  <c:v>5.4643519228972357</c:v>
                </c:pt>
                <c:pt idx="16">
                  <c:v>5.4871807269634791</c:v>
                </c:pt>
                <c:pt idx="17">
                  <c:v>5.5086747053163601</c:v>
                </c:pt>
                <c:pt idx="18">
                  <c:v>5.5287976996237669</c:v>
                </c:pt>
                <c:pt idx="19">
                  <c:v>5.5475133548929874</c:v>
                </c:pt>
              </c:numCache>
            </c:numRef>
          </c:val>
          <c:smooth val="0"/>
          <c:extLst>
            <c:ext xmlns:c16="http://schemas.microsoft.com/office/drawing/2014/chart" uri="{C3380CC4-5D6E-409C-BE32-E72D297353CC}">
              <c16:uniqueId val="{00000000-D415-4E0B-B7B2-A4A11611C730}"/>
            </c:ext>
          </c:extLst>
        </c:ser>
        <c:ser>
          <c:idx val="2"/>
          <c:order val="1"/>
          <c:tx>
            <c:strRef>
              <c:f>[2]Poverty_215!$M$9</c:f>
              <c:strCache>
                <c:ptCount val="1"/>
                <c:pt idx="0">
                  <c:v>CWANA</c:v>
                </c:pt>
              </c:strCache>
            </c:strRef>
          </c:tx>
          <c:spPr>
            <a:ln w="28575" cap="rnd">
              <a:solidFill>
                <a:schemeClr val="accent3"/>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[2]Poverty_215!$N$9:$AG$9</c:f>
              <c:numCache>
                <c:formatCode>General</c:formatCode>
                <c:ptCount val="20"/>
                <c:pt idx="0">
                  <c:v>4.5991800000000005</c:v>
                </c:pt>
                <c:pt idx="1">
                  <c:v>4.4042124111186176</c:v>
                </c:pt>
                <c:pt idx="2">
                  <c:v>4.2131090946072494</c:v>
                </c:pt>
                <c:pt idx="3">
                  <c:v>4.0259800445895442</c:v>
                </c:pt>
                <c:pt idx="4">
                  <c:v>3.8429300331731717</c:v>
                </c:pt>
                <c:pt idx="5">
                  <c:v>3.6640582478081392</c:v>
                </c:pt>
                <c:pt idx="6">
                  <c:v>3.4894579332820426</c:v>
                </c:pt>
                <c:pt idx="7">
                  <c:v>3.3192160404052045</c:v>
                </c:pt>
                <c:pt idx="8">
                  <c:v>3.1534128835435875</c:v>
                </c:pt>
                <c:pt idx="9">
                  <c:v>2.9921218092536246</c:v>
                </c:pt>
                <c:pt idx="10">
                  <c:v>2.8354088783588502</c:v>
                </c:pt>
                <c:pt idx="11">
                  <c:v>2.6833325638814145</c:v>
                </c:pt>
                <c:pt idx="12">
                  <c:v>2.5359434673004513</c:v>
                </c:pt>
                <c:pt idx="13">
                  <c:v>2.3932840556515869</c:v>
                </c:pt>
                <c:pt idx="14">
                  <c:v>2.2553884220052036</c:v>
                </c:pt>
                <c:pt idx="15">
                  <c:v>2.1222820718637156</c:v>
                </c:pt>
                <c:pt idx="16">
                  <c:v>1.9939817379979106</c:v>
                </c:pt>
                <c:pt idx="17">
                  <c:v>1.8704952261966068</c:v>
                </c:pt>
                <c:pt idx="18">
                  <c:v>1.7518212943315459</c:v>
                </c:pt>
                <c:pt idx="19">
                  <c:v>1.637949567038026</c:v>
                </c:pt>
              </c:numCache>
            </c:numRef>
          </c:val>
          <c:smooth val="0"/>
          <c:extLst>
            <c:ext xmlns:c16="http://schemas.microsoft.com/office/drawing/2014/chart" uri="{C3380CC4-5D6E-409C-BE32-E72D297353CC}">
              <c16:uniqueId val="{00000001-D415-4E0B-B7B2-A4A11611C730}"/>
            </c:ext>
          </c:extLst>
        </c:ser>
        <c:ser>
          <c:idx val="3"/>
          <c:order val="2"/>
          <c:tx>
            <c:strRef>
              <c:f>[2]Poverty_215!$M$10</c:f>
              <c:strCache>
                <c:ptCount val="1"/>
                <c:pt idx="0">
                  <c:v>WCA</c:v>
                </c:pt>
              </c:strCache>
            </c:strRef>
          </c:tx>
          <c:spPr>
            <a:ln w="28575" cap="rnd">
              <a:solidFill>
                <a:schemeClr val="accent4"/>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[2]Poverty_215!$N$10:$AG$10</c:f>
              <c:numCache>
                <c:formatCode>General</c:formatCode>
                <c:ptCount val="20"/>
                <c:pt idx="0">
                  <c:v>36.308069999999994</c:v>
                </c:pt>
                <c:pt idx="1">
                  <c:v>36.185861896128479</c:v>
                </c:pt>
                <c:pt idx="2">
                  <c:v>36.06170110049667</c:v>
                </c:pt>
                <c:pt idx="3">
                  <c:v>35.93557699720413</c:v>
                </c:pt>
                <c:pt idx="4">
                  <c:v>35.807478695050726</c:v>
                </c:pt>
                <c:pt idx="5">
                  <c:v>35.677395033949246</c:v>
                </c:pt>
                <c:pt idx="6">
                  <c:v>35.545314591576144</c:v>
                </c:pt>
                <c:pt idx="7">
                  <c:v>35.411225690279473</c:v>
                </c:pt>
                <c:pt idx="8">
                  <c:v>35.2751164042635</c:v>
                </c:pt>
                <c:pt idx="9">
                  <c:v>35.136974567070602</c:v>
                </c:pt>
                <c:pt idx="10">
                  <c:v>34.99678777938167</c:v>
                </c:pt>
                <c:pt idx="11">
                  <c:v>34.854543417157117</c:v>
                </c:pt>
                <c:pt idx="12">
                  <c:v>34.710228640141892</c:v>
                </c:pt>
                <c:pt idx="13">
                  <c:v>34.563830400758199</c:v>
                </c:pt>
                <c:pt idx="14">
                  <c:v>34.415335453411203</c:v>
                </c:pt>
                <c:pt idx="15">
                  <c:v>34.264730364233813</c:v>
                </c:pt>
                <c:pt idx="16">
                  <c:v>34.112001521297493</c:v>
                </c:pt>
                <c:pt idx="17">
                  <c:v>33.957135145317729</c:v>
                </c:pt>
                <c:pt idx="18">
                  <c:v>33.800117300883173</c:v>
                </c:pt>
                <c:pt idx="19">
                  <c:v>33.64093390823939</c:v>
                </c:pt>
              </c:numCache>
            </c:numRef>
          </c:val>
          <c:smooth val="0"/>
          <c:extLst>
            <c:ext xmlns:c16="http://schemas.microsoft.com/office/drawing/2014/chart" uri="{C3380CC4-5D6E-409C-BE32-E72D297353CC}">
              <c16:uniqueId val="{00000002-D415-4E0B-B7B2-A4A11611C730}"/>
            </c:ext>
          </c:extLst>
        </c:ser>
        <c:ser>
          <c:idx val="4"/>
          <c:order val="3"/>
          <c:tx>
            <c:strRef>
              <c:f>[2]Poverty_215!$M$11</c:f>
              <c:strCache>
                <c:ptCount val="1"/>
                <c:pt idx="0">
                  <c:v>ESA</c:v>
                </c:pt>
              </c:strCache>
            </c:strRef>
          </c:tx>
          <c:spPr>
            <a:ln w="28575" cap="rnd">
              <a:solidFill>
                <a:schemeClr val="accent5"/>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[2]Poverty_215!$N$11:$AG$11</c:f>
              <c:numCache>
                <c:formatCode>General</c:formatCode>
                <c:ptCount val="20"/>
                <c:pt idx="0">
                  <c:v>38.895679999999999</c:v>
                </c:pt>
                <c:pt idx="1">
                  <c:v>38.854339595759434</c:v>
                </c:pt>
                <c:pt idx="2">
                  <c:v>38.811608056121294</c:v>
                </c:pt>
                <c:pt idx="3">
                  <c:v>38.76744471582041</c:v>
                </c:pt>
                <c:pt idx="4">
                  <c:v>38.721807292463673</c:v>
                </c:pt>
                <c:pt idx="5">
                  <c:v>38.674651820200459</c:v>
                </c:pt>
                <c:pt idx="6">
                  <c:v>38.625932580548529</c:v>
                </c:pt>
                <c:pt idx="7">
                  <c:v>38.575602030264164</c:v>
                </c:pt>
                <c:pt idx="8">
                  <c:v>38.523610726142337</c:v>
                </c:pt>
                <c:pt idx="9">
                  <c:v>38.469907246630569</c:v>
                </c:pt>
                <c:pt idx="10">
                  <c:v>38.414438110137155</c:v>
                </c:pt>
                <c:pt idx="11">
                  <c:v>38.357147689913063</c:v>
                </c:pt>
                <c:pt idx="12">
                  <c:v>38.297978125384574</c:v>
                </c:pt>
                <c:pt idx="13">
                  <c:v>38.23686922981279</c:v>
                </c:pt>
                <c:pt idx="14">
                  <c:v>38.173758394154838</c:v>
                </c:pt>
                <c:pt idx="15">
                  <c:v>38.108580487001923</c:v>
                </c:pt>
                <c:pt idx="16">
                  <c:v>38.041267750469046</c:v>
                </c:pt>
                <c:pt idx="17">
                  <c:v>37.971749691912898</c:v>
                </c:pt>
                <c:pt idx="18">
                  <c:v>37.899952971356136</c:v>
                </c:pt>
                <c:pt idx="19">
                  <c:v>37.825801284499441</c:v>
                </c:pt>
              </c:numCache>
            </c:numRef>
          </c:val>
          <c:smooth val="0"/>
          <c:extLst>
            <c:ext xmlns:c16="http://schemas.microsoft.com/office/drawing/2014/chart" uri="{C3380CC4-5D6E-409C-BE32-E72D297353CC}">
              <c16:uniqueId val="{00000003-D415-4E0B-B7B2-A4A11611C730}"/>
            </c:ext>
          </c:extLst>
        </c:ser>
        <c:ser>
          <c:idx val="0"/>
          <c:order val="4"/>
          <c:tx>
            <c:strRef>
              <c:f>[2]Poverty_215!$M$12</c:f>
              <c:strCache>
                <c:ptCount val="1"/>
                <c:pt idx="0">
                  <c:v>SA</c:v>
                </c:pt>
              </c:strCache>
            </c:strRef>
          </c:tx>
          <c:spPr>
            <a:ln w="28575" cap="rnd">
              <a:solidFill>
                <a:schemeClr val="accent1"/>
              </a:solidFill>
              <a:round/>
            </a:ln>
            <a:effectLst/>
          </c:spPr>
          <c:marker>
            <c:symbol val="none"/>
          </c:marker>
          <c:val>
            <c:numRef>
              <c:f>[2]Poverty_215!$N$12:$AG$12</c:f>
              <c:numCache>
                <c:formatCode>General</c:formatCode>
                <c:ptCount val="20"/>
                <c:pt idx="0">
                  <c:v>11.48274</c:v>
                </c:pt>
                <c:pt idx="1">
                  <c:v>10.469357809197607</c:v>
                </c:pt>
                <c:pt idx="2">
                  <c:v>9.4825202525357888</c:v>
                </c:pt>
                <c:pt idx="3">
                  <c:v>8.5274756835821197</c:v>
                </c:pt>
                <c:pt idx="4">
                  <c:v>7.609438644494297</c:v>
                </c:pt>
                <c:pt idx="5">
                  <c:v>6.7334754098511684</c:v>
                </c:pt>
                <c:pt idx="6">
                  <c:v>5.9043760153954095</c:v>
                </c:pt>
                <c:pt idx="7">
                  <c:v>5.1265159997613008</c:v>
                </c:pt>
                <c:pt idx="8">
                  <c:v>4.403712587839661</c:v>
                </c:pt>
                <c:pt idx="9">
                  <c:v>3.7390816146864139</c:v>
                </c:pt>
                <c:pt idx="10">
                  <c:v>3.1349029870807015</c:v>
                </c:pt>
                <c:pt idx="11">
                  <c:v>2.5925037146786232</c:v>
                </c:pt>
                <c:pt idx="12">
                  <c:v>2.1121682806009399</c:v>
                </c:pt>
                <c:pt idx="13">
                  <c:v>1.6930861056307471</c:v>
                </c:pt>
                <c:pt idx="14">
                  <c:v>1.3333448452239742</c:v>
                </c:pt>
                <c:pt idx="15">
                  <c:v>1.0299760582613207</c:v>
                </c:pt>
                <c:pt idx="16">
                  <c:v>0.77905633517437689</c:v>
                </c:pt>
                <c:pt idx="17">
                  <c:v>0.57586238850067506</c:v>
                </c:pt>
                <c:pt idx="18">
                  <c:v>0.41507324294913156</c:v>
                </c:pt>
                <c:pt idx="19">
                  <c:v>0.29100711854202421</c:v>
                </c:pt>
              </c:numCache>
            </c:numRef>
          </c:val>
          <c:smooth val="0"/>
          <c:extLst>
            <c:ext xmlns:c16="http://schemas.microsoft.com/office/drawing/2014/chart" uri="{C3380CC4-5D6E-409C-BE32-E72D297353CC}">
              <c16:uniqueId val="{00000004-D415-4E0B-B7B2-A4A11611C730}"/>
            </c:ext>
          </c:extLst>
        </c:ser>
        <c:ser>
          <c:idx val="5"/>
          <c:order val="5"/>
          <c:tx>
            <c:strRef>
              <c:f>[2]Poverty_215!$M$13</c:f>
              <c:strCache>
                <c:ptCount val="1"/>
                <c:pt idx="0">
                  <c:v>SEA</c:v>
                </c:pt>
              </c:strCache>
            </c:strRef>
          </c:tx>
          <c:spPr>
            <a:ln w="28575" cap="rnd">
              <a:solidFill>
                <a:schemeClr val="accent6"/>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[2]Poverty_215!$N$12:$AG$12</c:f>
              <c:numCache>
                <c:formatCode>General</c:formatCode>
                <c:ptCount val="20"/>
                <c:pt idx="0">
                  <c:v>11.48274</c:v>
                </c:pt>
                <c:pt idx="1">
                  <c:v>10.469357809197607</c:v>
                </c:pt>
                <c:pt idx="2">
                  <c:v>9.4825202525357888</c:v>
                </c:pt>
                <c:pt idx="3">
                  <c:v>8.5274756835821197</c:v>
                </c:pt>
                <c:pt idx="4">
                  <c:v>7.609438644494297</c:v>
                </c:pt>
                <c:pt idx="5">
                  <c:v>6.7334754098511684</c:v>
                </c:pt>
                <c:pt idx="6">
                  <c:v>5.9043760153954095</c:v>
                </c:pt>
                <c:pt idx="7">
                  <c:v>5.1265159997613008</c:v>
                </c:pt>
                <c:pt idx="8">
                  <c:v>4.403712587839661</c:v>
                </c:pt>
                <c:pt idx="9">
                  <c:v>3.7390816146864139</c:v>
                </c:pt>
                <c:pt idx="10">
                  <c:v>3.1349029870807015</c:v>
                </c:pt>
                <c:pt idx="11">
                  <c:v>2.5925037146786232</c:v>
                </c:pt>
                <c:pt idx="12">
                  <c:v>2.1121682806009399</c:v>
                </c:pt>
                <c:pt idx="13">
                  <c:v>1.6930861056307471</c:v>
                </c:pt>
                <c:pt idx="14">
                  <c:v>1.3333448452239742</c:v>
                </c:pt>
                <c:pt idx="15">
                  <c:v>1.0299760582613207</c:v>
                </c:pt>
                <c:pt idx="16">
                  <c:v>0.77905633517437689</c:v>
                </c:pt>
                <c:pt idx="17">
                  <c:v>0.57586238850067506</c:v>
                </c:pt>
                <c:pt idx="18">
                  <c:v>0.41507324294913156</c:v>
                </c:pt>
                <c:pt idx="19">
                  <c:v>0.29100711854202421</c:v>
                </c:pt>
              </c:numCache>
            </c:numRef>
          </c:val>
          <c:smooth val="0"/>
          <c:extLst>
            <c:ext xmlns:c16="http://schemas.microsoft.com/office/drawing/2014/chart" uri="{C3380CC4-5D6E-409C-BE32-E72D297353CC}">
              <c16:uniqueId val="{00000005-D415-4E0B-B7B2-A4A11611C730}"/>
            </c:ext>
          </c:extLst>
        </c:ser>
        <c:dLbls>
          <c:showLegendKey val="0"/>
          <c:showVal val="0"/>
          <c:showCatName val="0"/>
          <c:showSerName val="0"/>
          <c:showPercent val="0"/>
          <c:showBubbleSize val="0"/>
        </c:dLbls>
        <c:smooth val="0"/>
        <c:axId val="1148425615"/>
        <c:axId val="1148423695"/>
      </c:lineChart>
      <c:catAx>
        <c:axId val="114842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6367935258092741"/>
              <c:y val="0.8237029746281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3695"/>
        <c:crossesAt val="0"/>
        <c:auto val="1"/>
        <c:lblAlgn val="ctr"/>
        <c:lblOffset val="100"/>
        <c:noMultiLvlLbl val="0"/>
      </c:catAx>
      <c:valAx>
        <c:axId val="1148423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Percentage total 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56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Undernourished Population</a:t>
            </a:r>
            <a:br>
              <a:rPr lang="en-AU"/>
            </a:br>
            <a:r>
              <a:rPr lang="en-AU" sz="900" i="1"/>
              <a:t>Millions of people living below the minimum calorie daily threshold </a:t>
            </a:r>
            <a:endParaRPr lang="en-AU" i="1"/>
          </a:p>
        </c:rich>
      </c:tx>
      <c:layout>
        <c:manualLayout>
          <c:xMode val="edge"/>
          <c:yMode val="edge"/>
          <c:x val="0.1362010930125441"/>
          <c:y val="4.629719859659548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[2]Hunger!$H$32</c:f>
              <c:strCache>
                <c:ptCount val="1"/>
                <c:pt idx="0">
                  <c:v>LAC</c:v>
                </c:pt>
              </c:strCache>
            </c:strRef>
          </c:tx>
          <c:spPr>
            <a:ln w="28575" cap="rnd">
              <a:solidFill>
                <a:schemeClr val="accent1"/>
              </a:solidFill>
              <a:round/>
            </a:ln>
            <a:effectLst/>
          </c:spPr>
          <c:marker>
            <c:symbol val="none"/>
          </c:marker>
          <c:val>
            <c:numRef>
              <c:f>[2]Hunger!$I$32:$AB$32</c:f>
              <c:numCache>
                <c:formatCode>General</c:formatCode>
                <c:ptCount val="20"/>
                <c:pt idx="0">
                  <c:v>44.994626247528409</c:v>
                </c:pt>
                <c:pt idx="1">
                  <c:v>42.274181310493304</c:v>
                </c:pt>
                <c:pt idx="2">
                  <c:v>39.642775911585034</c:v>
                </c:pt>
                <c:pt idx="3">
                  <c:v>37.10303743411346</c:v>
                </c:pt>
                <c:pt idx="4">
                  <c:v>34.657196751465953</c:v>
                </c:pt>
                <c:pt idx="5">
                  <c:v>32.307079996639004</c:v>
                </c:pt>
                <c:pt idx="6">
                  <c:v>30.054103446080493</c:v>
                </c:pt>
                <c:pt idx="7">
                  <c:v>27.899271595631379</c:v>
                </c:pt>
                <c:pt idx="8">
                  <c:v>25.843178467953077</c:v>
                </c:pt>
                <c:pt idx="9">
                  <c:v>23.886012150879463</c:v>
                </c:pt>
                <c:pt idx="10">
                  <c:v>22.027562525242541</c:v>
                </c:pt>
                <c:pt idx="11">
                  <c:v>20.267232099633596</c:v>
                </c:pt>
                <c:pt idx="12">
                  <c:v>18.604049829002967</c:v>
                </c:pt>
                <c:pt idx="13">
                  <c:v>17.036687754712815</c:v>
                </c:pt>
                <c:pt idx="14">
                  <c:v>15.563480266407618</c:v>
                </c:pt>
                <c:pt idx="15">
                  <c:v>14.182445751574955</c:v>
                </c:pt>
                <c:pt idx="16">
                  <c:v>12.891310367628208</c:v>
                </c:pt>
                <c:pt idx="17">
                  <c:v>11.687533644387715</c:v>
                </c:pt>
                <c:pt idx="18">
                  <c:v>10.568335602534368</c:v>
                </c:pt>
                <c:pt idx="19">
                  <c:v>9.5307250564153101</c:v>
                </c:pt>
              </c:numCache>
            </c:numRef>
          </c:val>
          <c:smooth val="0"/>
          <c:extLst>
            <c:ext xmlns:c16="http://schemas.microsoft.com/office/drawing/2014/chart" uri="{C3380CC4-5D6E-409C-BE32-E72D297353CC}">
              <c16:uniqueId val="{00000000-C46D-4F04-8702-2C9E08639A6F}"/>
            </c:ext>
          </c:extLst>
        </c:ser>
        <c:ser>
          <c:idx val="1"/>
          <c:order val="1"/>
          <c:tx>
            <c:strRef>
              <c:f>[2]Hunger!$H$33</c:f>
              <c:strCache>
                <c:ptCount val="1"/>
                <c:pt idx="0">
                  <c:v>CWANA</c:v>
                </c:pt>
              </c:strCache>
            </c:strRef>
          </c:tx>
          <c:spPr>
            <a:ln w="28575" cap="rnd">
              <a:solidFill>
                <a:schemeClr val="accent2"/>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[2]Hunger!$I$33:$AB$33</c:f>
              <c:numCache>
                <c:formatCode>General</c:formatCode>
                <c:ptCount val="20"/>
                <c:pt idx="0">
                  <c:v>53.029004234032065</c:v>
                </c:pt>
                <c:pt idx="1">
                  <c:v>52.525290224514286</c:v>
                </c:pt>
                <c:pt idx="2">
                  <c:v>51.96185637562116</c:v>
                </c:pt>
                <c:pt idx="3">
                  <c:v>51.339094690398539</c:v>
                </c:pt>
                <c:pt idx="4">
                  <c:v>50.657604575609803</c:v>
                </c:pt>
                <c:pt idx="5">
                  <c:v>49.918200256079977</c:v>
                </c:pt>
                <c:pt idx="6">
                  <c:v>49.12191735931718</c:v>
                </c:pt>
                <c:pt idx="7">
                  <c:v>48.270018536166937</c:v>
                </c:pt>
                <c:pt idx="8">
                  <c:v>47.363997978801621</c:v>
                </c:pt>
                <c:pt idx="9">
                  <c:v>46.405584694269365</c:v>
                </c:pt>
                <c:pt idx="10">
                  <c:v>45.396744390391454</c:v>
                </c:pt>
                <c:pt idx="11">
                  <c:v>44.339679831303215</c:v>
                </c:pt>
                <c:pt idx="12">
                  <c:v>43.236829522627083</c:v>
                </c:pt>
                <c:pt idx="13">
                  <c:v>42.090864591472283</c:v>
                </c:pt>
                <c:pt idx="14">
                  <c:v>40.904683734416942</c:v>
                </c:pt>
                <c:pt idx="15">
                  <c:v>39.681406117611161</c:v>
                </c:pt>
                <c:pt idx="16">
                  <c:v>38.424362127423528</c:v>
                </c:pt>
                <c:pt idx="17">
                  <c:v>37.137081887757027</c:v>
                </c:pt>
                <c:pt idx="18">
                  <c:v>35.823281481524063</c:v>
                </c:pt>
                <c:pt idx="19">
                  <c:v>34.486846838830338</c:v>
                </c:pt>
              </c:numCache>
            </c:numRef>
          </c:val>
          <c:smooth val="0"/>
          <c:extLst>
            <c:ext xmlns:c16="http://schemas.microsoft.com/office/drawing/2014/chart" uri="{C3380CC4-5D6E-409C-BE32-E72D297353CC}">
              <c16:uniqueId val="{00000001-C46D-4F04-8702-2C9E08639A6F}"/>
            </c:ext>
          </c:extLst>
        </c:ser>
        <c:ser>
          <c:idx val="2"/>
          <c:order val="2"/>
          <c:tx>
            <c:strRef>
              <c:f>[2]Hunger!$H$34</c:f>
              <c:strCache>
                <c:ptCount val="1"/>
                <c:pt idx="0">
                  <c:v>WCA</c:v>
                </c:pt>
              </c:strCache>
            </c:strRef>
          </c:tx>
          <c:spPr>
            <a:ln w="28575" cap="rnd">
              <a:solidFill>
                <a:schemeClr val="accent3"/>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[2]Hunger!$I$34:$AB$34</c:f>
              <c:numCache>
                <c:formatCode>General</c:formatCode>
                <c:ptCount val="20"/>
                <c:pt idx="0">
                  <c:v>108.61272300297506</c:v>
                </c:pt>
                <c:pt idx="1">
                  <c:v>108.74281075537525</c:v>
                </c:pt>
                <c:pt idx="2">
                  <c:v>108.75146812675052</c:v>
                </c:pt>
                <c:pt idx="3">
                  <c:v>108.63645888480424</c:v>
                </c:pt>
                <c:pt idx="4">
                  <c:v>108.39591134798818</c:v>
                </c:pt>
                <c:pt idx="5">
                  <c:v>108.02834379867106</c:v>
                </c:pt>
                <c:pt idx="6">
                  <c:v>107.53268866167555</c:v>
                </c:pt>
                <c:pt idx="7">
                  <c:v>106.90831514239645</c:v>
                </c:pt>
                <c:pt idx="8">
                  <c:v>106.15505001255639</c:v>
                </c:pt>
                <c:pt idx="9">
                  <c:v>105.27319622925576</c:v>
                </c:pt>
                <c:pt idx="10">
                  <c:v>104.26354907481114</c:v>
                </c:pt>
                <c:pt idx="11">
                  <c:v>103.12740951124412</c:v>
                </c:pt>
                <c:pt idx="12">
                  <c:v>101.86659445453394</c:v>
                </c:pt>
                <c:pt idx="13">
                  <c:v>100.48344369010545</c:v>
                </c:pt>
                <c:pt idx="14">
                  <c:v>98.980823172615416</c:v>
                </c:pt>
                <c:pt idx="15">
                  <c:v>97.362124480114034</c:v>
                </c:pt>
                <c:pt idx="16">
                  <c:v>95.631260224898313</c:v>
                </c:pt>
                <c:pt idx="17">
                  <c:v>93.792655260915183</c:v>
                </c:pt>
                <c:pt idx="18">
                  <c:v>91.851233569961806</c:v>
                </c:pt>
                <c:pt idx="19">
                  <c:v>89.812400756005999</c:v>
                </c:pt>
              </c:numCache>
            </c:numRef>
          </c:val>
          <c:smooth val="0"/>
          <c:extLst>
            <c:ext xmlns:c16="http://schemas.microsoft.com/office/drawing/2014/chart" uri="{C3380CC4-5D6E-409C-BE32-E72D297353CC}">
              <c16:uniqueId val="{00000002-C46D-4F04-8702-2C9E08639A6F}"/>
            </c:ext>
          </c:extLst>
        </c:ser>
        <c:ser>
          <c:idx val="3"/>
          <c:order val="3"/>
          <c:tx>
            <c:strRef>
              <c:f>[2]Hunger!$H$35</c:f>
              <c:strCache>
                <c:ptCount val="1"/>
                <c:pt idx="0">
                  <c:v>ESA</c:v>
                </c:pt>
              </c:strCache>
            </c:strRef>
          </c:tx>
          <c:spPr>
            <a:ln w="28575" cap="rnd">
              <a:solidFill>
                <a:schemeClr val="accent4"/>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[2]Hunger!$I$35:$AB$35</c:f>
              <c:numCache>
                <c:formatCode>General</c:formatCode>
                <c:ptCount val="20"/>
                <c:pt idx="0">
                  <c:v>136.58277344182454</c:v>
                </c:pt>
                <c:pt idx="1">
                  <c:v>133.80325740823852</c:v>
                </c:pt>
                <c:pt idx="2">
                  <c:v>130.81169389927274</c:v>
                </c:pt>
                <c:pt idx="3">
                  <c:v>127.61502458888565</c:v>
                </c:pt>
                <c:pt idx="4">
                  <c:v>124.22171589799966</c:v>
                </c:pt>
                <c:pt idx="5">
                  <c:v>120.64177208407331</c:v>
                </c:pt>
                <c:pt idx="6">
                  <c:v>116.88672959836752</c:v>
                </c:pt>
                <c:pt idx="7">
                  <c:v>112.96963098244476</c:v>
                </c:pt>
                <c:pt idx="8">
                  <c:v>108.90497681647865</c:v>
                </c:pt>
                <c:pt idx="9">
                  <c:v>104.70865454402686</c:v>
                </c:pt>
                <c:pt idx="10">
                  <c:v>100.39784338159049</c:v>
                </c:pt>
                <c:pt idx="11">
                  <c:v>95.990894974677246</c:v>
                </c:pt>
                <c:pt idx="12">
                  <c:v>91.507189980302982</c:v>
                </c:pt>
                <c:pt idx="13">
                  <c:v>86.966971330753381</c:v>
                </c:pt>
                <c:pt idx="14">
                  <c:v>82.391155553491927</c:v>
                </c:pt>
                <c:pt idx="15">
                  <c:v>77.80112417213013</c:v>
                </c:pt>
                <c:pt idx="16">
                  <c:v>73.2184978749885</c:v>
                </c:pt>
                <c:pt idx="17">
                  <c:v>68.664896789270884</c:v>
                </c:pt>
                <c:pt idx="18">
                  <c:v>64.16169081610434</c:v>
                </c:pt>
                <c:pt idx="19">
                  <c:v>59.729744538591724</c:v>
                </c:pt>
              </c:numCache>
            </c:numRef>
          </c:val>
          <c:smooth val="0"/>
          <c:extLst>
            <c:ext xmlns:c16="http://schemas.microsoft.com/office/drawing/2014/chart" uri="{C3380CC4-5D6E-409C-BE32-E72D297353CC}">
              <c16:uniqueId val="{00000003-C46D-4F04-8702-2C9E08639A6F}"/>
            </c:ext>
          </c:extLst>
        </c:ser>
        <c:ser>
          <c:idx val="4"/>
          <c:order val="4"/>
          <c:tx>
            <c:strRef>
              <c:f>[2]Hunger!$H$36</c:f>
              <c:strCache>
                <c:ptCount val="1"/>
                <c:pt idx="0">
                  <c:v>SA</c:v>
                </c:pt>
              </c:strCache>
            </c:strRef>
          </c:tx>
          <c:spPr>
            <a:ln w="28575" cap="rnd">
              <a:solidFill>
                <a:schemeClr val="accent5"/>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[2]Hunger!$I$36:$AB$36</c:f>
              <c:numCache>
                <c:formatCode>General</c:formatCode>
                <c:ptCount val="20"/>
                <c:pt idx="0">
                  <c:v>285.97811732395007</c:v>
                </c:pt>
                <c:pt idx="1">
                  <c:v>259.96047433622363</c:v>
                </c:pt>
                <c:pt idx="2">
                  <c:v>235.06924338441894</c:v>
                </c:pt>
                <c:pt idx="3">
                  <c:v>211.39957144142542</c:v>
                </c:pt>
                <c:pt idx="4">
                  <c:v>189.03167055207234</c:v>
                </c:pt>
                <c:pt idx="5">
                  <c:v>168.02968007506837</c:v>
                </c:pt>
                <c:pt idx="6">
                  <c:v>148.44085416875936</c:v>
                </c:pt>
                <c:pt idx="7">
                  <c:v>130.29510607260826</c:v>
                </c:pt>
                <c:pt idx="8">
                  <c:v>113.60493020982643</c:v>
                </c:pt>
                <c:pt idx="9">
                  <c:v>98.365711055345173</c:v>
                </c:pt>
                <c:pt idx="10">
                  <c:v>84.556414528514409</c:v>
                </c:pt>
                <c:pt idx="11">
                  <c:v>72.140643942711421</c:v>
                </c:pt>
                <c:pt idx="12">
                  <c:v>61.068028923248249</c:v>
                </c:pt>
                <c:pt idx="13">
                  <c:v>51.275902893832011</c:v>
                </c:pt>
                <c:pt idx="14">
                  <c:v>42.691213447000997</c:v>
                </c:pt>
                <c:pt idx="15">
                  <c:v>35.232600836880536</c:v>
                </c:pt>
                <c:pt idx="16">
                  <c:v>28.812573558076505</c:v>
                </c:pt>
                <c:pt idx="17">
                  <c:v>23.339706959850233</c:v>
                </c:pt>
                <c:pt idx="18">
                  <c:v>18.720791363989754</c:v>
                </c:pt>
                <c:pt idx="19">
                  <c:v>14.862860264376677</c:v>
                </c:pt>
              </c:numCache>
            </c:numRef>
          </c:val>
          <c:smooth val="0"/>
          <c:extLst>
            <c:ext xmlns:c16="http://schemas.microsoft.com/office/drawing/2014/chart" uri="{C3380CC4-5D6E-409C-BE32-E72D297353CC}">
              <c16:uniqueId val="{00000004-C46D-4F04-8702-2C9E08639A6F}"/>
            </c:ext>
          </c:extLst>
        </c:ser>
        <c:ser>
          <c:idx val="5"/>
          <c:order val="5"/>
          <c:tx>
            <c:strRef>
              <c:f>[2]Hunger!$H$37</c:f>
              <c:strCache>
                <c:ptCount val="1"/>
                <c:pt idx="0">
                  <c:v>SEA</c:v>
                </c:pt>
              </c:strCache>
            </c:strRef>
          </c:tx>
          <c:spPr>
            <a:ln w="28575" cap="rnd">
              <a:solidFill>
                <a:schemeClr val="accent6"/>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[2]Hunger!$I$37:$AB$37</c:f>
              <c:numCache>
                <c:formatCode>General</c:formatCode>
                <c:ptCount val="20"/>
                <c:pt idx="0">
                  <c:v>63.434623188118827</c:v>
                </c:pt>
                <c:pt idx="1">
                  <c:v>55.039026121819838</c:v>
                </c:pt>
                <c:pt idx="2">
                  <c:v>47.508669601200317</c:v>
                </c:pt>
                <c:pt idx="3">
                  <c:v>40.792406994222738</c:v>
                </c:pt>
                <c:pt idx="4">
                  <c:v>34.83664000723217</c:v>
                </c:pt>
                <c:pt idx="5">
                  <c:v>29.586210650753618</c:v>
                </c:pt>
                <c:pt idx="6">
                  <c:v>24.985258502709165</c:v>
                </c:pt>
                <c:pt idx="7">
                  <c:v>20.978025664776631</c:v>
                </c:pt>
                <c:pt idx="8">
                  <c:v>17.5095942441598</c:v>
                </c:pt>
                <c:pt idx="9">
                  <c:v>14.526544038026993</c:v>
                </c:pt>
                <c:pt idx="10">
                  <c:v>11.977521220647132</c:v>
                </c:pt>
                <c:pt idx="11">
                  <c:v>9.8137120942565428</c:v>
                </c:pt>
                <c:pt idx="12">
                  <c:v>7.9892192232337811</c:v>
                </c:pt>
                <c:pt idx="13">
                  <c:v>6.4613403929105191</c:v>
                </c:pt>
                <c:pt idx="14">
                  <c:v>5.1907536984482805</c:v>
                </c:pt>
                <c:pt idx="15">
                  <c:v>4.1416145740998411</c:v>
                </c:pt>
                <c:pt idx="16">
                  <c:v>3.2815726412781241</c:v>
                </c:pt>
                <c:pt idx="17">
                  <c:v>2.5817178343489147</c:v>
                </c:pt>
                <c:pt idx="18">
                  <c:v>2.0164663329687422</c:v>
                </c:pt>
                <c:pt idx="19">
                  <c:v>1.5633973932392926</c:v>
                </c:pt>
              </c:numCache>
            </c:numRef>
          </c:val>
          <c:smooth val="0"/>
          <c:extLst>
            <c:ext xmlns:c16="http://schemas.microsoft.com/office/drawing/2014/chart" uri="{C3380CC4-5D6E-409C-BE32-E72D297353CC}">
              <c16:uniqueId val="{00000005-C46D-4F04-8702-2C9E08639A6F}"/>
            </c:ext>
          </c:extLst>
        </c:ser>
        <c:dLbls>
          <c:showLegendKey val="0"/>
          <c:showVal val="0"/>
          <c:showCatName val="0"/>
          <c:showSerName val="0"/>
          <c:showPercent val="0"/>
          <c:showBubbleSize val="0"/>
        </c:dLbls>
        <c:smooth val="0"/>
        <c:axId val="1148425615"/>
        <c:axId val="1148423695"/>
      </c:lineChart>
      <c:catAx>
        <c:axId val="114842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6367935258092741"/>
              <c:y val="0.8237029746281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3695"/>
        <c:crossesAt val="0"/>
        <c:auto val="1"/>
        <c:lblAlgn val="ctr"/>
        <c:lblOffset val="100"/>
        <c:noMultiLvlLbl val="0"/>
      </c:catAx>
      <c:valAx>
        <c:axId val="1148423695"/>
        <c:scaling>
          <c:orientation val="minMax"/>
          <c:max val="3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Millions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5615"/>
        <c:crosses val="autoZero"/>
        <c:crossBetween val="between"/>
        <c:majorUnit val="5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Poverty Headcount Rate ($3.65)</a:t>
            </a:r>
          </a:p>
          <a:p>
            <a:pPr>
              <a:defRPr/>
            </a:pPr>
            <a:r>
              <a:rPr lang="en-AU" sz="900" i="1"/>
              <a:t>Share of total population living below the poverty line</a:t>
            </a:r>
            <a:endParaRPr lang="en-AU" i="1"/>
          </a:p>
        </c:rich>
      </c:tx>
      <c:layout>
        <c:manualLayout>
          <c:xMode val="edge"/>
          <c:yMode val="edge"/>
          <c:x val="0.21656131978417287"/>
          <c:y val="1.397006016429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1"/>
          <c:order val="0"/>
          <c:tx>
            <c:strRef>
              <c:f>[2]Poverty_365!$M$8</c:f>
              <c:strCache>
                <c:ptCount val="1"/>
                <c:pt idx="0">
                  <c:v>LAC</c:v>
                </c:pt>
              </c:strCache>
            </c:strRef>
          </c:tx>
          <c:spPr>
            <a:ln w="28575" cap="rnd">
              <a:solidFill>
                <a:schemeClr val="accent2"/>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[2]Poverty_365!$N$8:$AG$8</c:f>
              <c:numCache>
                <c:formatCode>General</c:formatCode>
                <c:ptCount val="20"/>
                <c:pt idx="0">
                  <c:v>12.326178476819264</c:v>
                </c:pt>
                <c:pt idx="1">
                  <c:v>12.381889163349326</c:v>
                </c:pt>
                <c:pt idx="2">
                  <c:v>12.436251628916459</c:v>
                </c:pt>
                <c:pt idx="3">
                  <c:v>12.489232445082679</c:v>
                </c:pt>
                <c:pt idx="4">
                  <c:v>12.540797718585354</c:v>
                </c:pt>
                <c:pt idx="5">
                  <c:v>12.590913081668123</c:v>
                </c:pt>
                <c:pt idx="6">
                  <c:v>12.639543682250387</c:v>
                </c:pt>
                <c:pt idx="7">
                  <c:v>12.686654173942228</c:v>
                </c:pt>
                <c:pt idx="8">
                  <c:v>12.732208705912404</c:v>
                </c:pt>
                <c:pt idx="9">
                  <c:v>12.77617091261866</c:v>
                </c:pt>
                <c:pt idx="10">
                  <c:v>12.818503903410948</c:v>
                </c:pt>
                <c:pt idx="11">
                  <c:v>12.859170252019601</c:v>
                </c:pt>
                <c:pt idx="12">
                  <c:v>12.898131985942833</c:v>
                </c:pt>
                <c:pt idx="13">
                  <c:v>12.93535057574935</c:v>
                </c:pt>
                <c:pt idx="14">
                  <c:v>12.970786924314398</c:v>
                </c:pt>
                <c:pt idx="15">
                  <c:v>13.004401356010282</c:v>
                </c:pt>
                <c:pt idx="16">
                  <c:v>13.036153605874441</c:v>
                </c:pt>
                <c:pt idx="17">
                  <c:v>13.066002808782224</c:v>
                </c:pt>
                <c:pt idx="18">
                  <c:v>13.093907488653745</c:v>
                </c:pt>
                <c:pt idx="19">
                  <c:v>13.119825547729045</c:v>
                </c:pt>
              </c:numCache>
            </c:numRef>
          </c:val>
          <c:smooth val="0"/>
          <c:extLst>
            <c:ext xmlns:c16="http://schemas.microsoft.com/office/drawing/2014/chart" uri="{C3380CC4-5D6E-409C-BE32-E72D297353CC}">
              <c16:uniqueId val="{00000000-C560-4718-AC6A-4551B6E6639F}"/>
            </c:ext>
          </c:extLst>
        </c:ser>
        <c:ser>
          <c:idx val="2"/>
          <c:order val="1"/>
          <c:tx>
            <c:strRef>
              <c:f>[2]Poverty_365!$M$9</c:f>
              <c:strCache>
                <c:ptCount val="1"/>
                <c:pt idx="0">
                  <c:v>CWANA</c:v>
                </c:pt>
              </c:strCache>
            </c:strRef>
          </c:tx>
          <c:spPr>
            <a:ln w="28575" cap="rnd">
              <a:solidFill>
                <a:schemeClr val="accent3"/>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[2]Poverty_365!$N$9:$AG$9</c:f>
              <c:numCache>
                <c:formatCode>General</c:formatCode>
                <c:ptCount val="20"/>
                <c:pt idx="0">
                  <c:v>14.288422822098919</c:v>
                </c:pt>
                <c:pt idx="1">
                  <c:v>13.982702549201973</c:v>
                </c:pt>
                <c:pt idx="2">
                  <c:v>13.67683968914368</c:v>
                </c:pt>
                <c:pt idx="3">
                  <c:v>13.370966999763937</c:v>
                </c:pt>
                <c:pt idx="4">
                  <c:v>13.065220507316768</c:v>
                </c:pt>
                <c:pt idx="5">
                  <c:v>12.75973944689008</c:v>
                </c:pt>
                <c:pt idx="6">
                  <c:v>12.45466619149396</c:v>
                </c:pt>
                <c:pt idx="7">
                  <c:v>12.150146169228629</c:v>
                </c:pt>
                <c:pt idx="8">
                  <c:v>11.846327767942952</c:v>
                </c:pt>
                <c:pt idx="9">
                  <c:v>11.543362226797486</c:v>
                </c:pt>
                <c:pt idx="10">
                  <c:v>11.241403514153248</c:v>
                </c:pt>
                <c:pt idx="11">
                  <c:v>10.940608191217761</c:v>
                </c:pt>
                <c:pt idx="12">
                  <c:v>10.641135260895059</c:v>
                </c:pt>
                <c:pt idx="13">
                  <c:v>10.343146001306888</c:v>
                </c:pt>
                <c:pt idx="14">
                  <c:v>10.046803783476943</c:v>
                </c:pt>
                <c:pt idx="15">
                  <c:v>9.7522738727010143</c:v>
                </c:pt>
                <c:pt idx="16">
                  <c:v>9.4597232131634286</c:v>
                </c:pt>
                <c:pt idx="17">
                  <c:v>9.169320195402916</c:v>
                </c:pt>
                <c:pt idx="18">
                  <c:v>8.8812344062825215</c:v>
                </c:pt>
                <c:pt idx="19">
                  <c:v>8.5956363611760942</c:v>
                </c:pt>
              </c:numCache>
            </c:numRef>
          </c:val>
          <c:smooth val="0"/>
          <c:extLst>
            <c:ext xmlns:c16="http://schemas.microsoft.com/office/drawing/2014/chart" uri="{C3380CC4-5D6E-409C-BE32-E72D297353CC}">
              <c16:uniqueId val="{00000001-C560-4718-AC6A-4551B6E6639F}"/>
            </c:ext>
          </c:extLst>
        </c:ser>
        <c:ser>
          <c:idx val="3"/>
          <c:order val="2"/>
          <c:tx>
            <c:strRef>
              <c:f>[2]Poverty_365!$M$10</c:f>
              <c:strCache>
                <c:ptCount val="1"/>
                <c:pt idx="0">
                  <c:v>WCA</c:v>
                </c:pt>
              </c:strCache>
            </c:strRef>
          </c:tx>
          <c:spPr>
            <a:ln w="28575" cap="rnd">
              <a:solidFill>
                <a:schemeClr val="accent4"/>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[2]Poverty_365!$N$10:$AG$10</c:f>
              <c:numCache>
                <c:formatCode>General</c:formatCode>
                <c:ptCount val="20"/>
                <c:pt idx="0">
                  <c:v>64.127509059426401</c:v>
                </c:pt>
                <c:pt idx="1">
                  <c:v>64.124548141671539</c:v>
                </c:pt>
                <c:pt idx="2">
                  <c:v>64.121536417731221</c:v>
                </c:pt>
                <c:pt idx="3">
                  <c:v>64.11847342100998</c:v>
                </c:pt>
                <c:pt idx="4">
                  <c:v>64.115358669989774</c:v>
                </c:pt>
                <c:pt idx="5">
                  <c:v>64.112191668041959</c:v>
                </c:pt>
                <c:pt idx="6">
                  <c:v>64.108971903230866</c:v>
                </c:pt>
                <c:pt idx="7">
                  <c:v>64.10569884810873</c:v>
                </c:pt>
                <c:pt idx="8">
                  <c:v>64.102371959502051</c:v>
                </c:pt>
                <c:pt idx="9">
                  <c:v>64.098990678288956</c:v>
                </c:pt>
                <c:pt idx="10">
                  <c:v>64.095554429167606</c:v>
                </c:pt>
                <c:pt idx="11">
                  <c:v>64.092062620415476</c:v>
                </c:pt>
                <c:pt idx="12">
                  <c:v>64.08851464363913</c:v>
                </c:pt>
                <c:pt idx="13">
                  <c:v>64.084909873514761</c:v>
                </c:pt>
                <c:pt idx="14">
                  <c:v>64.081247667518738</c:v>
                </c:pt>
                <c:pt idx="15">
                  <c:v>64.077527365648464</c:v>
                </c:pt>
                <c:pt idx="16">
                  <c:v>64.073748290133068</c:v>
                </c:pt>
                <c:pt idx="17">
                  <c:v>64.069909745133799</c:v>
                </c:pt>
                <c:pt idx="18">
                  <c:v>64.066011016434032</c:v>
                </c:pt>
                <c:pt idx="19">
                  <c:v>64.0620513711184</c:v>
                </c:pt>
              </c:numCache>
            </c:numRef>
          </c:val>
          <c:smooth val="0"/>
          <c:extLst>
            <c:ext xmlns:c16="http://schemas.microsoft.com/office/drawing/2014/chart" uri="{C3380CC4-5D6E-409C-BE32-E72D297353CC}">
              <c16:uniqueId val="{00000002-C560-4718-AC6A-4551B6E6639F}"/>
            </c:ext>
          </c:extLst>
        </c:ser>
        <c:ser>
          <c:idx val="4"/>
          <c:order val="3"/>
          <c:tx>
            <c:strRef>
              <c:f>[2]Poverty_365!$M$11</c:f>
              <c:strCache>
                <c:ptCount val="1"/>
                <c:pt idx="0">
                  <c:v>ESA</c:v>
                </c:pt>
              </c:strCache>
            </c:strRef>
          </c:tx>
          <c:spPr>
            <a:ln w="28575" cap="rnd">
              <a:solidFill>
                <a:schemeClr val="accent5"/>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[2]Poverty_365!$N$11:$AG$11</c:f>
              <c:numCache>
                <c:formatCode>General</c:formatCode>
                <c:ptCount val="20"/>
                <c:pt idx="0">
                  <c:v>65.5165687371194</c:v>
                </c:pt>
                <c:pt idx="1">
                  <c:v>65.515304931460904</c:v>
                </c:pt>
                <c:pt idx="2">
                  <c:v>65.513998192389707</c:v>
                </c:pt>
                <c:pt idx="3">
                  <c:v>65.51264723352152</c:v>
                </c:pt>
                <c:pt idx="4">
                  <c:v>65.511250715585177</c:v>
                </c:pt>
                <c:pt idx="5">
                  <c:v>65.509807244115564</c:v>
                </c:pt>
                <c:pt idx="6">
                  <c:v>65.508315367035863</c:v>
                </c:pt>
                <c:pt idx="7">
                  <c:v>65.506773572123265</c:v>
                </c:pt>
                <c:pt idx="8">
                  <c:v>65.505180284352662</c:v>
                </c:pt>
                <c:pt idx="9">
                  <c:v>65.503533863111798</c:v>
                </c:pt>
                <c:pt idx="10">
                  <c:v>65.501832599281641</c:v>
                </c:pt>
                <c:pt idx="11">
                  <c:v>65.500074712175063</c:v>
                </c:pt>
                <c:pt idx="12">
                  <c:v>65.49825834632675</c:v>
                </c:pt>
                <c:pt idx="13">
                  <c:v>65.496381568126708</c:v>
                </c:pt>
                <c:pt idx="14">
                  <c:v>65.494442362289362</c:v>
                </c:pt>
                <c:pt idx="15">
                  <c:v>65.492438628150126</c:v>
                </c:pt>
                <c:pt idx="16">
                  <c:v>65.490368175780418</c:v>
                </c:pt>
                <c:pt idx="17">
                  <c:v>65.48822872191198</c:v>
                </c:pt>
                <c:pt idx="18">
                  <c:v>65.486017885660644</c:v>
                </c:pt>
                <c:pt idx="19">
                  <c:v>65.483733184039494</c:v>
                </c:pt>
              </c:numCache>
            </c:numRef>
          </c:val>
          <c:smooth val="0"/>
          <c:extLst>
            <c:ext xmlns:c16="http://schemas.microsoft.com/office/drawing/2014/chart" uri="{C3380CC4-5D6E-409C-BE32-E72D297353CC}">
              <c16:uniqueId val="{00000003-C560-4718-AC6A-4551B6E6639F}"/>
            </c:ext>
          </c:extLst>
        </c:ser>
        <c:ser>
          <c:idx val="5"/>
          <c:order val="4"/>
          <c:tx>
            <c:strRef>
              <c:f>[2]Poverty_365!$M$12</c:f>
              <c:strCache>
                <c:ptCount val="1"/>
                <c:pt idx="0">
                  <c:v>SA</c:v>
                </c:pt>
              </c:strCache>
            </c:strRef>
          </c:tx>
          <c:spPr>
            <a:ln w="28575" cap="rnd">
              <a:solidFill>
                <a:schemeClr val="accent6"/>
              </a:solidFill>
              <a:round/>
            </a:ln>
            <a:effectLst/>
          </c:spPr>
          <c:marker>
            <c:symbol val="none"/>
          </c:marker>
          <c:cat>
            <c:strRef>
              <c:f>[2]Hunger!$I$6:$AB$6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[2]Poverty_365!$N$12:$AG$12</c:f>
              <c:numCache>
                <c:formatCode>General</c:formatCode>
                <c:ptCount val="20"/>
                <c:pt idx="0">
                  <c:v>43.134169730216684</c:v>
                </c:pt>
                <c:pt idx="1">
                  <c:v>42.785936062727707</c:v>
                </c:pt>
                <c:pt idx="2">
                  <c:v>42.423103240684</c:v>
                </c:pt>
                <c:pt idx="3">
                  <c:v>42.045095756720556</c:v>
                </c:pt>
                <c:pt idx="4">
                  <c:v>41.65132322262177</c:v>
                </c:pt>
                <c:pt idx="5">
                  <c:v>41.241181256264561</c:v>
                </c:pt>
                <c:pt idx="6">
                  <c:v>40.814052617892735</c:v>
                </c:pt>
                <c:pt idx="7">
                  <c:v>40.369308632944382</c:v>
                </c:pt>
                <c:pt idx="8">
                  <c:v>39.906310943056774</c:v>
                </c:pt>
                <c:pt idx="9">
                  <c:v>39.424413631627587</c:v>
                </c:pt>
                <c:pt idx="10">
                  <c:v>38.922965775403092</c:v>
                </c:pt>
                <c:pt idx="11">
                  <c:v>38.401314478959492</c:v>
                </c:pt>
                <c:pt idx="12">
                  <c:v>37.858808454588946</c:v>
                </c:pt>
                <c:pt idx="13">
                  <c:v>37.29480221591367</c:v>
                </c:pt>
                <c:pt idx="14">
                  <c:v>36.708660959410587</c:v>
                </c:pt>
                <c:pt idx="15">
                  <c:v>36.099766213769868</c:v>
                </c:pt>
                <c:pt idx="16">
                  <c:v>35.46752234241179</c:v>
                </c:pt>
                <c:pt idx="17">
                  <c:v>34.811363989254396</c:v>
                </c:pt>
                <c:pt idx="18">
                  <c:v>34.130764561582758</c:v>
                </c:pt>
                <c:pt idx="19">
                  <c:v>33.425245846137834</c:v>
                </c:pt>
              </c:numCache>
            </c:numRef>
          </c:val>
          <c:smooth val="0"/>
          <c:extLst>
            <c:ext xmlns:c16="http://schemas.microsoft.com/office/drawing/2014/chart" uri="{C3380CC4-5D6E-409C-BE32-E72D297353CC}">
              <c16:uniqueId val="{00000004-C560-4718-AC6A-4551B6E6639F}"/>
            </c:ext>
          </c:extLst>
        </c:ser>
        <c:ser>
          <c:idx val="0"/>
          <c:order val="5"/>
          <c:tx>
            <c:strRef>
              <c:f>[2]Poverty_365!$M$13</c:f>
              <c:strCache>
                <c:ptCount val="1"/>
                <c:pt idx="0">
                  <c:v>SEA</c:v>
                </c:pt>
              </c:strCache>
            </c:strRef>
          </c:tx>
          <c:spPr>
            <a:ln w="28575" cap="rnd">
              <a:solidFill>
                <a:schemeClr val="accent1"/>
              </a:solidFill>
              <a:round/>
            </a:ln>
            <a:effectLst/>
          </c:spPr>
          <c:marker>
            <c:symbol val="none"/>
          </c:marker>
          <c:val>
            <c:numRef>
              <c:f>[2]Poverty_365!$N$13:$AG$13</c:f>
              <c:numCache>
                <c:formatCode>General</c:formatCode>
                <c:ptCount val="20"/>
                <c:pt idx="0">
                  <c:v>6.6233528939511919</c:v>
                </c:pt>
                <c:pt idx="1">
                  <c:v>5.5934125729499016</c:v>
                </c:pt>
                <c:pt idx="2">
                  <c:v>4.6450586257173407</c:v>
                </c:pt>
                <c:pt idx="3">
                  <c:v>3.786173914837176</c:v>
                </c:pt>
                <c:pt idx="4">
                  <c:v>3.0226307406783413</c:v>
                </c:pt>
                <c:pt idx="5">
                  <c:v>2.357833528713984</c:v>
                </c:pt>
                <c:pt idx="6">
                  <c:v>1.7923686946310629</c:v>
                </c:pt>
                <c:pt idx="7">
                  <c:v>1.3238210051222614</c:v>
                </c:pt>
                <c:pt idx="8">
                  <c:v>0.94680860843435022</c:v>
                </c:pt>
                <c:pt idx="9">
                  <c:v>0.65326964308088331</c:v>
                </c:pt>
                <c:pt idx="10">
                  <c:v>0.43300161114111568</c:v>
                </c:pt>
                <c:pt idx="11">
                  <c:v>0.27441370348333582</c:v>
                </c:pt>
                <c:pt idx="12">
                  <c:v>0.16540941087168839</c:v>
                </c:pt>
                <c:pt idx="13">
                  <c:v>9.4283044263614654E-2</c:v>
                </c:pt>
                <c:pt idx="14">
                  <c:v>5.0501137911965505E-2</c:v>
                </c:pt>
                <c:pt idx="15">
                  <c:v>2.5256506789093403E-2</c:v>
                </c:pt>
                <c:pt idx="16">
                  <c:v>1.172900824802448E-2</c:v>
                </c:pt>
                <c:pt idx="17">
                  <c:v>5.0518673078637812E-3</c:v>
                </c:pt>
                <c:pt idx="18">
                  <c:v>2.045953654585674E-3</c:v>
                </c:pt>
                <c:pt idx="19">
                  <c:v>8.2542744513886197E-4</c:v>
                </c:pt>
              </c:numCache>
            </c:numRef>
          </c:val>
          <c:smooth val="0"/>
          <c:extLst>
            <c:ext xmlns:c16="http://schemas.microsoft.com/office/drawing/2014/chart" uri="{C3380CC4-5D6E-409C-BE32-E72D297353CC}">
              <c16:uniqueId val="{00000005-C560-4718-AC6A-4551B6E6639F}"/>
            </c:ext>
          </c:extLst>
        </c:ser>
        <c:dLbls>
          <c:showLegendKey val="0"/>
          <c:showVal val="0"/>
          <c:showCatName val="0"/>
          <c:showSerName val="0"/>
          <c:showPercent val="0"/>
          <c:showBubbleSize val="0"/>
        </c:dLbls>
        <c:smooth val="0"/>
        <c:axId val="1148425615"/>
        <c:axId val="1148423695"/>
      </c:lineChart>
      <c:catAx>
        <c:axId val="1148425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6367935258092741"/>
              <c:y val="0.823702974628171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3695"/>
        <c:crossesAt val="0"/>
        <c:auto val="1"/>
        <c:lblAlgn val="ctr"/>
        <c:lblOffset val="100"/>
        <c:noMultiLvlLbl val="0"/>
      </c:catAx>
      <c:valAx>
        <c:axId val="1148423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Percentage total 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5615"/>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baseline="0">
                <a:effectLst/>
              </a:rPr>
              <a:t>Poverty Headcount Rate ($6.85)</a:t>
            </a:r>
            <a:r>
              <a:rPr lang="en-AU" sz="1400" b="0" i="0" u="none" strike="noStrike" baseline="0"/>
              <a:t> </a:t>
            </a:r>
            <a:br>
              <a:rPr lang="en-AU" sz="1400" b="0" i="0" u="none" strike="noStrike" baseline="0"/>
            </a:br>
            <a:r>
              <a:rPr lang="en-AU" sz="1050" b="0" i="1" u="none" strike="noStrike" baseline="0"/>
              <a:t>Share of total population living below the poverty line</a:t>
            </a:r>
            <a:endParaRPr lang="en-AU" sz="105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2524619708264925"/>
          <c:y val="0.23455526947007413"/>
          <c:w val="0.8414541043189534"/>
          <c:h val="0.56593230110665493"/>
        </c:manualLayout>
      </c:layout>
      <c:lineChart>
        <c:grouping val="standard"/>
        <c:varyColors val="0"/>
        <c:ser>
          <c:idx val="0"/>
          <c:order val="0"/>
          <c:tx>
            <c:strRef>
              <c:f>[2]Poverty_685!$M$8</c:f>
              <c:strCache>
                <c:ptCount val="1"/>
                <c:pt idx="0">
                  <c:v>LAC</c:v>
                </c:pt>
              </c:strCache>
            </c:strRef>
          </c:tx>
          <c:spPr>
            <a:ln w="28575" cap="rnd">
              <a:solidFill>
                <a:schemeClr val="accent1"/>
              </a:solidFill>
              <a:round/>
            </a:ln>
            <a:effectLst/>
          </c:spPr>
          <c:marker>
            <c:symbol val="none"/>
          </c:marker>
          <c:cat>
            <c:strRef>
              <c:f>[2]Poverty_685!$N$6:$AG$6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[2]Poverty_685!$N$8:$AG$8</c:f>
              <c:numCache>
                <c:formatCode>General</c:formatCode>
                <c:ptCount val="20"/>
                <c:pt idx="0">
                  <c:v>31.997969993346203</c:v>
                </c:pt>
                <c:pt idx="1">
                  <c:v>32.039062810175608</c:v>
                </c:pt>
                <c:pt idx="2">
                  <c:v>32.079057725043626</c:v>
                </c:pt>
                <c:pt idx="3">
                  <c:v>32.117938611160028</c:v>
                </c:pt>
                <c:pt idx="4">
                  <c:v>32.15568892393707</c:v>
                </c:pt>
                <c:pt idx="5">
                  <c:v>32.192291687299296</c:v>
                </c:pt>
                <c:pt idx="6">
                  <c:v>32.227729479466248</c:v>
                </c:pt>
                <c:pt idx="7">
                  <c:v>32.261984418183793</c:v>
                </c:pt>
                <c:pt idx="8">
                  <c:v>32.295038145378363</c:v>
                </c:pt>
                <c:pt idx="9">
                  <c:v>32.326871811207042</c:v>
                </c:pt>
                <c:pt idx="10">
                  <c:v>32.35746605747552</c:v>
                </c:pt>
                <c:pt idx="11">
                  <c:v>32.386801000393902</c:v>
                </c:pt>
                <c:pt idx="12">
                  <c:v>32.414856212639791</c:v>
                </c:pt>
                <c:pt idx="13">
                  <c:v>32.441610704695691</c:v>
                </c:pt>
                <c:pt idx="14">
                  <c:v>32.467042905426887</c:v>
                </c:pt>
                <c:pt idx="15">
                  <c:v>32.491130641864018</c:v>
                </c:pt>
                <c:pt idx="16">
                  <c:v>32.513851118152751</c:v>
                </c:pt>
                <c:pt idx="17">
                  <c:v>32.53518089363169</c:v>
                </c:pt>
                <c:pt idx="18">
                  <c:v>32.555095859997088</c:v>
                </c:pt>
                <c:pt idx="19">
                  <c:v>32.573571217511805</c:v>
                </c:pt>
              </c:numCache>
            </c:numRef>
          </c:val>
          <c:smooth val="0"/>
          <c:extLst>
            <c:ext xmlns:c16="http://schemas.microsoft.com/office/drawing/2014/chart" uri="{C3380CC4-5D6E-409C-BE32-E72D297353CC}">
              <c16:uniqueId val="{00000000-033F-4BEA-9EF8-73308288A37F}"/>
            </c:ext>
          </c:extLst>
        </c:ser>
        <c:ser>
          <c:idx val="1"/>
          <c:order val="1"/>
          <c:tx>
            <c:strRef>
              <c:f>[2]Poverty_685!$M$9</c:f>
              <c:strCache>
                <c:ptCount val="1"/>
                <c:pt idx="0">
                  <c:v>CWANA</c:v>
                </c:pt>
              </c:strCache>
            </c:strRef>
          </c:tx>
          <c:spPr>
            <a:ln w="28575" cap="rnd">
              <a:solidFill>
                <a:schemeClr val="accent2"/>
              </a:solidFill>
              <a:round/>
            </a:ln>
            <a:effectLst/>
          </c:spPr>
          <c:marker>
            <c:symbol val="none"/>
          </c:marker>
          <c:val>
            <c:numRef>
              <c:f>[2]Poverty_685!$N$9:$AG$9</c:f>
              <c:numCache>
                <c:formatCode>General</c:formatCode>
                <c:ptCount val="20"/>
                <c:pt idx="0">
                  <c:v>39.779016636555149</c:v>
                </c:pt>
                <c:pt idx="1">
                  <c:v>39.643680609114753</c:v>
                </c:pt>
                <c:pt idx="2">
                  <c:v>39.506380908463292</c:v>
                </c:pt>
                <c:pt idx="3">
                  <c:v>39.367094354850529</c:v>
                </c:pt>
                <c:pt idx="4">
                  <c:v>39.225797452353419</c:v>
                </c:pt>
                <c:pt idx="5">
                  <c:v>39.082466386812591</c:v>
                </c:pt>
                <c:pt idx="6">
                  <c:v>38.937077023844417</c:v>
                </c:pt>
                <c:pt idx="7">
                  <c:v>38.789604906939594</c:v>
                </c:pt>
                <c:pt idx="8">
                  <c:v>38.640025255660525</c:v>
                </c:pt>
                <c:pt idx="9">
                  <c:v>38.488312963950222</c:v>
                </c:pt>
                <c:pt idx="10">
                  <c:v>38.334442598567406</c:v>
                </c:pt>
                <c:pt idx="11">
                  <c:v>38.178388397663184</c:v>
                </c:pt>
                <c:pt idx="12">
                  <c:v>38.020124269516145</c:v>
                </c:pt>
                <c:pt idx="13">
                  <c:v>37.859623791444534</c:v>
                </c:pt>
                <c:pt idx="14">
                  <c:v>37.69686020891541</c:v>
                </c:pt>
                <c:pt idx="15">
                  <c:v>37.531806434872571</c:v>
                </c:pt>
                <c:pt idx="16">
                  <c:v>37.364435049306998</c:v>
                </c:pt>
                <c:pt idx="17">
                  <c:v>37.194718299095641</c:v>
                </c:pt>
                <c:pt idx="18">
                  <c:v>37.022628098136288</c:v>
                </c:pt>
                <c:pt idx="19">
                  <c:v>36.848136027809275</c:v>
                </c:pt>
              </c:numCache>
            </c:numRef>
          </c:val>
          <c:smooth val="0"/>
          <c:extLst>
            <c:ext xmlns:c16="http://schemas.microsoft.com/office/drawing/2014/chart" uri="{C3380CC4-5D6E-409C-BE32-E72D297353CC}">
              <c16:uniqueId val="{00000001-033F-4BEA-9EF8-73308288A37F}"/>
            </c:ext>
          </c:extLst>
        </c:ser>
        <c:ser>
          <c:idx val="2"/>
          <c:order val="2"/>
          <c:tx>
            <c:strRef>
              <c:f>[2]Poverty_685!$M$10</c:f>
              <c:strCache>
                <c:ptCount val="1"/>
                <c:pt idx="0">
                  <c:v>WCA</c:v>
                </c:pt>
              </c:strCache>
            </c:strRef>
          </c:tx>
          <c:spPr>
            <a:ln w="28575" cap="rnd">
              <a:solidFill>
                <a:schemeClr val="accent3"/>
              </a:solidFill>
              <a:round/>
            </a:ln>
            <a:effectLst/>
          </c:spPr>
          <c:marker>
            <c:symbol val="none"/>
          </c:marker>
          <c:val>
            <c:numRef>
              <c:f>[2]Poverty_685!$N$10:$AG$10</c:f>
              <c:numCache>
                <c:formatCode>General</c:formatCode>
                <c:ptCount val="20"/>
                <c:pt idx="0">
                  <c:v>88.509866853767235</c:v>
                </c:pt>
                <c:pt idx="1">
                  <c:v>88.506905907516682</c:v>
                </c:pt>
                <c:pt idx="2">
                  <c:v>88.503894154216354</c:v>
                </c:pt>
                <c:pt idx="3">
                  <c:v>88.500831127247025</c:v>
                </c:pt>
                <c:pt idx="4">
                  <c:v>88.49771634506611</c:v>
                </c:pt>
                <c:pt idx="5">
                  <c:v>88.494549311019711</c:v>
                </c:pt>
                <c:pt idx="6">
                  <c:v>88.491329513146155</c:v>
                </c:pt>
                <c:pt idx="7">
                  <c:v>88.488056423970917</c:v>
                </c:pt>
                <c:pt idx="8">
                  <c:v>88.484729500292858</c:v>
                </c:pt>
                <c:pt idx="9">
                  <c:v>88.481348182961682</c:v>
                </c:pt>
                <c:pt idx="10">
                  <c:v>88.477911896646276</c:v>
                </c:pt>
                <c:pt idx="11">
                  <c:v>88.47442004959386</c:v>
                </c:pt>
                <c:pt idx="12">
                  <c:v>88.470872033379976</c:v>
                </c:pt>
                <c:pt idx="13">
                  <c:v>88.467267222648758</c:v>
                </c:pt>
                <c:pt idx="14">
                  <c:v>88.463604974843548</c:v>
                </c:pt>
                <c:pt idx="15">
                  <c:v>88.459884629927714</c:v>
                </c:pt>
                <c:pt idx="16">
                  <c:v>88.456105510095327</c:v>
                </c:pt>
                <c:pt idx="17">
                  <c:v>88.452266919471526</c:v>
                </c:pt>
                <c:pt idx="18">
                  <c:v>88.44836814380244</c:v>
                </c:pt>
                <c:pt idx="19">
                  <c:v>88.444408450134276</c:v>
                </c:pt>
              </c:numCache>
            </c:numRef>
          </c:val>
          <c:smooth val="0"/>
          <c:extLst>
            <c:ext xmlns:c16="http://schemas.microsoft.com/office/drawing/2014/chart" uri="{C3380CC4-5D6E-409C-BE32-E72D297353CC}">
              <c16:uniqueId val="{00000002-033F-4BEA-9EF8-73308288A37F}"/>
            </c:ext>
          </c:extLst>
        </c:ser>
        <c:ser>
          <c:idx val="3"/>
          <c:order val="3"/>
          <c:tx>
            <c:strRef>
              <c:f>[2]Poverty_685!$M$11</c:f>
              <c:strCache>
                <c:ptCount val="1"/>
                <c:pt idx="0">
                  <c:v>ESA</c:v>
                </c:pt>
              </c:strCache>
            </c:strRef>
          </c:tx>
          <c:spPr>
            <a:ln w="28575" cap="rnd">
              <a:solidFill>
                <a:schemeClr val="accent4"/>
              </a:solidFill>
              <a:round/>
            </a:ln>
            <a:effectLst/>
          </c:spPr>
          <c:marker>
            <c:symbol val="none"/>
          </c:marker>
          <c:val>
            <c:numRef>
              <c:f>[2]Poverty_685!$N$11:$AG$11</c:f>
              <c:numCache>
                <c:formatCode>General</c:formatCode>
                <c:ptCount val="20"/>
                <c:pt idx="0">
                  <c:v>87.439470089502706</c:v>
                </c:pt>
                <c:pt idx="1">
                  <c:v>87.438206272418199</c:v>
                </c:pt>
                <c:pt idx="2">
                  <c:v>87.43689952147345</c:v>
                </c:pt>
                <c:pt idx="3">
                  <c:v>87.435548550266446</c:v>
                </c:pt>
                <c:pt idx="4">
                  <c:v>87.434152019507337</c:v>
                </c:pt>
                <c:pt idx="5">
                  <c:v>87.432708534711367</c:v>
                </c:pt>
                <c:pt idx="6">
                  <c:v>87.431216643780985</c:v>
                </c:pt>
                <c:pt idx="7">
                  <c:v>87.429674834471584</c:v>
                </c:pt>
                <c:pt idx="8">
                  <c:v>87.428081531735046</c:v>
                </c:pt>
                <c:pt idx="9">
                  <c:v>87.426435094934845</c:v>
                </c:pt>
                <c:pt idx="10">
                  <c:v>87.424733814926384</c:v>
                </c:pt>
                <c:pt idx="11">
                  <c:v>87.422975910995547</c:v>
                </c:pt>
                <c:pt idx="12">
                  <c:v>87.421159527648513</c:v>
                </c:pt>
                <c:pt idx="13">
                  <c:v>87.41928273124519</c:v>
                </c:pt>
                <c:pt idx="14">
                  <c:v>87.417343506468242</c:v>
                </c:pt>
                <c:pt idx="15">
                  <c:v>87.415339752619502</c:v>
                </c:pt>
                <c:pt idx="16">
                  <c:v>87.413269279734905</c:v>
                </c:pt>
                <c:pt idx="17">
                  <c:v>87.411129804508619</c:v>
                </c:pt>
                <c:pt idx="18">
                  <c:v>87.408918946016826</c:v>
                </c:pt>
                <c:pt idx="19">
                  <c:v>87.406634221230576</c:v>
                </c:pt>
              </c:numCache>
            </c:numRef>
          </c:val>
          <c:smooth val="0"/>
          <c:extLst>
            <c:ext xmlns:c16="http://schemas.microsoft.com/office/drawing/2014/chart" uri="{C3380CC4-5D6E-409C-BE32-E72D297353CC}">
              <c16:uniqueId val="{00000003-033F-4BEA-9EF8-73308288A37F}"/>
            </c:ext>
          </c:extLst>
        </c:ser>
        <c:ser>
          <c:idx val="4"/>
          <c:order val="4"/>
          <c:tx>
            <c:strRef>
              <c:f>[2]Poverty_685!$M$12</c:f>
              <c:strCache>
                <c:ptCount val="1"/>
                <c:pt idx="0">
                  <c:v>SA</c:v>
                </c:pt>
              </c:strCache>
            </c:strRef>
          </c:tx>
          <c:spPr>
            <a:ln w="28575" cap="rnd">
              <a:solidFill>
                <a:schemeClr val="accent5"/>
              </a:solidFill>
              <a:round/>
            </a:ln>
            <a:effectLst/>
          </c:spPr>
          <c:marker>
            <c:symbol val="none"/>
          </c:marker>
          <c:val>
            <c:numRef>
              <c:f>[2]Poverty_685!$N$12:$AG$12</c:f>
              <c:numCache>
                <c:formatCode>General</c:formatCode>
                <c:ptCount val="20"/>
                <c:pt idx="0">
                  <c:v>80.974434595048464</c:v>
                </c:pt>
                <c:pt idx="1">
                  <c:v>80.959242803092351</c:v>
                </c:pt>
                <c:pt idx="2">
                  <c:v>80.943388042141493</c:v>
                </c:pt>
                <c:pt idx="3">
                  <c:v>80.926840343727847</c:v>
                </c:pt>
                <c:pt idx="4">
                  <c:v>80.909568355452805</c:v>
                </c:pt>
                <c:pt idx="5">
                  <c:v>80.891539276056207</c:v>
                </c:pt>
                <c:pt idx="6">
                  <c:v>80.87271878739547</c:v>
                </c:pt>
                <c:pt idx="7">
                  <c:v>80.853070983186115</c:v>
                </c:pt>
                <c:pt idx="8">
                  <c:v>80.832558294348132</c:v>
                </c:pt>
                <c:pt idx="9">
                  <c:v>80.811141410795415</c:v>
                </c:pt>
                <c:pt idx="10">
                  <c:v>80.788779199497441</c:v>
                </c:pt>
                <c:pt idx="11">
                  <c:v>80.765428618634701</c:v>
                </c:pt>
                <c:pt idx="12">
                  <c:v>80.741044627660742</c:v>
                </c:pt>
                <c:pt idx="13">
                  <c:v>80.715580093075289</c:v>
                </c:pt>
                <c:pt idx="14">
                  <c:v>80.688985689703458</c:v>
                </c:pt>
                <c:pt idx="15">
                  <c:v>80.661209797267162</c:v>
                </c:pt>
                <c:pt idx="16">
                  <c:v>80.632198392024776</c:v>
                </c:pt>
                <c:pt idx="17">
                  <c:v>80.601894933245035</c:v>
                </c:pt>
                <c:pt idx="18">
                  <c:v>80.570240244270892</c:v>
                </c:pt>
                <c:pt idx="19">
                  <c:v>80.537172387918261</c:v>
                </c:pt>
              </c:numCache>
            </c:numRef>
          </c:val>
          <c:smooth val="0"/>
          <c:extLst>
            <c:ext xmlns:c16="http://schemas.microsoft.com/office/drawing/2014/chart" uri="{C3380CC4-5D6E-409C-BE32-E72D297353CC}">
              <c16:uniqueId val="{00000004-033F-4BEA-9EF8-73308288A37F}"/>
            </c:ext>
          </c:extLst>
        </c:ser>
        <c:ser>
          <c:idx val="5"/>
          <c:order val="5"/>
          <c:tx>
            <c:strRef>
              <c:f>[2]Poverty_685!$M$13</c:f>
              <c:strCache>
                <c:ptCount val="1"/>
                <c:pt idx="0">
                  <c:v>SEA</c:v>
                </c:pt>
              </c:strCache>
            </c:strRef>
          </c:tx>
          <c:spPr>
            <a:ln w="28575" cap="rnd">
              <a:solidFill>
                <a:schemeClr val="accent6"/>
              </a:solidFill>
              <a:round/>
            </a:ln>
            <a:effectLst/>
          </c:spPr>
          <c:marker>
            <c:symbol val="none"/>
          </c:marker>
          <c:val>
            <c:numRef>
              <c:f>[2]Poverty_685!$N$13:$AG$13</c:f>
              <c:numCache>
                <c:formatCode>General</c:formatCode>
                <c:ptCount val="20"/>
                <c:pt idx="0">
                  <c:v>29.552820007379527</c:v>
                </c:pt>
                <c:pt idx="1">
                  <c:v>28.453080931793412</c:v>
                </c:pt>
                <c:pt idx="2">
                  <c:v>27.310321404829729</c:v>
                </c:pt>
                <c:pt idx="3">
                  <c:v>26.12551348313033</c:v>
                </c:pt>
                <c:pt idx="4">
                  <c:v>24.900204498083639</c:v>
                </c:pt>
                <c:pt idx="5">
                  <c:v>23.63660480947399</c:v>
                </c:pt>
                <c:pt idx="6">
                  <c:v>22.337678810268585</c:v>
                </c:pt>
                <c:pt idx="7">
                  <c:v>21.007236195027286</c:v>
                </c:pt>
                <c:pt idx="8">
                  <c:v>19.65001929952161</c:v>
                </c:pt>
                <c:pt idx="9">
                  <c:v>18.271780897959644</c:v>
                </c:pt>
                <c:pt idx="10">
                  <c:v>16.879345241730842</c:v>
                </c:pt>
                <c:pt idx="11">
                  <c:v>15.480643420645551</c:v>
                </c:pt>
                <c:pt idx="12">
                  <c:v>14.084712469190334</c:v>
                </c:pt>
                <c:pt idx="13">
                  <c:v>12.701646254863919</c:v>
                </c:pt>
                <c:pt idx="14">
                  <c:v>11.342485402175255</c:v>
                </c:pt>
                <c:pt idx="15">
                  <c:v>10.019033761655447</c:v>
                </c:pt>
                <c:pt idx="16">
                  <c:v>8.7435907626419773</c:v>
                </c:pt>
                <c:pt idx="17">
                  <c:v>7.5285929792859632</c:v>
                </c:pt>
                <c:pt idx="18">
                  <c:v>6.3861649398990448</c:v>
                </c:pt>
                <c:pt idx="19">
                  <c:v>5.3275889751452086</c:v>
                </c:pt>
              </c:numCache>
            </c:numRef>
          </c:val>
          <c:smooth val="0"/>
          <c:extLst>
            <c:ext xmlns:c16="http://schemas.microsoft.com/office/drawing/2014/chart" uri="{C3380CC4-5D6E-409C-BE32-E72D297353CC}">
              <c16:uniqueId val="{00000005-033F-4BEA-9EF8-73308288A37F}"/>
            </c:ext>
          </c:extLst>
        </c:ser>
        <c:dLbls>
          <c:showLegendKey val="0"/>
          <c:showVal val="0"/>
          <c:showCatName val="0"/>
          <c:showSerName val="0"/>
          <c:showPercent val="0"/>
          <c:showBubbleSize val="0"/>
        </c:dLbls>
        <c:smooth val="0"/>
        <c:axId val="929478607"/>
        <c:axId val="929479087"/>
      </c:lineChart>
      <c:catAx>
        <c:axId val="92947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5891529509345119"/>
              <c:y val="0.872735050388953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9087"/>
        <c:crosses val="autoZero"/>
        <c:auto val="1"/>
        <c:lblAlgn val="ctr"/>
        <c:lblOffset val="100"/>
        <c:noMultiLvlLbl val="0"/>
      </c:catAx>
      <c:valAx>
        <c:axId val="929479087"/>
        <c:scaling>
          <c:orientation val="minMax"/>
          <c:max val="9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Share,</a:t>
                </a:r>
                <a:r>
                  <a:rPr lang="en-AU" baseline="0"/>
                  <a:t> total population</a:t>
                </a:r>
                <a:endParaRPr lang="en-AU"/>
              </a:p>
            </c:rich>
          </c:tx>
          <c:layout>
            <c:manualLayout>
              <c:xMode val="edge"/>
              <c:yMode val="edge"/>
              <c:x val="8.3249246495993336E-3"/>
              <c:y val="0.243954398681457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8607"/>
        <c:crosses val="autoZero"/>
        <c:crossBetween val="between"/>
        <c:majorUnit val="10"/>
      </c:valAx>
      <c:spPr>
        <a:noFill/>
        <a:ln>
          <a:noFill/>
        </a:ln>
        <a:effectLst/>
      </c:spPr>
    </c:plotArea>
    <c:legend>
      <c:legendPos val="b"/>
      <c:layout>
        <c:manualLayout>
          <c:xMode val="edge"/>
          <c:yMode val="edge"/>
          <c:x val="9.6282232862782091E-2"/>
          <c:y val="0.9206942922122664"/>
          <c:w val="0.80743531577247651"/>
          <c:h val="7.93057077877336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effectLst/>
              </a:rPr>
              <a:t>Agrifood System Jobs (incl. subsistence farming and informal sector)</a:t>
            </a:r>
          </a:p>
          <a:p>
            <a:pPr>
              <a:defRPr/>
            </a:pPr>
            <a:r>
              <a:rPr lang="en-AU" sz="1050" b="0" i="1" u="none" strike="noStrike" baseline="0"/>
              <a:t>Millions of workers</a:t>
            </a:r>
            <a:endParaRPr lang="en-AU" sz="105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2524619708264925"/>
          <c:y val="0.23455526947007413"/>
          <c:w val="0.8414541043189534"/>
          <c:h val="0.56593230110665493"/>
        </c:manualLayout>
      </c:layout>
      <c:lineChart>
        <c:grouping val="standard"/>
        <c:varyColors val="0"/>
        <c:ser>
          <c:idx val="0"/>
          <c:order val="0"/>
          <c:tx>
            <c:strRef>
              <c:f>[2]Jobs!$H$8</c:f>
              <c:strCache>
                <c:ptCount val="1"/>
                <c:pt idx="0">
                  <c:v>LAC</c:v>
                </c:pt>
              </c:strCache>
            </c:strRef>
          </c:tx>
          <c:spPr>
            <a:ln w="28575" cap="rnd">
              <a:solidFill>
                <a:schemeClr val="accent1"/>
              </a:solidFill>
              <a:round/>
            </a:ln>
            <a:effectLst/>
          </c:spPr>
          <c:marker>
            <c:symbol val="none"/>
          </c:marker>
          <c:cat>
            <c:strRef>
              <c:f>[2]Poverty_685!$N$6:$AG$6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[2]Jobs!$I$8:$AB$8</c:f>
              <c:numCache>
                <c:formatCode>General</c:formatCode>
                <c:ptCount val="20"/>
                <c:pt idx="0">
                  <c:v>79.453806000000029</c:v>
                </c:pt>
                <c:pt idx="1">
                  <c:v>81.086566054723761</c:v>
                </c:pt>
                <c:pt idx="2">
                  <c:v>82.761199563724261</c:v>
                </c:pt>
                <c:pt idx="3">
                  <c:v>84.478933000031432</c:v>
                </c:pt>
                <c:pt idx="4">
                  <c:v>86.241032775044218</c:v>
                </c:pt>
                <c:pt idx="5">
                  <c:v>88.048806699008438</c:v>
                </c:pt>
                <c:pt idx="6">
                  <c:v>89.903605503022717</c:v>
                </c:pt>
                <c:pt idx="7">
                  <c:v>91.806824425594613</c:v>
                </c:pt>
                <c:pt idx="8">
                  <c:v>93.75990486693928</c:v>
                </c:pt>
                <c:pt idx="9">
                  <c:v>95.764336114393075</c:v>
                </c:pt>
                <c:pt idx="10">
                  <c:v>97.821657142505401</c:v>
                </c:pt>
                <c:pt idx="11">
                  <c:v>99.933458491576303</c:v>
                </c:pt>
                <c:pt idx="12">
                  <c:v>102.10138422862239</c:v>
                </c:pt>
                <c:pt idx="13">
                  <c:v>104.32713399498354</c:v>
                </c:pt>
                <c:pt idx="14">
                  <c:v>106.61246514502676</c:v>
                </c:pt>
                <c:pt idx="15">
                  <c:v>108.95919498066223</c:v>
                </c:pt>
                <c:pt idx="16">
                  <c:v>111.36920308666291</c:v>
                </c:pt>
                <c:pt idx="17">
                  <c:v>113.8444337720708</c:v>
                </c:pt>
                <c:pt idx="18">
                  <c:v>116.38689862328633</c:v>
                </c:pt>
                <c:pt idx="19">
                  <c:v>118.9986791747661</c:v>
                </c:pt>
              </c:numCache>
            </c:numRef>
          </c:val>
          <c:smooth val="0"/>
          <c:extLst>
            <c:ext xmlns:c16="http://schemas.microsoft.com/office/drawing/2014/chart" uri="{C3380CC4-5D6E-409C-BE32-E72D297353CC}">
              <c16:uniqueId val="{00000000-0B40-455F-A350-EFFA36C3D664}"/>
            </c:ext>
          </c:extLst>
        </c:ser>
        <c:ser>
          <c:idx val="1"/>
          <c:order val="1"/>
          <c:tx>
            <c:strRef>
              <c:f>[2]Jobs!$H$9</c:f>
              <c:strCache>
                <c:ptCount val="1"/>
                <c:pt idx="0">
                  <c:v>CWANA</c:v>
                </c:pt>
              </c:strCache>
            </c:strRef>
          </c:tx>
          <c:spPr>
            <a:ln w="28575" cap="rnd">
              <a:solidFill>
                <a:schemeClr val="accent2"/>
              </a:solidFill>
              <a:round/>
            </a:ln>
            <a:effectLst/>
          </c:spPr>
          <c:marker>
            <c:symbol val="none"/>
          </c:marker>
          <c:val>
            <c:numRef>
              <c:f>[2]Jobs!$I$9:$AB$9</c:f>
              <c:numCache>
                <c:formatCode>General</c:formatCode>
                <c:ptCount val="20"/>
                <c:pt idx="0">
                  <c:v>50.377779000000018</c:v>
                </c:pt>
                <c:pt idx="1">
                  <c:v>51.475883640949675</c:v>
                </c:pt>
                <c:pt idx="2">
                  <c:v>52.60694668056464</c:v>
                </c:pt>
                <c:pt idx="3">
                  <c:v>53.772163611607844</c:v>
                </c:pt>
                <c:pt idx="4">
                  <c:v>54.972780888224577</c:v>
                </c:pt>
                <c:pt idx="5">
                  <c:v>56.210098413985783</c:v>
                </c:pt>
                <c:pt idx="6">
                  <c:v>57.485472164940759</c:v>
                </c:pt>
                <c:pt idx="7">
                  <c:v>58.800316955564412</c:v>
                </c:pt>
                <c:pt idx="8">
                  <c:v>60.156109355966279</c:v>
                </c:pt>
                <c:pt idx="9">
                  <c:v>61.554390769242069</c:v>
                </c:pt>
                <c:pt idx="10">
                  <c:v>62.996770678393503</c:v>
                </c:pt>
                <c:pt idx="11">
                  <c:v>64.484930072822266</c:v>
                </c:pt>
                <c:pt idx="12">
                  <c:v>66.020625065020141</c:v>
                </c:pt>
                <c:pt idx="13">
                  <c:v>67.605690708732766</c:v>
                </c:pt>
                <c:pt idx="14">
                  <c:v>69.242045030571489</c:v>
                </c:pt>
                <c:pt idx="15">
                  <c:v>70.931693287788633</c:v>
                </c:pt>
                <c:pt idx="16">
                  <c:v>72.676732465719184</c:v>
                </c:pt>
                <c:pt idx="17">
                  <c:v>74.479356029230715</c:v>
                </c:pt>
                <c:pt idx="18">
                  <c:v>76.341858943413598</c:v>
                </c:pt>
                <c:pt idx="19">
                  <c:v>78.266642979691554</c:v>
                </c:pt>
              </c:numCache>
            </c:numRef>
          </c:val>
          <c:smooth val="0"/>
          <c:extLst>
            <c:ext xmlns:c16="http://schemas.microsoft.com/office/drawing/2014/chart" uri="{C3380CC4-5D6E-409C-BE32-E72D297353CC}">
              <c16:uniqueId val="{00000001-0B40-455F-A350-EFFA36C3D664}"/>
            </c:ext>
          </c:extLst>
        </c:ser>
        <c:ser>
          <c:idx val="2"/>
          <c:order val="2"/>
          <c:tx>
            <c:strRef>
              <c:f>[2]Jobs!$H$10</c:f>
              <c:strCache>
                <c:ptCount val="1"/>
                <c:pt idx="0">
                  <c:v>WCA</c:v>
                </c:pt>
              </c:strCache>
            </c:strRef>
          </c:tx>
          <c:spPr>
            <a:ln w="28575" cap="rnd">
              <a:solidFill>
                <a:schemeClr val="accent3"/>
              </a:solidFill>
              <a:round/>
            </a:ln>
            <a:effectLst/>
          </c:spPr>
          <c:marker>
            <c:symbol val="none"/>
          </c:marker>
          <c:val>
            <c:numRef>
              <c:f>[2]Jobs!$I$10:$AB$10</c:f>
              <c:numCache>
                <c:formatCode>General</c:formatCode>
                <c:ptCount val="20"/>
                <c:pt idx="0">
                  <c:v>118.18600999999997</c:v>
                </c:pt>
                <c:pt idx="1">
                  <c:v>122.23843040211432</c:v>
                </c:pt>
                <c:pt idx="2">
                  <c:v>126.45316524656667</c:v>
                </c:pt>
                <c:pt idx="3">
                  <c:v>130.83720375098156</c:v>
                </c:pt>
                <c:pt idx="4">
                  <c:v>135.39784981501148</c:v>
                </c:pt>
                <c:pt idx="5">
                  <c:v>140.14273666406737</c:v>
                </c:pt>
                <c:pt idx="6">
                  <c:v>145.07984219400183</c:v>
                </c:pt>
                <c:pt idx="7">
                  <c:v>150.21750505118411</c:v>
                </c:pt>
                <c:pt idx="8">
                  <c:v>155.56444148413863</c:v>
                </c:pt>
                <c:pt idx="9">
                  <c:v>161.12976300474412</c:v>
                </c:pt>
                <c:pt idx="10">
                  <c:v>166.92299489890539</c:v>
                </c:pt>
                <c:pt idx="11">
                  <c:v>172.95409562862969</c:v>
                </c:pt>
                <c:pt idx="12">
                  <c:v>179.23347716955743</c:v>
                </c:pt>
                <c:pt idx="13">
                  <c:v>185.77202633022995</c:v>
                </c:pt>
                <c:pt idx="14">
                  <c:v>192.58112710172094</c:v>
                </c:pt>
                <c:pt idx="15">
                  <c:v>199.67268408872843</c:v>
                </c:pt>
                <c:pt idx="16">
                  <c:v>207.05914707581761</c:v>
                </c:pt>
                <c:pt idx="17">
                  <c:v>214.75353678523783</c:v>
                </c:pt>
                <c:pt idx="18">
                  <c:v>222.7694718856078</c:v>
                </c:pt>
                <c:pt idx="19">
                  <c:v>231.1211973137884</c:v>
                </c:pt>
              </c:numCache>
            </c:numRef>
          </c:val>
          <c:smooth val="0"/>
          <c:extLst>
            <c:ext xmlns:c16="http://schemas.microsoft.com/office/drawing/2014/chart" uri="{C3380CC4-5D6E-409C-BE32-E72D297353CC}">
              <c16:uniqueId val="{00000002-0B40-455F-A350-EFFA36C3D664}"/>
            </c:ext>
          </c:extLst>
        </c:ser>
        <c:ser>
          <c:idx val="3"/>
          <c:order val="3"/>
          <c:tx>
            <c:strRef>
              <c:f>[2]Jobs!$H$11</c:f>
              <c:strCache>
                <c:ptCount val="1"/>
                <c:pt idx="0">
                  <c:v>ESA</c:v>
                </c:pt>
              </c:strCache>
            </c:strRef>
          </c:tx>
          <c:spPr>
            <a:ln w="28575" cap="rnd">
              <a:solidFill>
                <a:schemeClr val="accent4"/>
              </a:solidFill>
              <a:round/>
            </a:ln>
            <a:effectLst/>
          </c:spPr>
          <c:marker>
            <c:symbol val="none"/>
          </c:marker>
          <c:val>
            <c:numRef>
              <c:f>[2]Jobs!$I$11:$AB$11</c:f>
              <c:numCache>
                <c:formatCode>General</c:formatCode>
                <c:ptCount val="20"/>
                <c:pt idx="0">
                  <c:v>152.33566000000002</c:v>
                </c:pt>
                <c:pt idx="1">
                  <c:v>158.07421116433346</c:v>
                </c:pt>
                <c:pt idx="2">
                  <c:v>164.07237269379897</c:v>
                </c:pt>
                <c:pt idx="3">
                  <c:v>170.34341970834708</c:v>
                </c:pt>
                <c:pt idx="4">
                  <c:v>176.90137254096749</c:v>
                </c:pt>
                <c:pt idx="5">
                  <c:v>183.76104196085666</c:v>
                </c:pt>
                <c:pt idx="6">
                  <c:v>190.93807732942491</c:v>
                </c:pt>
                <c:pt idx="7">
                  <c:v>198.44901789019178</c:v>
                </c:pt>
                <c:pt idx="8">
                  <c:v>206.31134740803611</c:v>
                </c:pt>
                <c:pt idx="9">
                  <c:v>214.54355238875252</c:v>
                </c:pt>
                <c:pt idx="10">
                  <c:v>223.16518412650379</c:v>
                </c:pt>
                <c:pt idx="11">
                  <c:v>232.19692484464082</c:v>
                </c:pt>
                <c:pt idx="12">
                  <c:v>241.6606582145759</c:v>
                </c:pt>
                <c:pt idx="13">
                  <c:v>251.57954455804838</c:v>
                </c:pt>
                <c:pt idx="14">
                  <c:v>261.97810106032796</c:v>
                </c:pt>
                <c:pt idx="15">
                  <c:v>272.88228734576751</c:v>
                </c:pt>
                <c:pt idx="16">
                  <c:v>284.31959679279009</c:v>
                </c:pt>
                <c:pt idx="17">
                  <c:v>296.31915399299453</c:v>
                </c:pt>
                <c:pt idx="18">
                  <c:v>308.91181878875346</c:v>
                </c:pt>
                <c:pt idx="19">
                  <c:v>322.13029735561247</c:v>
                </c:pt>
              </c:numCache>
            </c:numRef>
          </c:val>
          <c:smooth val="0"/>
          <c:extLst>
            <c:ext xmlns:c16="http://schemas.microsoft.com/office/drawing/2014/chart" uri="{C3380CC4-5D6E-409C-BE32-E72D297353CC}">
              <c16:uniqueId val="{00000003-0B40-455F-A350-EFFA36C3D664}"/>
            </c:ext>
          </c:extLst>
        </c:ser>
        <c:ser>
          <c:idx val="4"/>
          <c:order val="4"/>
          <c:tx>
            <c:strRef>
              <c:f>[2]Jobs!$H$12</c:f>
              <c:strCache>
                <c:ptCount val="1"/>
                <c:pt idx="0">
                  <c:v>SA</c:v>
                </c:pt>
              </c:strCache>
            </c:strRef>
          </c:tx>
          <c:spPr>
            <a:ln w="28575" cap="rnd">
              <a:solidFill>
                <a:schemeClr val="accent5"/>
              </a:solidFill>
              <a:round/>
            </a:ln>
            <a:effectLst/>
          </c:spPr>
          <c:marker>
            <c:symbol val="none"/>
          </c:marker>
          <c:val>
            <c:numRef>
              <c:f>[2]Jobs!$I$12:$AB$12</c:f>
              <c:numCache>
                <c:formatCode>General</c:formatCode>
                <c:ptCount val="20"/>
                <c:pt idx="0">
                  <c:v>335.11902000000009</c:v>
                </c:pt>
                <c:pt idx="1">
                  <c:v>345.66881990260407</c:v>
                </c:pt>
                <c:pt idx="2">
                  <c:v>356.63814092719883</c:v>
                </c:pt>
                <c:pt idx="3">
                  <c:v>368.04753785339176</c:v>
                </c:pt>
                <c:pt idx="4">
                  <c:v>379.91876723366477</c:v>
                </c:pt>
                <c:pt idx="5">
                  <c:v>392.27486709759944</c:v>
                </c:pt>
                <c:pt idx="6">
                  <c:v>405.1402423684076</c:v>
                </c:pt>
                <c:pt idx="7">
                  <c:v>418.54075641958144</c:v>
                </c:pt>
                <c:pt idx="8">
                  <c:v>432.50382923231621</c:v>
                </c:pt>
                <c:pt idx="9">
                  <c:v>447.05854264974494</c:v>
                </c:pt>
                <c:pt idx="10">
                  <c:v>462.23575326217548</c:v>
                </c:pt>
                <c:pt idx="11">
                  <c:v>478.06821349863992</c:v>
                </c:pt>
                <c:pt idx="12">
                  <c:v>494.590701544387</c:v>
                </c:pt>
                <c:pt idx="13">
                  <c:v>511.84016075174111</c:v>
                </c:pt>
                <c:pt idx="14">
                  <c:v>529.85584926325362</c:v>
                </c:pt>
                <c:pt idx="15">
                  <c:v>548.67950062161788</c:v>
                </c:pt>
                <c:pt idx="16">
                  <c:v>568.35549620068832</c:v>
                </c:pt>
                <c:pt idx="17">
                  <c:v>588.93105035650285</c:v>
                </c:pt>
                <c:pt idx="18">
                  <c:v>610.45640926681085</c:v>
                </c:pt>
                <c:pt idx="19">
                  <c:v>632.98506450266382</c:v>
                </c:pt>
              </c:numCache>
            </c:numRef>
          </c:val>
          <c:smooth val="0"/>
          <c:extLst>
            <c:ext xmlns:c16="http://schemas.microsoft.com/office/drawing/2014/chart" uri="{C3380CC4-5D6E-409C-BE32-E72D297353CC}">
              <c16:uniqueId val="{00000004-0B40-455F-A350-EFFA36C3D664}"/>
            </c:ext>
          </c:extLst>
        </c:ser>
        <c:ser>
          <c:idx val="5"/>
          <c:order val="5"/>
          <c:tx>
            <c:strRef>
              <c:f>[2]Jobs!$H$13</c:f>
              <c:strCache>
                <c:ptCount val="1"/>
                <c:pt idx="0">
                  <c:v>SEA</c:v>
                </c:pt>
              </c:strCache>
            </c:strRef>
          </c:tx>
          <c:spPr>
            <a:ln w="28575" cap="rnd">
              <a:solidFill>
                <a:schemeClr val="accent6"/>
              </a:solidFill>
              <a:round/>
            </a:ln>
            <a:effectLst/>
          </c:spPr>
          <c:marker>
            <c:symbol val="none"/>
          </c:marker>
          <c:val>
            <c:numRef>
              <c:f>[2]Jobs!$I$13:$AB$13</c:f>
              <c:numCache>
                <c:formatCode>General</c:formatCode>
                <c:ptCount val="20"/>
                <c:pt idx="0">
                  <c:v>430.51747</c:v>
                </c:pt>
                <c:pt idx="1">
                  <c:v>439.33041241842869</c:v>
                </c:pt>
                <c:pt idx="2">
                  <c:v>448.38064327155428</c:v>
                </c:pt>
                <c:pt idx="3">
                  <c:v>457.67536459431091</c:v>
                </c:pt>
                <c:pt idx="4">
                  <c:v>467.22201511279206</c:v>
                </c:pt>
                <c:pt idx="5">
                  <c:v>477.02827850129813</c:v>
                </c:pt>
                <c:pt idx="6">
                  <c:v>487.10209194083677</c:v>
                </c:pt>
                <c:pt idx="7">
                  <c:v>497.45165499047306</c:v>
                </c:pt>
                <c:pt idx="8">
                  <c:v>508.08543878336332</c:v>
                </c:pt>
                <c:pt idx="9">
                  <c:v>519.01219555976866</c:v>
                </c:pt>
                <c:pt idx="10">
                  <c:v>530.24096854982224</c:v>
                </c:pt>
                <c:pt idx="11">
                  <c:v>541.78110221932002</c:v>
                </c:pt>
                <c:pt idx="12">
                  <c:v>553.64225289232104</c:v>
                </c:pt>
                <c:pt idx="13">
                  <c:v>565.83439976488307</c:v>
                </c:pt>
                <c:pt idx="14">
                  <c:v>578.36785632481349</c:v>
                </c:pt>
                <c:pt idx="15">
                  <c:v>591.25328219290111</c:v>
                </c:pt>
                <c:pt idx="16">
                  <c:v>604.50169540169111</c:v>
                </c:pt>
                <c:pt idx="17">
                  <c:v>618.12448512850256</c:v>
                </c:pt>
                <c:pt idx="18">
                  <c:v>632.13342490002969</c:v>
                </c:pt>
                <c:pt idx="19">
                  <c:v>646.5406862865575</c:v>
                </c:pt>
              </c:numCache>
            </c:numRef>
          </c:val>
          <c:smooth val="0"/>
          <c:extLst>
            <c:ext xmlns:c16="http://schemas.microsoft.com/office/drawing/2014/chart" uri="{C3380CC4-5D6E-409C-BE32-E72D297353CC}">
              <c16:uniqueId val="{00000005-0B40-455F-A350-EFFA36C3D664}"/>
            </c:ext>
          </c:extLst>
        </c:ser>
        <c:dLbls>
          <c:showLegendKey val="0"/>
          <c:showVal val="0"/>
          <c:showCatName val="0"/>
          <c:showSerName val="0"/>
          <c:showPercent val="0"/>
          <c:showBubbleSize val="0"/>
        </c:dLbls>
        <c:smooth val="0"/>
        <c:axId val="929478607"/>
        <c:axId val="929479087"/>
      </c:lineChart>
      <c:catAx>
        <c:axId val="92947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5891529509345119"/>
              <c:y val="0.872735050388953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9087"/>
        <c:crosses val="autoZero"/>
        <c:auto val="1"/>
        <c:lblAlgn val="ctr"/>
        <c:lblOffset val="100"/>
        <c:noMultiLvlLbl val="0"/>
      </c:catAx>
      <c:valAx>
        <c:axId val="929479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Share,</a:t>
                </a:r>
                <a:r>
                  <a:rPr lang="en-AU" baseline="0"/>
                  <a:t> total population</a:t>
                </a:r>
                <a:endParaRPr lang="en-AU"/>
              </a:p>
            </c:rich>
          </c:tx>
          <c:layout>
            <c:manualLayout>
              <c:xMode val="edge"/>
              <c:yMode val="edge"/>
              <c:x val="8.3249246495993336E-3"/>
              <c:y val="0.243954398681457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8607"/>
        <c:crosses val="autoZero"/>
        <c:crossBetween val="between"/>
      </c:valAx>
      <c:spPr>
        <a:noFill/>
        <a:ln>
          <a:noFill/>
        </a:ln>
        <a:effectLst/>
      </c:spPr>
    </c:plotArea>
    <c:legend>
      <c:legendPos val="b"/>
      <c:layout>
        <c:manualLayout>
          <c:xMode val="edge"/>
          <c:yMode val="edge"/>
          <c:x val="9.6282232862782091E-2"/>
          <c:y val="0.9206942922122664"/>
          <c:w val="0.80743531577247651"/>
          <c:h val="7.93057077877336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effectLst/>
              </a:rPr>
              <a:t>Agricultural Jobs </a:t>
            </a:r>
            <a:r>
              <a:rPr lang="en-AU" sz="1400" b="0" i="0" u="none" strike="noStrike" baseline="0">
                <a:effectLst/>
              </a:rPr>
              <a:t>(incl. subsistence farming and informal sector)</a:t>
            </a:r>
            <a:r>
              <a:rPr lang="en-AU" sz="1400" b="0" i="0" u="none" strike="noStrike" baseline="0"/>
              <a:t> </a:t>
            </a:r>
            <a:br>
              <a:rPr lang="en-AU" sz="1400" b="0" i="0" u="none" strike="noStrike" baseline="0"/>
            </a:br>
            <a:r>
              <a:rPr lang="en-AU" sz="1050" b="0" i="1" u="none" strike="noStrike" baseline="0"/>
              <a:t>Millions of people living below the poverty line</a:t>
            </a:r>
            <a:endParaRPr lang="en-AU" sz="1050"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manualLayout>
          <c:layoutTarget val="inner"/>
          <c:xMode val="edge"/>
          <c:yMode val="edge"/>
          <c:x val="0.12524619708264925"/>
          <c:y val="0.23455526947007413"/>
          <c:w val="0.8414541043189534"/>
          <c:h val="0.56593230110665493"/>
        </c:manualLayout>
      </c:layout>
      <c:lineChart>
        <c:grouping val="standard"/>
        <c:varyColors val="0"/>
        <c:ser>
          <c:idx val="0"/>
          <c:order val="0"/>
          <c:tx>
            <c:strRef>
              <c:f>[2]Jobs!$H$32</c:f>
              <c:strCache>
                <c:ptCount val="1"/>
                <c:pt idx="0">
                  <c:v>LAC</c:v>
                </c:pt>
              </c:strCache>
            </c:strRef>
          </c:tx>
          <c:spPr>
            <a:ln w="28575" cap="rnd">
              <a:solidFill>
                <a:schemeClr val="accent1"/>
              </a:solidFill>
              <a:round/>
            </a:ln>
            <a:effectLst/>
          </c:spPr>
          <c:marker>
            <c:symbol val="none"/>
          </c:marker>
          <c:cat>
            <c:strRef>
              <c:f>[2]Poverty_685!$N$6:$AG$6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[2]Jobs!$I$32:$AB$32</c:f>
              <c:numCache>
                <c:formatCode>General</c:formatCode>
                <c:ptCount val="20"/>
                <c:pt idx="0">
                  <c:v>39.87713500000001</c:v>
                </c:pt>
                <c:pt idx="1">
                  <c:v>40.696602265354485</c:v>
                </c:pt>
                <c:pt idx="2">
                  <c:v>41.537085432566613</c:v>
                </c:pt>
                <c:pt idx="3">
                  <c:v>42.399200057177985</c:v>
                </c:pt>
                <c:pt idx="4">
                  <c:v>43.283581739430616</c:v>
                </c:pt>
                <c:pt idx="5">
                  <c:v>44.190886857267287</c:v>
                </c:pt>
                <c:pt idx="6">
                  <c:v>45.121793330212284</c:v>
                </c:pt>
                <c:pt idx="7">
                  <c:v>46.077001415649413</c:v>
                </c:pt>
                <c:pt idx="8">
                  <c:v>47.057234539099298</c:v>
                </c:pt>
                <c:pt idx="9">
                  <c:v>48.063240160188528</c:v>
                </c:pt>
                <c:pt idx="10">
                  <c:v>49.095790676099298</c:v>
                </c:pt>
                <c:pt idx="11">
                  <c:v>50.155684364390105</c:v>
                </c:pt>
                <c:pt idx="12">
                  <c:v>51.243746367186574</c:v>
                </c:pt>
                <c:pt idx="13">
                  <c:v>52.360829718856365</c:v>
                </c:pt>
                <c:pt idx="14">
                  <c:v>53.507816419405103</c:v>
                </c:pt>
                <c:pt idx="15">
                  <c:v>54.685618555959309</c:v>
                </c:pt>
                <c:pt idx="16">
                  <c:v>55.895179474841946</c:v>
                </c:pt>
                <c:pt idx="17">
                  <c:v>57.137475006891762</c:v>
                </c:pt>
                <c:pt idx="18">
                  <c:v>58.413514748835354</c:v>
                </c:pt>
                <c:pt idx="19">
                  <c:v>59.724343403685864</c:v>
                </c:pt>
              </c:numCache>
            </c:numRef>
          </c:val>
          <c:smooth val="0"/>
          <c:extLst>
            <c:ext xmlns:c16="http://schemas.microsoft.com/office/drawing/2014/chart" uri="{C3380CC4-5D6E-409C-BE32-E72D297353CC}">
              <c16:uniqueId val="{00000000-C0A4-48CA-BECC-CAE744C21979}"/>
            </c:ext>
          </c:extLst>
        </c:ser>
        <c:ser>
          <c:idx val="1"/>
          <c:order val="1"/>
          <c:tx>
            <c:strRef>
              <c:f>[2]Jobs!$H$33</c:f>
              <c:strCache>
                <c:ptCount val="1"/>
                <c:pt idx="0">
                  <c:v>CWANA</c:v>
                </c:pt>
              </c:strCache>
            </c:strRef>
          </c:tx>
          <c:spPr>
            <a:ln w="28575" cap="rnd">
              <a:solidFill>
                <a:schemeClr val="accent2"/>
              </a:solidFill>
              <a:round/>
            </a:ln>
            <a:effectLst/>
          </c:spPr>
          <c:marker>
            <c:symbol val="none"/>
          </c:marker>
          <c:val>
            <c:numRef>
              <c:f>[2]Jobs!$I$33:$AB$33</c:f>
              <c:numCache>
                <c:formatCode>General</c:formatCode>
                <c:ptCount val="20"/>
                <c:pt idx="0">
                  <c:v>31.03291200000001</c:v>
                </c:pt>
                <c:pt idx="1">
                  <c:v>31.709348821269604</c:v>
                </c:pt>
                <c:pt idx="2">
                  <c:v>32.406088147050994</c:v>
                </c:pt>
                <c:pt idx="3">
                  <c:v>33.123866405635468</c:v>
                </c:pt>
                <c:pt idx="4">
                  <c:v>33.863451417728342</c:v>
                </c:pt>
                <c:pt idx="5">
                  <c:v>34.625643929093428</c:v>
                </c:pt>
                <c:pt idx="6">
                  <c:v>35.411279226363988</c:v>
                </c:pt>
                <c:pt idx="7">
                  <c:v>36.22122884087721</c:v>
                </c:pt>
                <c:pt idx="8">
                  <c:v>37.05640234568655</c:v>
                </c:pt>
                <c:pt idx="9">
                  <c:v>37.917749251222475</c:v>
                </c:pt>
                <c:pt idx="10">
                  <c:v>38.806261005408075</c:v>
                </c:pt>
                <c:pt idx="11">
                  <c:v>39.72297310439285</c:v>
                </c:pt>
                <c:pt idx="12">
                  <c:v>40.668967320448246</c:v>
                </c:pt>
                <c:pt idx="13">
                  <c:v>41.645374053971722</c:v>
                </c:pt>
                <c:pt idx="14">
                  <c:v>42.653374816975607</c:v>
                </c:pt>
                <c:pt idx="15">
                  <c:v>43.694204855893609</c:v>
                </c:pt>
                <c:pt idx="16">
                  <c:v>44.769155922022804</c:v>
                </c:pt>
                <c:pt idx="17">
                  <c:v>45.879579198435607</c:v>
                </c:pt>
                <c:pt idx="18">
                  <c:v>47.026888392744873</c:v>
                </c:pt>
                <c:pt idx="19">
                  <c:v>48.212563005689191</c:v>
                </c:pt>
              </c:numCache>
            </c:numRef>
          </c:val>
          <c:smooth val="0"/>
          <c:extLst>
            <c:ext xmlns:c16="http://schemas.microsoft.com/office/drawing/2014/chart" uri="{C3380CC4-5D6E-409C-BE32-E72D297353CC}">
              <c16:uniqueId val="{00000001-C0A4-48CA-BECC-CAE744C21979}"/>
            </c:ext>
          </c:extLst>
        </c:ser>
        <c:ser>
          <c:idx val="2"/>
          <c:order val="2"/>
          <c:tx>
            <c:strRef>
              <c:f>[2]Jobs!$H$34</c:f>
              <c:strCache>
                <c:ptCount val="1"/>
                <c:pt idx="0">
                  <c:v>WCA</c:v>
                </c:pt>
              </c:strCache>
            </c:strRef>
          </c:tx>
          <c:spPr>
            <a:ln w="28575" cap="rnd">
              <a:solidFill>
                <a:schemeClr val="accent3"/>
              </a:solidFill>
              <a:round/>
            </a:ln>
            <a:effectLst/>
          </c:spPr>
          <c:marker>
            <c:symbol val="none"/>
          </c:marker>
          <c:val>
            <c:numRef>
              <c:f>[2]Jobs!$I$34:$AB$34</c:f>
              <c:numCache>
                <c:formatCode>General</c:formatCode>
                <c:ptCount val="20"/>
                <c:pt idx="0">
                  <c:v>87.403205999999997</c:v>
                </c:pt>
                <c:pt idx="1">
                  <c:v>90.400130383897917</c:v>
                </c:pt>
                <c:pt idx="2">
                  <c:v>93.517092686331551</c:v>
                </c:pt>
                <c:pt idx="3">
                  <c:v>96.759261708818272</c:v>
                </c:pt>
                <c:pt idx="4">
                  <c:v>100.13203897262046</c:v>
                </c:pt>
                <c:pt idx="5">
                  <c:v>103.64106954836053</c:v>
                </c:pt>
                <c:pt idx="6">
                  <c:v>107.29225340401825</c:v>
                </c:pt>
                <c:pt idx="7">
                  <c:v>111.09175729677888</c:v>
                </c:pt>
                <c:pt idx="8">
                  <c:v>115.04602723548342</c:v>
                </c:pt>
                <c:pt idx="9">
                  <c:v>119.16180154178005</c:v>
                </c:pt>
                <c:pt idx="10">
                  <c:v>123.44612453949483</c:v>
                </c:pt>
                <c:pt idx="11">
                  <c:v>127.90636090323059</c:v>
                </c:pt>
                <c:pt idx="12">
                  <c:v>132.55021069877162</c:v>
                </c:pt>
                <c:pt idx="13">
                  <c:v>137.38572514952074</c:v>
                </c:pt>
                <c:pt idx="14">
                  <c:v>142.42132316493215</c:v>
                </c:pt>
                <c:pt idx="15">
                  <c:v>147.6658086687253</c:v>
                </c:pt>
                <c:pt idx="16">
                  <c:v>153.12838876658907</c:v>
                </c:pt>
                <c:pt idx="17">
                  <c:v>158.81869279510084</c:v>
                </c:pt>
                <c:pt idx="18">
                  <c:v>164.7467922957124</c:v>
                </c:pt>
                <c:pt idx="19">
                  <c:v>170.92322195988925</c:v>
                </c:pt>
              </c:numCache>
            </c:numRef>
          </c:val>
          <c:smooth val="0"/>
          <c:extLst>
            <c:ext xmlns:c16="http://schemas.microsoft.com/office/drawing/2014/chart" uri="{C3380CC4-5D6E-409C-BE32-E72D297353CC}">
              <c16:uniqueId val="{00000002-C0A4-48CA-BECC-CAE744C21979}"/>
            </c:ext>
          </c:extLst>
        </c:ser>
        <c:ser>
          <c:idx val="3"/>
          <c:order val="3"/>
          <c:tx>
            <c:strRef>
              <c:f>[2]Jobs!$H$35</c:f>
              <c:strCache>
                <c:ptCount val="1"/>
                <c:pt idx="0">
                  <c:v>ESA</c:v>
                </c:pt>
              </c:strCache>
            </c:strRef>
          </c:tx>
          <c:spPr>
            <a:ln w="28575" cap="rnd">
              <a:solidFill>
                <a:schemeClr val="accent4"/>
              </a:solidFill>
              <a:round/>
            </a:ln>
            <a:effectLst/>
          </c:spPr>
          <c:marker>
            <c:symbol val="none"/>
          </c:marker>
          <c:val>
            <c:numRef>
              <c:f>[2]Jobs!$I$35:$AB$35</c:f>
              <c:numCache>
                <c:formatCode>General</c:formatCode>
                <c:ptCount val="20"/>
                <c:pt idx="0">
                  <c:v>130.63965000000002</c:v>
                </c:pt>
                <c:pt idx="1">
                  <c:v>135.56090294639233</c:v>
                </c:pt>
                <c:pt idx="2">
                  <c:v>140.70479192716564</c:v>
                </c:pt>
                <c:pt idx="3">
                  <c:v>146.0827013878534</c:v>
                </c:pt>
                <c:pt idx="4">
                  <c:v>151.70665485199987</c:v>
                </c:pt>
                <c:pt idx="5">
                  <c:v>157.58935370353618</c:v>
                </c:pt>
                <c:pt idx="6">
                  <c:v>163.74421848429319</c:v>
                </c:pt>
                <c:pt idx="7">
                  <c:v>170.18543287906712</c:v>
                </c:pt>
                <c:pt idx="8">
                  <c:v>176.9279905730165</c:v>
                </c:pt>
                <c:pt idx="9">
                  <c:v>183.98774517944975</c:v>
                </c:pt>
                <c:pt idx="10">
                  <c:v>191.38146345033073</c:v>
                </c:pt>
                <c:pt idx="11">
                  <c:v>199.12688199716456</c:v>
                </c:pt>
                <c:pt idx="12">
                  <c:v>207.24276776640357</c:v>
                </c:pt>
                <c:pt idx="13">
                  <c:v>215.74898253122643</c:v>
                </c:pt>
                <c:pt idx="14">
                  <c:v>224.66655168058401</c:v>
                </c:pt>
                <c:pt idx="15">
                  <c:v>234.01773760687746</c:v>
                </c:pt>
                <c:pt idx="16">
                  <c:v>243.82611801564533</c:v>
                </c:pt>
                <c:pt idx="17">
                  <c:v>254.11666950430984</c:v>
                </c:pt>
                <c:pt idx="18">
                  <c:v>264.91585678249055</c:v>
                </c:pt>
                <c:pt idx="19">
                  <c:v>276.25172793378215</c:v>
                </c:pt>
              </c:numCache>
            </c:numRef>
          </c:val>
          <c:smooth val="0"/>
          <c:extLst>
            <c:ext xmlns:c16="http://schemas.microsoft.com/office/drawing/2014/chart" uri="{C3380CC4-5D6E-409C-BE32-E72D297353CC}">
              <c16:uniqueId val="{00000003-C0A4-48CA-BECC-CAE744C21979}"/>
            </c:ext>
          </c:extLst>
        </c:ser>
        <c:ser>
          <c:idx val="4"/>
          <c:order val="4"/>
          <c:tx>
            <c:strRef>
              <c:f>[2]Jobs!$H$36</c:f>
              <c:strCache>
                <c:ptCount val="1"/>
                <c:pt idx="0">
                  <c:v>SA</c:v>
                </c:pt>
              </c:strCache>
            </c:strRef>
          </c:tx>
          <c:spPr>
            <a:ln w="28575" cap="rnd">
              <a:solidFill>
                <a:schemeClr val="accent5"/>
              </a:solidFill>
              <a:round/>
            </a:ln>
            <a:effectLst/>
          </c:spPr>
          <c:marker>
            <c:symbol val="none"/>
          </c:marker>
          <c:val>
            <c:numRef>
              <c:f>[2]Jobs!$I$36:$AB$36</c:f>
              <c:numCache>
                <c:formatCode>General</c:formatCode>
                <c:ptCount val="20"/>
                <c:pt idx="0">
                  <c:v>269.06188000000009</c:v>
                </c:pt>
                <c:pt idx="1">
                  <c:v>277.53215123503298</c:v>
                </c:pt>
                <c:pt idx="2">
                  <c:v>286.33924949284307</c:v>
                </c:pt>
                <c:pt idx="3">
                  <c:v>295.49967788818657</c:v>
                </c:pt>
                <c:pt idx="4">
                  <c:v>305.03090442068083</c:v>
                </c:pt>
                <c:pt idx="5">
                  <c:v>314.95142596809416</c:v>
                </c:pt>
                <c:pt idx="6">
                  <c:v>325.2808368659571</c:v>
                </c:pt>
                <c:pt idx="7">
                  <c:v>336.03990241698204</c:v>
                </c:pt>
                <c:pt idx="8">
                  <c:v>347.25063770014003</c:v>
                </c:pt>
                <c:pt idx="9">
                  <c:v>358.93639207765807</c:v>
                </c:pt>
                <c:pt idx="10">
                  <c:v>371.12193982883178</c:v>
                </c:pt>
                <c:pt idx="11">
                  <c:v>383.83357737255687</c:v>
                </c:pt>
                <c:pt idx="12">
                  <c:v>397.09922757607637</c:v>
                </c:pt>
                <c:pt idx="13">
                  <c:v>410.94855168580307</c:v>
                </c:pt>
                <c:pt idx="14">
                  <c:v>425.4130694574352</c:v>
                </c:pt>
                <c:pt idx="15">
                  <c:v>440.52628810717351</c:v>
                </c:pt>
                <c:pt idx="16">
                  <c:v>456.32384075392099</c:v>
                </c:pt>
                <c:pt idx="17">
                  <c:v>472.84363507417561</c:v>
                </c:pt>
                <c:pt idx="18">
                  <c:v>490.12601294721367</c:v>
                </c:pt>
                <c:pt idx="19">
                  <c:v>508.21392192841813</c:v>
                </c:pt>
              </c:numCache>
            </c:numRef>
          </c:val>
          <c:smooth val="0"/>
          <c:extLst>
            <c:ext xmlns:c16="http://schemas.microsoft.com/office/drawing/2014/chart" uri="{C3380CC4-5D6E-409C-BE32-E72D297353CC}">
              <c16:uniqueId val="{00000004-C0A4-48CA-BECC-CAE744C21979}"/>
            </c:ext>
          </c:extLst>
        </c:ser>
        <c:ser>
          <c:idx val="5"/>
          <c:order val="5"/>
          <c:tx>
            <c:strRef>
              <c:f>[2]Jobs!$H$37</c:f>
              <c:strCache>
                <c:ptCount val="1"/>
                <c:pt idx="0">
                  <c:v>SEA</c:v>
                </c:pt>
              </c:strCache>
            </c:strRef>
          </c:tx>
          <c:spPr>
            <a:ln w="28575" cap="rnd">
              <a:solidFill>
                <a:schemeClr val="accent6"/>
              </a:solidFill>
              <a:round/>
            </a:ln>
            <a:effectLst/>
          </c:spPr>
          <c:marker>
            <c:symbol val="none"/>
          </c:marker>
          <c:val>
            <c:numRef>
              <c:f>[2]Jobs!$I$37:$AB$37</c:f>
              <c:numCache>
                <c:formatCode>General</c:formatCode>
                <c:ptCount val="20"/>
                <c:pt idx="0">
                  <c:v>284.72257000000002</c:v>
                </c:pt>
                <c:pt idx="1">
                  <c:v>290.55100621801699</c:v>
                </c:pt>
                <c:pt idx="2">
                  <c:v>296.53637305480339</c:v>
                </c:pt>
                <c:pt idx="3">
                  <c:v>302.68343357350676</c:v>
                </c:pt>
                <c:pt idx="4">
                  <c:v>308.99710737288541</c:v>
                </c:pt>
                <c:pt idx="5">
                  <c:v>315.48247604810399</c:v>
                </c:pt>
                <c:pt idx="6">
                  <c:v>322.14478885089454</c:v>
                </c:pt>
                <c:pt idx="7">
                  <c:v>328.98946855662052</c:v>
                </c:pt>
                <c:pt idx="8">
                  <c:v>336.02211754607043</c:v>
                </c:pt>
                <c:pt idx="9">
                  <c:v>343.24852411011312</c:v>
                </c:pt>
                <c:pt idx="10">
                  <c:v>350.67466898566175</c:v>
                </c:pt>
                <c:pt idx="11">
                  <c:v>358.30673213172389</c:v>
                </c:pt>
                <c:pt idx="12">
                  <c:v>366.15109975465475</c:v>
                </c:pt>
                <c:pt idx="13">
                  <c:v>374.21437159208631</c:v>
                </c:pt>
                <c:pt idx="14">
                  <c:v>382.50336846537647</c:v>
                </c:pt>
                <c:pt idx="15">
                  <c:v>391.02514011080206</c:v>
                </c:pt>
                <c:pt idx="16">
                  <c:v>399.78697330012341</c:v>
                </c:pt>
                <c:pt idx="17">
                  <c:v>408.79640026155965</c:v>
                </c:pt>
                <c:pt idx="18">
                  <c:v>418.06120741264795</c:v>
                </c:pt>
                <c:pt idx="19">
                  <c:v>427.58944441690699</c:v>
                </c:pt>
              </c:numCache>
            </c:numRef>
          </c:val>
          <c:smooth val="0"/>
          <c:extLst>
            <c:ext xmlns:c16="http://schemas.microsoft.com/office/drawing/2014/chart" uri="{C3380CC4-5D6E-409C-BE32-E72D297353CC}">
              <c16:uniqueId val="{00000005-C0A4-48CA-BECC-CAE744C21979}"/>
            </c:ext>
          </c:extLst>
        </c:ser>
        <c:dLbls>
          <c:showLegendKey val="0"/>
          <c:showVal val="0"/>
          <c:showCatName val="0"/>
          <c:showSerName val="0"/>
          <c:showPercent val="0"/>
          <c:showBubbleSize val="0"/>
        </c:dLbls>
        <c:smooth val="0"/>
        <c:axId val="929478607"/>
        <c:axId val="929479087"/>
      </c:lineChart>
      <c:catAx>
        <c:axId val="92947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5891529509345119"/>
              <c:y val="0.872735050388953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9087"/>
        <c:crosses val="autoZero"/>
        <c:auto val="1"/>
        <c:lblAlgn val="ctr"/>
        <c:lblOffset val="100"/>
        <c:noMultiLvlLbl val="0"/>
      </c:catAx>
      <c:valAx>
        <c:axId val="929479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Millions of people</a:t>
                </a:r>
              </a:p>
            </c:rich>
          </c:tx>
          <c:layout>
            <c:manualLayout>
              <c:xMode val="edge"/>
              <c:yMode val="edge"/>
              <c:x val="8.3249246495993336E-3"/>
              <c:y val="0.2439543986814575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8607"/>
        <c:crosses val="autoZero"/>
        <c:crossBetween val="between"/>
      </c:valAx>
      <c:spPr>
        <a:noFill/>
        <a:ln>
          <a:noFill/>
        </a:ln>
        <a:effectLst/>
      </c:spPr>
    </c:plotArea>
    <c:legend>
      <c:legendPos val="b"/>
      <c:layout>
        <c:manualLayout>
          <c:xMode val="edge"/>
          <c:yMode val="edge"/>
          <c:x val="9.6282232862782091E-2"/>
          <c:y val="0.9206942922122664"/>
          <c:w val="0.80743531577247651"/>
          <c:h val="7.93057077877336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1" i="0" u="none" strike="noStrike" baseline="0">
                <a:effectLst/>
              </a:rPr>
              <a:t>Agricultural Greenhouse Gas (GHG) Emissions</a:t>
            </a:r>
            <a:br>
              <a:rPr lang="en-AU" sz="1400" b="1" i="0" u="none" strike="noStrike" baseline="0">
                <a:effectLst/>
              </a:rPr>
            </a:br>
            <a:r>
              <a:rPr lang="en-AU" sz="1050" b="0" i="1" u="none" strike="noStrike" baseline="0"/>
              <a:t>Millions of tons of CO2eq emissions</a:t>
            </a:r>
            <a:endParaRPr lang="en-AU" sz="1050" i="1"/>
          </a:p>
        </c:rich>
      </c:tx>
      <c:overlay val="0"/>
      <c:spPr>
        <a:noFill/>
        <a:ln>
          <a:noFill/>
        </a:ln>
        <a:effectLst/>
      </c:spPr>
    </c:title>
    <c:autoTitleDeleted val="0"/>
    <c:plotArea>
      <c:layout>
        <c:manualLayout>
          <c:layoutTarget val="inner"/>
          <c:xMode val="edge"/>
          <c:yMode val="edge"/>
          <c:x val="9.0649919484000224E-2"/>
          <c:y val="0.21035763075443212"/>
          <c:w val="0.87605039918392535"/>
          <c:h val="0.59012980381493496"/>
        </c:manualLayout>
      </c:layout>
      <c:lineChart>
        <c:grouping val="standard"/>
        <c:varyColors val="0"/>
        <c:ser>
          <c:idx val="0"/>
          <c:order val="0"/>
          <c:tx>
            <c:strRef>
              <c:f>[2]EA!$M$7</c:f>
              <c:strCache>
                <c:ptCount val="1"/>
                <c:pt idx="0">
                  <c:v>LAC</c:v>
                </c:pt>
              </c:strCache>
            </c:strRef>
          </c:tx>
          <c:marker>
            <c:symbol val="none"/>
          </c:marker>
          <c:val>
            <c:numRef>
              <c:f>[2]EA!$N$7:$AG$7</c:f>
              <c:numCache>
                <c:formatCode>General</c:formatCode>
                <c:ptCount val="20"/>
                <c:pt idx="0">
                  <c:v>1062.1580331999901</c:v>
                </c:pt>
                <c:pt idx="1">
                  <c:v>1066.28860098679</c:v>
                </c:pt>
                <c:pt idx="2">
                  <c:v>1070.46887931063</c:v>
                </c:pt>
                <c:pt idx="3">
                  <c:v>1074.6999178165199</c:v>
                </c:pt>
                <c:pt idx="4">
                  <c:v>1078.9827968055399</c:v>
                </c:pt>
                <c:pt idx="5">
                  <c:v>1083.3186281891701</c:v>
                </c:pt>
                <c:pt idx="6">
                  <c:v>1087.7085564742599</c:v>
                </c:pt>
                <c:pt idx="7">
                  <c:v>1092.1537597798399</c:v>
                </c:pt>
                <c:pt idx="8">
                  <c:v>1096.6554508865599</c:v>
                </c:pt>
                <c:pt idx="9">
                  <c:v>1101.2148783201701</c:v>
                </c:pt>
                <c:pt idx="10">
                  <c:v>1105.83332746976</c:v>
                </c:pt>
                <c:pt idx="11">
                  <c:v>1110.51212174227</c:v>
                </c:pt>
                <c:pt idx="12">
                  <c:v>1115.2526237541599</c:v>
                </c:pt>
                <c:pt idx="13">
                  <c:v>1120.05623656168</c:v>
                </c:pt>
                <c:pt idx="14">
                  <c:v>1124.9244049309</c:v>
                </c:pt>
                <c:pt idx="15">
                  <c:v>1129.8586166487501</c:v>
                </c:pt>
                <c:pt idx="16">
                  <c:v>1134.86040387663</c:v>
                </c:pt>
                <c:pt idx="17">
                  <c:v>1139.9313445477201</c:v>
                </c:pt>
                <c:pt idx="18">
                  <c:v>1145.07306380962</c:v>
                </c:pt>
                <c:pt idx="19">
                  <c:v>1150.2872355137299</c:v>
                </c:pt>
              </c:numCache>
            </c:numRef>
          </c:val>
          <c:smooth val="0"/>
          <c:extLst>
            <c:ext xmlns:c16="http://schemas.microsoft.com/office/drawing/2014/chart" uri="{C3380CC4-5D6E-409C-BE32-E72D297353CC}">
              <c16:uniqueId val="{00000000-FE61-442D-B452-95F3C5820CD7}"/>
            </c:ext>
          </c:extLst>
        </c:ser>
        <c:ser>
          <c:idx val="6"/>
          <c:order val="1"/>
          <c:tx>
            <c:strRef>
              <c:f>[2]EA!$M$8</c:f>
              <c:strCache>
                <c:ptCount val="1"/>
                <c:pt idx="0">
                  <c:v>CWANA</c:v>
                </c:pt>
              </c:strCache>
            </c:strRef>
          </c:tx>
          <c:marker>
            <c:symbol val="none"/>
          </c:marker>
          <c:cat>
            <c:strRef>
              <c:f>[2]Poverty_685!$N$6:$AG$6</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f>[2]EA!$N$8:$AG$8</c:f>
              <c:numCache>
                <c:formatCode>General</c:formatCode>
                <c:ptCount val="20"/>
                <c:pt idx="0">
                  <c:v>267.73907960000003</c:v>
                </c:pt>
                <c:pt idx="1">
                  <c:v>273.34463420968098</c:v>
                </c:pt>
                <c:pt idx="2">
                  <c:v>279.09723013930602</c:v>
                </c:pt>
                <c:pt idx="3">
                  <c:v>285.00085062601102</c:v>
                </c:pt>
                <c:pt idx="4">
                  <c:v>291.05959129262402</c:v>
                </c:pt>
                <c:pt idx="5">
                  <c:v>297.27766337903603</c:v>
                </c:pt>
                <c:pt idx="6">
                  <c:v>303.65939706781103</c:v>
                </c:pt>
                <c:pt idx="7">
                  <c:v>310.20924490681602</c:v>
                </c:pt>
                <c:pt idx="8">
                  <c:v>316.93178533171903</c:v>
                </c:pt>
                <c:pt idx="9">
                  <c:v>323.83172629131099</c:v>
                </c:pt>
                <c:pt idx="10">
                  <c:v>330.91390897866398</c:v>
                </c:pt>
                <c:pt idx="11">
                  <c:v>338.18331167126303</c:v>
                </c:pt>
                <c:pt idx="12">
                  <c:v>345.64505368330299</c:v>
                </c:pt>
                <c:pt idx="13">
                  <c:v>353.30439943348</c:v>
                </c:pt>
                <c:pt idx="14">
                  <c:v>361.16676263165903</c:v>
                </c:pt>
                <c:pt idx="15">
                  <c:v>369.23771058794301</c:v>
                </c:pt>
                <c:pt idx="16">
                  <c:v>377.52296864774598</c:v>
                </c:pt>
                <c:pt idx="17">
                  <c:v>386.028424756589</c:v>
                </c:pt>
                <c:pt idx="18">
                  <c:v>394.76013415844199</c:v>
                </c:pt>
                <c:pt idx="19">
                  <c:v>403.72432423157198</c:v>
                </c:pt>
              </c:numCache>
            </c:numRef>
          </c:val>
          <c:smooth val="0"/>
          <c:extLst>
            <c:ext xmlns:c16="http://schemas.microsoft.com/office/drawing/2014/chart" uri="{C3380CC4-5D6E-409C-BE32-E72D297353CC}">
              <c16:uniqueId val="{00000001-FE61-442D-B452-95F3C5820CD7}"/>
            </c:ext>
          </c:extLst>
        </c:ser>
        <c:ser>
          <c:idx val="9"/>
          <c:order val="2"/>
          <c:tx>
            <c:strRef>
              <c:f>[2]EA!$M$9</c:f>
              <c:strCache>
                <c:ptCount val="1"/>
                <c:pt idx="0">
                  <c:v>WCA</c:v>
                </c:pt>
              </c:strCache>
            </c:strRef>
          </c:tx>
          <c:marker>
            <c:symbol val="none"/>
          </c:marker>
          <c:val>
            <c:numRef>
              <c:f>[2]EA!$N$9:$AG$9</c:f>
              <c:numCache>
                <c:formatCode>General</c:formatCode>
                <c:ptCount val="20"/>
                <c:pt idx="0">
                  <c:v>354.39023769999898</c:v>
                </c:pt>
                <c:pt idx="1">
                  <c:v>363.35389500703599</c:v>
                </c:pt>
                <c:pt idx="2">
                  <c:v>372.57065881653199</c:v>
                </c:pt>
                <c:pt idx="3">
                  <c:v>382.04803712420397</c:v>
                </c:pt>
                <c:pt idx="4">
                  <c:v>391.79377206257402</c:v>
                </c:pt>
                <c:pt idx="5">
                  <c:v>401.81584761893498</c:v>
                </c:pt>
                <c:pt idx="6">
                  <c:v>412.12249762273399</c:v>
                </c:pt>
                <c:pt idx="7">
                  <c:v>422.72221401228501</c:v>
                </c:pt>
                <c:pt idx="8">
                  <c:v>433.62375539113401</c:v>
                </c:pt>
                <c:pt idx="9">
                  <c:v>444.83615588478801</c:v>
                </c:pt>
                <c:pt idx="10">
                  <c:v>456.36873430891598</c:v>
                </c:pt>
                <c:pt idx="11">
                  <c:v>468.23110366059802</c:v>
                </c:pt>
                <c:pt idx="12">
                  <c:v>480.43318094461603</c:v>
                </c:pt>
                <c:pt idx="13">
                  <c:v>492.98519734726</c:v>
                </c:pt>
                <c:pt idx="14">
                  <c:v>505.89770877060801</c:v>
                </c:pt>
                <c:pt idx="15">
                  <c:v>519.18160674074397</c:v>
                </c:pt>
                <c:pt idx="16">
                  <c:v>532.84812970390499</c:v>
                </c:pt>
                <c:pt idx="17">
                  <c:v>546.90887472508905</c:v>
                </c:pt>
                <c:pt idx="18">
                  <c:v>561.37580960423804</c:v>
                </c:pt>
                <c:pt idx="19">
                  <c:v>576.26128542568199</c:v>
                </c:pt>
              </c:numCache>
            </c:numRef>
          </c:val>
          <c:smooth val="0"/>
          <c:extLst>
            <c:ext xmlns:c16="http://schemas.microsoft.com/office/drawing/2014/chart" uri="{C3380CC4-5D6E-409C-BE32-E72D297353CC}">
              <c16:uniqueId val="{00000002-FE61-442D-B452-95F3C5820CD7}"/>
            </c:ext>
          </c:extLst>
        </c:ser>
        <c:ser>
          <c:idx val="8"/>
          <c:order val="3"/>
          <c:tx>
            <c:strRef>
              <c:f>[2]EA!$M$10</c:f>
              <c:strCache>
                <c:ptCount val="1"/>
                <c:pt idx="0">
                  <c:v>ESA</c:v>
                </c:pt>
              </c:strCache>
            </c:strRef>
          </c:tx>
          <c:marker>
            <c:symbol val="none"/>
          </c:marker>
          <c:val>
            <c:numRef>
              <c:f>[2]EA!$N$10:$AG$10</c:f>
              <c:numCache>
                <c:formatCode>General</c:formatCode>
                <c:ptCount val="20"/>
                <c:pt idx="0">
                  <c:v>505.23433779999903</c:v>
                </c:pt>
                <c:pt idx="1">
                  <c:v>525.74193172002697</c:v>
                </c:pt>
                <c:pt idx="2">
                  <c:v>547.25019877286104</c:v>
                </c:pt>
                <c:pt idx="3">
                  <c:v>569.81421939826498</c:v>
                </c:pt>
                <c:pt idx="4">
                  <c:v>593.49231856741903</c:v>
                </c:pt>
                <c:pt idx="5">
                  <c:v>618.34626353935198</c:v>
                </c:pt>
                <c:pt idx="6">
                  <c:v>644.441473877102</c:v>
                </c:pt>
                <c:pt idx="7">
                  <c:v>671.847244490614</c:v>
                </c:pt>
                <c:pt idx="8">
                  <c:v>700.63698252167205</c:v>
                </c:pt>
                <c:pt idx="9">
                  <c:v>730.88845893742098</c:v>
                </c:pt>
                <c:pt idx="10">
                  <c:v>762.684075753667</c:v>
                </c:pt>
                <c:pt idx="11">
                  <c:v>796.11114986711004</c:v>
                </c:pt>
                <c:pt idx="12">
                  <c:v>831.262214537354</c:v>
                </c:pt>
                <c:pt idx="13">
                  <c:v>868.23533962514296</c:v>
                </c:pt>
                <c:pt idx="14">
                  <c:v>907.13447176298496</c:v>
                </c:pt>
                <c:pt idx="15">
                  <c:v>948.06979570850694</c:v>
                </c:pt>
                <c:pt idx="16">
                  <c:v>991.158118209696</c:v>
                </c:pt>
                <c:pt idx="17">
                  <c:v>1036.52327579506</c:v>
                </c:pt>
                <c:pt idx="18">
                  <c:v>1084.29656799091</c:v>
                </c:pt>
                <c:pt idx="19">
                  <c:v>1134.61721756263</c:v>
                </c:pt>
              </c:numCache>
            </c:numRef>
          </c:val>
          <c:smooth val="0"/>
          <c:extLst>
            <c:ext xmlns:c16="http://schemas.microsoft.com/office/drawing/2014/chart" uri="{C3380CC4-5D6E-409C-BE32-E72D297353CC}">
              <c16:uniqueId val="{00000003-FE61-442D-B452-95F3C5820CD7}"/>
            </c:ext>
          </c:extLst>
        </c:ser>
        <c:ser>
          <c:idx val="5"/>
          <c:order val="4"/>
          <c:tx>
            <c:strRef>
              <c:f>[2]EA!$M$11</c:f>
              <c:strCache>
                <c:ptCount val="1"/>
                <c:pt idx="0">
                  <c:v>SA</c:v>
                </c:pt>
              </c:strCache>
            </c:strRef>
          </c:tx>
          <c:marker>
            <c:symbol val="none"/>
          </c:marker>
          <c:val>
            <c:numRef>
              <c:f>[2]EA!$N$11:$AG$11</c:f>
              <c:numCache>
                <c:formatCode>General</c:formatCode>
                <c:ptCount val="20"/>
                <c:pt idx="0">
                  <c:v>1147.9064971</c:v>
                </c:pt>
                <c:pt idx="1">
                  <c:v>1173.4687375036799</c:v>
                </c:pt>
                <c:pt idx="2">
                  <c:v>1199.89171130677</c:v>
                </c:pt>
                <c:pt idx="3">
                  <c:v>1227.21236255293</c:v>
                </c:pt>
                <c:pt idx="4">
                  <c:v>1255.4694063147499</c:v>
                </c:pt>
                <c:pt idx="5">
                  <c:v>1284.70341765221</c:v>
                </c:pt>
                <c:pt idx="6">
                  <c:v>1314.9569251303001</c:v>
                </c:pt>
                <c:pt idx="7">
                  <c:v>1346.2745091316999</c:v>
                </c:pt>
                <c:pt idx="8">
                  <c:v>1378.7029052123901</c:v>
                </c:pt>
                <c:pt idx="9">
                  <c:v>1412.2911127612499</c:v>
                </c:pt>
                <c:pt idx="10">
                  <c:v>1447.0905092381299</c:v>
                </c:pt>
                <c:pt idx="11">
                  <c:v>1483.1549702790701</c:v>
                </c:pt>
                <c:pt idx="12">
                  <c:v>1520.54099597247</c:v>
                </c:pt>
                <c:pt idx="13">
                  <c:v>1559.3078436257399</c:v>
                </c:pt>
                <c:pt idx="14">
                  <c:v>1599.5176673585499</c:v>
                </c:pt>
                <c:pt idx="15">
                  <c:v>1641.23566487639</c:v>
                </c:pt>
                <c:pt idx="16">
                  <c:v>1684.5302317963201</c:v>
                </c:pt>
                <c:pt idx="17">
                  <c:v>1729.47312391631</c:v>
                </c:pt>
                <c:pt idx="18">
                  <c:v>1776.13962783989</c:v>
                </c:pt>
                <c:pt idx="19">
                  <c:v>1824.60874038919</c:v>
                </c:pt>
              </c:numCache>
            </c:numRef>
          </c:val>
          <c:smooth val="0"/>
          <c:extLst>
            <c:ext xmlns:c16="http://schemas.microsoft.com/office/drawing/2014/chart" uri="{C3380CC4-5D6E-409C-BE32-E72D297353CC}">
              <c16:uniqueId val="{00000004-FE61-442D-B452-95F3C5820CD7}"/>
            </c:ext>
          </c:extLst>
        </c:ser>
        <c:ser>
          <c:idx val="10"/>
          <c:order val="5"/>
          <c:tx>
            <c:strRef>
              <c:f>[2]EA!$M$12</c:f>
              <c:strCache>
                <c:ptCount val="1"/>
                <c:pt idx="0">
                  <c:v>SEA</c:v>
                </c:pt>
              </c:strCache>
            </c:strRef>
          </c:tx>
          <c:marker>
            <c:symbol val="none"/>
          </c:marker>
          <c:val>
            <c:numRef>
              <c:f>[2]EA!$N$12:$AG$12</c:f>
              <c:numCache>
                <c:formatCode>General</c:formatCode>
                <c:ptCount val="20"/>
                <c:pt idx="0">
                  <c:v>1143.6131478</c:v>
                </c:pt>
                <c:pt idx="1">
                  <c:v>1149.66145638643</c:v>
                </c:pt>
                <c:pt idx="2">
                  <c:v>1155.8696368969599</c:v>
                </c:pt>
                <c:pt idx="3">
                  <c:v>1162.2410301637799</c:v>
                </c:pt>
                <c:pt idx="4">
                  <c:v>1168.7790565616399</c:v>
                </c:pt>
                <c:pt idx="5">
                  <c:v>1175.4872179783199</c:v>
                </c:pt>
                <c:pt idx="6">
                  <c:v>1182.36909983552</c:v>
                </c:pt>
                <c:pt idx="7">
                  <c:v>1189.42837316143</c:v>
                </c:pt>
                <c:pt idx="8">
                  <c:v>1196.66879671641</c:v>
                </c:pt>
                <c:pt idx="9">
                  <c:v>1204.0942191730101</c:v>
                </c:pt>
                <c:pt idx="10">
                  <c:v>1211.7085813518399</c:v>
                </c:pt>
                <c:pt idx="11">
                  <c:v>1219.51591851483</c:v>
                </c:pt>
                <c:pt idx="12">
                  <c:v>1227.52036271717</c:v>
                </c:pt>
                <c:pt idx="13">
                  <c:v>1235.7261452196201</c:v>
                </c:pt>
                <c:pt idx="14">
                  <c:v>1244.13759896277</c:v>
                </c:pt>
                <c:pt idx="15">
                  <c:v>1252.7591611047401</c:v>
                </c:pt>
                <c:pt idx="16">
                  <c:v>1261.5953756240999</c:v>
                </c:pt>
                <c:pt idx="17">
                  <c:v>1270.6508959896801</c:v>
                </c:pt>
                <c:pt idx="18">
                  <c:v>1279.9304878989201</c:v>
                </c:pt>
                <c:pt idx="19">
                  <c:v>1289.4390320867899</c:v>
                </c:pt>
              </c:numCache>
            </c:numRef>
          </c:val>
          <c:smooth val="0"/>
          <c:extLst>
            <c:ext xmlns:c16="http://schemas.microsoft.com/office/drawing/2014/chart" uri="{C3380CC4-5D6E-409C-BE32-E72D297353CC}">
              <c16:uniqueId val="{00000005-FE61-442D-B452-95F3C5820CD7}"/>
            </c:ext>
          </c:extLst>
        </c:ser>
        <c:dLbls>
          <c:showLegendKey val="0"/>
          <c:showVal val="0"/>
          <c:showCatName val="0"/>
          <c:showSerName val="0"/>
          <c:showPercent val="0"/>
          <c:showBubbleSize val="0"/>
        </c:dLbls>
        <c:smooth val="0"/>
        <c:axId val="929478607"/>
        <c:axId val="929479087"/>
      </c:lineChart>
      <c:dateAx>
        <c:axId val="929478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layout>
            <c:manualLayout>
              <c:xMode val="edge"/>
              <c:yMode val="edge"/>
              <c:x val="0.45891529509345119"/>
              <c:y val="0.87273505038895371"/>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9087"/>
        <c:crosses val="autoZero"/>
        <c:auto val="0"/>
        <c:lblOffset val="100"/>
        <c:baseTimeUnit val="days"/>
      </c:dateAx>
      <c:valAx>
        <c:axId val="929479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Millioins tonnes</a:t>
                </a:r>
                <a:r>
                  <a:rPr lang="en-AU" baseline="0"/>
                  <a:t> CO2eq</a:t>
                </a:r>
              </a:p>
            </c:rich>
          </c:tx>
          <c:layout>
            <c:manualLayout>
              <c:xMode val="edge"/>
              <c:yMode val="edge"/>
              <c:x val="0"/>
              <c:y val="0.31084849509417606"/>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78607"/>
        <c:crosses val="autoZero"/>
        <c:crossBetween val="between"/>
      </c:valAx>
    </c:plotArea>
    <c:legend>
      <c:legendPos val="b"/>
      <c:layout>
        <c:manualLayout>
          <c:xMode val="edge"/>
          <c:yMode val="edge"/>
          <c:x val="8.4187477407683772E-2"/>
          <c:y val="0.92069417754644833"/>
          <c:w val="0.75019966356638312"/>
          <c:h val="5.63174276993744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0</xdr:rowOff>
    </xdr:from>
    <xdr:to>
      <xdr:col>7</xdr:col>
      <xdr:colOff>304800</xdr:colOff>
      <xdr:row>48</xdr:row>
      <xdr:rowOff>165100</xdr:rowOff>
    </xdr:to>
    <xdr:graphicFrame macro="">
      <xdr:nvGraphicFramePr>
        <xdr:cNvPr id="2" name="Chart 1">
          <a:extLst>
            <a:ext uri="{FF2B5EF4-FFF2-40B4-BE49-F238E27FC236}">
              <a16:creationId xmlns:a16="http://schemas.microsoft.com/office/drawing/2014/main" id="{AB151275-10DF-4323-92DF-091A783CC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69</xdr:row>
      <xdr:rowOff>12700</xdr:rowOff>
    </xdr:from>
    <xdr:to>
      <xdr:col>7</xdr:col>
      <xdr:colOff>315913</xdr:colOff>
      <xdr:row>83</xdr:row>
      <xdr:rowOff>153987</xdr:rowOff>
    </xdr:to>
    <xdr:graphicFrame macro="">
      <xdr:nvGraphicFramePr>
        <xdr:cNvPr id="3" name="Chart 2">
          <a:extLst>
            <a:ext uri="{FF2B5EF4-FFF2-40B4-BE49-F238E27FC236}">
              <a16:creationId xmlns:a16="http://schemas.microsoft.com/office/drawing/2014/main" id="{9BFF481E-E737-4B68-B654-85911626A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52</xdr:row>
      <xdr:rowOff>19050</xdr:rowOff>
    </xdr:from>
    <xdr:to>
      <xdr:col>7</xdr:col>
      <xdr:colOff>315913</xdr:colOff>
      <xdr:row>66</xdr:row>
      <xdr:rowOff>160337</xdr:rowOff>
    </xdr:to>
    <xdr:graphicFrame macro="">
      <xdr:nvGraphicFramePr>
        <xdr:cNvPr id="4" name="Chart 3">
          <a:extLst>
            <a:ext uri="{FF2B5EF4-FFF2-40B4-BE49-F238E27FC236}">
              <a16:creationId xmlns:a16="http://schemas.microsoft.com/office/drawing/2014/main" id="{94204999-A502-442F-8E06-7AB44F0C9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85</xdr:row>
      <xdr:rowOff>0</xdr:rowOff>
    </xdr:from>
    <xdr:to>
      <xdr:col>7</xdr:col>
      <xdr:colOff>315913</xdr:colOff>
      <xdr:row>99</xdr:row>
      <xdr:rowOff>141287</xdr:rowOff>
    </xdr:to>
    <xdr:graphicFrame macro="">
      <xdr:nvGraphicFramePr>
        <xdr:cNvPr id="5" name="Chart 4">
          <a:extLst>
            <a:ext uri="{FF2B5EF4-FFF2-40B4-BE49-F238E27FC236}">
              <a16:creationId xmlns:a16="http://schemas.microsoft.com/office/drawing/2014/main" id="{F5E61B7D-7677-4D54-A1EB-AC823D1CB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102</xdr:row>
      <xdr:rowOff>0</xdr:rowOff>
    </xdr:from>
    <xdr:to>
      <xdr:col>7</xdr:col>
      <xdr:colOff>309418</xdr:colOff>
      <xdr:row>116</xdr:row>
      <xdr:rowOff>124278</xdr:rowOff>
    </xdr:to>
    <xdr:graphicFrame macro="">
      <xdr:nvGraphicFramePr>
        <xdr:cNvPr id="6" name="Chart 5">
          <a:extLst>
            <a:ext uri="{FF2B5EF4-FFF2-40B4-BE49-F238E27FC236}">
              <a16:creationId xmlns:a16="http://schemas.microsoft.com/office/drawing/2014/main" id="{05901711-38FD-43BE-ADE2-44EE83422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119</xdr:row>
      <xdr:rowOff>0</xdr:rowOff>
    </xdr:from>
    <xdr:to>
      <xdr:col>7</xdr:col>
      <xdr:colOff>309418</xdr:colOff>
      <xdr:row>133</xdr:row>
      <xdr:rowOff>124278</xdr:rowOff>
    </xdr:to>
    <xdr:graphicFrame macro="">
      <xdr:nvGraphicFramePr>
        <xdr:cNvPr id="7" name="Chart 6">
          <a:extLst>
            <a:ext uri="{FF2B5EF4-FFF2-40B4-BE49-F238E27FC236}">
              <a16:creationId xmlns:a16="http://schemas.microsoft.com/office/drawing/2014/main" id="{4B9060D4-C58A-456D-A553-0A81BD320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137</xdr:row>
      <xdr:rowOff>0</xdr:rowOff>
    </xdr:from>
    <xdr:to>
      <xdr:col>7</xdr:col>
      <xdr:colOff>309418</xdr:colOff>
      <xdr:row>151</xdr:row>
      <xdr:rowOff>124278</xdr:rowOff>
    </xdr:to>
    <xdr:graphicFrame macro="">
      <xdr:nvGraphicFramePr>
        <xdr:cNvPr id="8" name="Chart 7">
          <a:extLst>
            <a:ext uri="{FF2B5EF4-FFF2-40B4-BE49-F238E27FC236}">
              <a16:creationId xmlns:a16="http://schemas.microsoft.com/office/drawing/2014/main" id="{5300D05F-E612-4A4E-A683-35D292B26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154</xdr:row>
      <xdr:rowOff>25400</xdr:rowOff>
    </xdr:from>
    <xdr:to>
      <xdr:col>7</xdr:col>
      <xdr:colOff>292100</xdr:colOff>
      <xdr:row>174</xdr:row>
      <xdr:rowOff>122465</xdr:rowOff>
    </xdr:to>
    <xdr:graphicFrame macro="">
      <xdr:nvGraphicFramePr>
        <xdr:cNvPr id="10" name="Chart 9">
          <a:extLst>
            <a:ext uri="{FF2B5EF4-FFF2-40B4-BE49-F238E27FC236}">
              <a16:creationId xmlns:a16="http://schemas.microsoft.com/office/drawing/2014/main" id="{26B7B561-33AE-47E3-B63E-CC31E4930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giar.sharepoint.com/sites/PCUInterim/Shared%20Documents/6.%20P25%20Inception/01.%20Inception%20Deliverables/xPrioritization/0"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cgiar.sharepoint.com/sites/CGIARTransitionandInception-Generaldocsandinfo/Shared%20Documents/Inception%20Phase%20templates/Prioritisation%20template%20and%20resources/Projected%20Benefits%20Data%20(Nov%202024)%20-%20With%20Analysis.xlsx" TargetMode="External"/><Relationship Id="rId2" Type="http://schemas.microsoft.com/office/2019/04/relationships/externalLinkLongPath" Target="https://cgiar-my.sharepoint.com/sites/CGIARTransitionandInception-Generaldocsandinfo/Shared%20Documents/Inception%20Phase%20templates/Prioritisation%20template%20and%20resources/Projected%20Benefits%20Data%20(Nov%202024)%20-%20With%20Analysis.xlsx?378FB519" TargetMode="External"/><Relationship Id="rId1" Type="http://schemas.openxmlformats.org/officeDocument/2006/relationships/externalLinkPath" Target="file:///\\378FB519\Projected%20Benefits%20Data%20(Nov%202024)%20-%20With%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nger"/>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Notes"/>
      <sheetName val="Analysis"/>
      <sheetName val="Hunger"/>
      <sheetName val="Poverty_215"/>
      <sheetName val="Poverty_365"/>
      <sheetName val="Poverty_685"/>
      <sheetName val="Jobs"/>
      <sheetName val="Incomes"/>
      <sheetName val="PA"/>
      <sheetName val="PY"/>
      <sheetName val="PQ"/>
      <sheetName val="PV"/>
      <sheetName val="GA"/>
      <sheetName val="GF"/>
      <sheetName val="GN"/>
      <sheetName val="GT"/>
      <sheetName val="GPC"/>
      <sheetName val="POP"/>
      <sheetName val="JA"/>
      <sheetName val="JF"/>
      <sheetName val="JW"/>
      <sheetName val="EA"/>
      <sheetName val="EO"/>
      <sheetName val="EF"/>
    </sheetNames>
    <sheetDataSet>
      <sheetData sheetId="0" refreshError="1"/>
      <sheetData sheetId="1" refreshError="1"/>
      <sheetData sheetId="2">
        <row r="6">
          <cell r="I6">
            <v>2021</v>
          </cell>
          <cell r="J6">
            <v>2022</v>
          </cell>
          <cell r="K6">
            <v>2023</v>
          </cell>
          <cell r="L6">
            <v>2024</v>
          </cell>
          <cell r="M6">
            <v>2025</v>
          </cell>
          <cell r="N6">
            <v>2026</v>
          </cell>
          <cell r="O6">
            <v>2027</v>
          </cell>
          <cell r="P6">
            <v>2028</v>
          </cell>
          <cell r="Q6">
            <v>2029</v>
          </cell>
          <cell r="R6">
            <v>2030</v>
          </cell>
          <cell r="S6">
            <v>2031</v>
          </cell>
          <cell r="T6">
            <v>2032</v>
          </cell>
          <cell r="U6">
            <v>2033</v>
          </cell>
          <cell r="V6">
            <v>2034</v>
          </cell>
          <cell r="W6">
            <v>2035</v>
          </cell>
          <cell r="X6">
            <v>2036</v>
          </cell>
          <cell r="Y6">
            <v>2037</v>
          </cell>
          <cell r="Z6">
            <v>2038</v>
          </cell>
          <cell r="AA6">
            <v>2039</v>
          </cell>
          <cell r="AB6">
            <v>2040</v>
          </cell>
        </row>
        <row r="8">
          <cell r="H8" t="str">
            <v>LAC</v>
          </cell>
        </row>
        <row r="9">
          <cell r="H9" t="str">
            <v>CWANA</v>
          </cell>
        </row>
        <row r="10">
          <cell r="H10" t="str">
            <v>WCA</v>
          </cell>
        </row>
        <row r="11">
          <cell r="H11" t="str">
            <v>ESA</v>
          </cell>
        </row>
        <row r="12">
          <cell r="H12" t="str">
            <v>SA</v>
          </cell>
        </row>
        <row r="13">
          <cell r="H13" t="str">
            <v>SEA</v>
          </cell>
        </row>
        <row r="32">
          <cell r="H32" t="str">
            <v>LAC</v>
          </cell>
          <cell r="I32">
            <v>44.994626247528409</v>
          </cell>
          <cell r="J32">
            <v>42.274181310493304</v>
          </cell>
          <cell r="K32">
            <v>39.642775911585034</v>
          </cell>
          <cell r="L32">
            <v>37.10303743411346</v>
          </cell>
          <cell r="M32">
            <v>34.657196751465953</v>
          </cell>
          <cell r="N32">
            <v>32.307079996639004</v>
          </cell>
          <cell r="O32">
            <v>30.054103446080493</v>
          </cell>
          <cell r="P32">
            <v>27.899271595631379</v>
          </cell>
          <cell r="Q32">
            <v>25.843178467953077</v>
          </cell>
          <cell r="R32">
            <v>23.886012150879463</v>
          </cell>
          <cell r="S32">
            <v>22.027562525242541</v>
          </cell>
          <cell r="T32">
            <v>20.267232099633596</v>
          </cell>
          <cell r="U32">
            <v>18.604049829002967</v>
          </cell>
          <cell r="V32">
            <v>17.036687754712815</v>
          </cell>
          <cell r="W32">
            <v>15.563480266407618</v>
          </cell>
          <cell r="X32">
            <v>14.182445751574955</v>
          </cell>
          <cell r="Y32">
            <v>12.891310367628208</v>
          </cell>
          <cell r="Z32">
            <v>11.687533644387715</v>
          </cell>
          <cell r="AA32">
            <v>10.568335602534368</v>
          </cell>
          <cell r="AB32">
            <v>9.5307250564153101</v>
          </cell>
        </row>
        <row r="33">
          <cell r="H33" t="str">
            <v>CWANA</v>
          </cell>
          <cell r="I33">
            <v>53.029004234032065</v>
          </cell>
          <cell r="J33">
            <v>52.525290224514286</v>
          </cell>
          <cell r="K33">
            <v>51.96185637562116</v>
          </cell>
          <cell r="L33">
            <v>51.339094690398539</v>
          </cell>
          <cell r="M33">
            <v>50.657604575609803</v>
          </cell>
          <cell r="N33">
            <v>49.918200256079977</v>
          </cell>
          <cell r="O33">
            <v>49.12191735931718</v>
          </cell>
          <cell r="P33">
            <v>48.270018536166937</v>
          </cell>
          <cell r="Q33">
            <v>47.363997978801621</v>
          </cell>
          <cell r="R33">
            <v>46.405584694269365</v>
          </cell>
          <cell r="S33">
            <v>45.396744390391454</v>
          </cell>
          <cell r="T33">
            <v>44.339679831303215</v>
          </cell>
          <cell r="U33">
            <v>43.236829522627083</v>
          </cell>
          <cell r="V33">
            <v>42.090864591472283</v>
          </cell>
          <cell r="W33">
            <v>40.904683734416942</v>
          </cell>
          <cell r="X33">
            <v>39.681406117611161</v>
          </cell>
          <cell r="Y33">
            <v>38.424362127423528</v>
          </cell>
          <cell r="Z33">
            <v>37.137081887757027</v>
          </cell>
          <cell r="AA33">
            <v>35.823281481524063</v>
          </cell>
          <cell r="AB33">
            <v>34.486846838830338</v>
          </cell>
        </row>
        <row r="34">
          <cell r="H34" t="str">
            <v>WCA</v>
          </cell>
          <cell r="I34">
            <v>108.61272300297506</v>
          </cell>
          <cell r="J34">
            <v>108.74281075537525</v>
          </cell>
          <cell r="K34">
            <v>108.75146812675052</v>
          </cell>
          <cell r="L34">
            <v>108.63645888480424</v>
          </cell>
          <cell r="M34">
            <v>108.39591134798818</v>
          </cell>
          <cell r="N34">
            <v>108.02834379867106</v>
          </cell>
          <cell r="O34">
            <v>107.53268866167555</v>
          </cell>
          <cell r="P34">
            <v>106.90831514239645</v>
          </cell>
          <cell r="Q34">
            <v>106.15505001255639</v>
          </cell>
          <cell r="R34">
            <v>105.27319622925576</v>
          </cell>
          <cell r="S34">
            <v>104.26354907481114</v>
          </cell>
          <cell r="T34">
            <v>103.12740951124412</v>
          </cell>
          <cell r="U34">
            <v>101.86659445453394</v>
          </cell>
          <cell r="V34">
            <v>100.48344369010545</v>
          </cell>
          <cell r="W34">
            <v>98.980823172615416</v>
          </cell>
          <cell r="X34">
            <v>97.362124480114034</v>
          </cell>
          <cell r="Y34">
            <v>95.631260224898313</v>
          </cell>
          <cell r="Z34">
            <v>93.792655260915183</v>
          </cell>
          <cell r="AA34">
            <v>91.851233569961806</v>
          </cell>
          <cell r="AB34">
            <v>89.812400756005999</v>
          </cell>
        </row>
        <row r="35">
          <cell r="H35" t="str">
            <v>ESA</v>
          </cell>
          <cell r="I35">
            <v>136.58277344182454</v>
          </cell>
          <cell r="J35">
            <v>133.80325740823852</v>
          </cell>
          <cell r="K35">
            <v>130.81169389927274</v>
          </cell>
          <cell r="L35">
            <v>127.61502458888565</v>
          </cell>
          <cell r="M35">
            <v>124.22171589799966</v>
          </cell>
          <cell r="N35">
            <v>120.64177208407331</v>
          </cell>
          <cell r="O35">
            <v>116.88672959836752</v>
          </cell>
          <cell r="P35">
            <v>112.96963098244476</v>
          </cell>
          <cell r="Q35">
            <v>108.90497681647865</v>
          </cell>
          <cell r="R35">
            <v>104.70865454402686</v>
          </cell>
          <cell r="S35">
            <v>100.39784338159049</v>
          </cell>
          <cell r="T35">
            <v>95.990894974677246</v>
          </cell>
          <cell r="U35">
            <v>91.507189980302982</v>
          </cell>
          <cell r="V35">
            <v>86.966971330753381</v>
          </cell>
          <cell r="W35">
            <v>82.391155553491927</v>
          </cell>
          <cell r="X35">
            <v>77.80112417213013</v>
          </cell>
          <cell r="Y35">
            <v>73.2184978749885</v>
          </cell>
          <cell r="Z35">
            <v>68.664896789270884</v>
          </cell>
          <cell r="AA35">
            <v>64.16169081610434</v>
          </cell>
          <cell r="AB35">
            <v>59.729744538591724</v>
          </cell>
        </row>
        <row r="36">
          <cell r="H36" t="str">
            <v>SA</v>
          </cell>
          <cell r="I36">
            <v>285.97811732395007</v>
          </cell>
          <cell r="J36">
            <v>259.96047433622363</v>
          </cell>
          <cell r="K36">
            <v>235.06924338441894</v>
          </cell>
          <cell r="L36">
            <v>211.39957144142542</v>
          </cell>
          <cell r="M36">
            <v>189.03167055207234</v>
          </cell>
          <cell r="N36">
            <v>168.02968007506837</v>
          </cell>
          <cell r="O36">
            <v>148.44085416875936</v>
          </cell>
          <cell r="P36">
            <v>130.29510607260826</v>
          </cell>
          <cell r="Q36">
            <v>113.60493020982643</v>
          </cell>
          <cell r="R36">
            <v>98.365711055345173</v>
          </cell>
          <cell r="S36">
            <v>84.556414528514409</v>
          </cell>
          <cell r="T36">
            <v>72.140643942711421</v>
          </cell>
          <cell r="U36">
            <v>61.068028923248249</v>
          </cell>
          <cell r="V36">
            <v>51.275902893832011</v>
          </cell>
          <cell r="W36">
            <v>42.691213447000997</v>
          </cell>
          <cell r="X36">
            <v>35.232600836880536</v>
          </cell>
          <cell r="Y36">
            <v>28.812573558076505</v>
          </cell>
          <cell r="Z36">
            <v>23.339706959850233</v>
          </cell>
          <cell r="AA36">
            <v>18.720791363989754</v>
          </cell>
          <cell r="AB36">
            <v>14.862860264376677</v>
          </cell>
        </row>
        <row r="37">
          <cell r="H37" t="str">
            <v>SEA</v>
          </cell>
          <cell r="I37">
            <v>63.434623188118827</v>
          </cell>
          <cell r="J37">
            <v>55.039026121819838</v>
          </cell>
          <cell r="K37">
            <v>47.508669601200317</v>
          </cell>
          <cell r="L37">
            <v>40.792406994222738</v>
          </cell>
          <cell r="M37">
            <v>34.83664000723217</v>
          </cell>
          <cell r="N37">
            <v>29.586210650753618</v>
          </cell>
          <cell r="O37">
            <v>24.985258502709165</v>
          </cell>
          <cell r="P37">
            <v>20.978025664776631</v>
          </cell>
          <cell r="Q37">
            <v>17.5095942441598</v>
          </cell>
          <cell r="R37">
            <v>14.526544038026993</v>
          </cell>
          <cell r="S37">
            <v>11.977521220647132</v>
          </cell>
          <cell r="T37">
            <v>9.8137120942565428</v>
          </cell>
          <cell r="U37">
            <v>7.9892192232337811</v>
          </cell>
          <cell r="V37">
            <v>6.4613403929105191</v>
          </cell>
          <cell r="W37">
            <v>5.1907536984482805</v>
          </cell>
          <cell r="X37">
            <v>4.1416145740998411</v>
          </cell>
          <cell r="Y37">
            <v>3.2815726412781241</v>
          </cell>
          <cell r="Z37">
            <v>2.5817178343489147</v>
          </cell>
          <cell r="AA37">
            <v>2.0164663329687422</v>
          </cell>
          <cell r="AB37">
            <v>1.5633973932392926</v>
          </cell>
        </row>
      </sheetData>
      <sheetData sheetId="3">
        <row r="8">
          <cell r="M8" t="str">
            <v>LAC</v>
          </cell>
          <cell r="N8">
            <v>4.9855700000000001</v>
          </cell>
          <cell r="O8">
            <v>5.0242558249487326</v>
          </cell>
          <cell r="P8">
            <v>5.062117154095195</v>
          </cell>
          <cell r="Q8">
            <v>5.0991221524061769</v>
          </cell>
          <cell r="R8">
            <v>5.1352386432570594</v>
          </cell>
          <cell r="S8">
            <v>5.1704341135176257</v>
          </cell>
          <cell r="T8">
            <v>5.2046757190976036</v>
          </cell>
          <cell r="U8">
            <v>5.2379302909876833</v>
          </cell>
          <cell r="V8">
            <v>5.2701643418338628</v>
          </cell>
          <cell r="W8">
            <v>5.3013440730862023</v>
          </cell>
          <cell r="X8">
            <v>5.3314353827658323</v>
          </cell>
          <cell r="Y8">
            <v>5.3604038738972362</v>
          </cell>
          <cell r="Z8">
            <v>5.3882148636566836</v>
          </cell>
          <cell r="AA8">
            <v>5.4148333932908708</v>
          </cell>
          <cell r="AB8">
            <v>5.440224238864193</v>
          </cell>
          <cell r="AC8">
            <v>5.4643519228972357</v>
          </cell>
          <cell r="AD8">
            <v>5.4871807269634791</v>
          </cell>
          <cell r="AE8">
            <v>5.5086747053163601</v>
          </cell>
          <cell r="AF8">
            <v>5.5287976996237669</v>
          </cell>
          <cell r="AG8">
            <v>5.5475133548929874</v>
          </cell>
        </row>
        <row r="9">
          <cell r="M9" t="str">
            <v>CWANA</v>
          </cell>
          <cell r="N9">
            <v>4.5991800000000005</v>
          </cell>
          <cell r="O9">
            <v>4.4042124111186176</v>
          </cell>
          <cell r="P9">
            <v>4.2131090946072494</v>
          </cell>
          <cell r="Q9">
            <v>4.0259800445895442</v>
          </cell>
          <cell r="R9">
            <v>3.8429300331731717</v>
          </cell>
          <cell r="S9">
            <v>3.6640582478081392</v>
          </cell>
          <cell r="T9">
            <v>3.4894579332820426</v>
          </cell>
          <cell r="U9">
            <v>3.3192160404052045</v>
          </cell>
          <cell r="V9">
            <v>3.1534128835435875</v>
          </cell>
          <cell r="W9">
            <v>2.9921218092536246</v>
          </cell>
          <cell r="X9">
            <v>2.8354088783588502</v>
          </cell>
          <cell r="Y9">
            <v>2.6833325638814145</v>
          </cell>
          <cell r="Z9">
            <v>2.5359434673004513</v>
          </cell>
          <cell r="AA9">
            <v>2.3932840556515869</v>
          </cell>
          <cell r="AB9">
            <v>2.2553884220052036</v>
          </cell>
          <cell r="AC9">
            <v>2.1222820718637156</v>
          </cell>
          <cell r="AD9">
            <v>1.9939817379979106</v>
          </cell>
          <cell r="AE9">
            <v>1.8704952261966068</v>
          </cell>
          <cell r="AF9">
            <v>1.7518212943315459</v>
          </cell>
          <cell r="AG9">
            <v>1.637949567038026</v>
          </cell>
        </row>
        <row r="10">
          <cell r="M10" t="str">
            <v>WCA</v>
          </cell>
          <cell r="N10">
            <v>36.308069999999994</v>
          </cell>
          <cell r="O10">
            <v>36.185861896128479</v>
          </cell>
          <cell r="P10">
            <v>36.06170110049667</v>
          </cell>
          <cell r="Q10">
            <v>35.93557699720413</v>
          </cell>
          <cell r="R10">
            <v>35.807478695050726</v>
          </cell>
          <cell r="S10">
            <v>35.677395033949246</v>
          </cell>
          <cell r="T10">
            <v>35.545314591576144</v>
          </cell>
          <cell r="U10">
            <v>35.411225690279473</v>
          </cell>
          <cell r="V10">
            <v>35.2751164042635</v>
          </cell>
          <cell r="W10">
            <v>35.136974567070602</v>
          </cell>
          <cell r="X10">
            <v>34.99678777938167</v>
          </cell>
          <cell r="Y10">
            <v>34.854543417157117</v>
          </cell>
          <cell r="Z10">
            <v>34.710228640141892</v>
          </cell>
          <cell r="AA10">
            <v>34.563830400758199</v>
          </cell>
          <cell r="AB10">
            <v>34.415335453411203</v>
          </cell>
          <cell r="AC10">
            <v>34.264730364233813</v>
          </cell>
          <cell r="AD10">
            <v>34.112001521297493</v>
          </cell>
          <cell r="AE10">
            <v>33.957135145317729</v>
          </cell>
          <cell r="AF10">
            <v>33.800117300883173</v>
          </cell>
          <cell r="AG10">
            <v>33.64093390823939</v>
          </cell>
        </row>
        <row r="11">
          <cell r="M11" t="str">
            <v>ESA</v>
          </cell>
          <cell r="N11">
            <v>38.895679999999999</v>
          </cell>
          <cell r="O11">
            <v>38.854339595759434</v>
          </cell>
          <cell r="P11">
            <v>38.811608056121294</v>
          </cell>
          <cell r="Q11">
            <v>38.76744471582041</v>
          </cell>
          <cell r="R11">
            <v>38.721807292463673</v>
          </cell>
          <cell r="S11">
            <v>38.674651820200459</v>
          </cell>
          <cell r="T11">
            <v>38.625932580548529</v>
          </cell>
          <cell r="U11">
            <v>38.575602030264164</v>
          </cell>
          <cell r="V11">
            <v>38.523610726142337</v>
          </cell>
          <cell r="W11">
            <v>38.469907246630569</v>
          </cell>
          <cell r="X11">
            <v>38.414438110137155</v>
          </cell>
          <cell r="Y11">
            <v>38.357147689913063</v>
          </cell>
          <cell r="Z11">
            <v>38.297978125384574</v>
          </cell>
          <cell r="AA11">
            <v>38.23686922981279</v>
          </cell>
          <cell r="AB11">
            <v>38.173758394154838</v>
          </cell>
          <cell r="AC11">
            <v>38.108580487001923</v>
          </cell>
          <cell r="AD11">
            <v>38.041267750469046</v>
          </cell>
          <cell r="AE11">
            <v>37.971749691912898</v>
          </cell>
          <cell r="AF11">
            <v>37.899952971356136</v>
          </cell>
          <cell r="AG11">
            <v>37.825801284499441</v>
          </cell>
        </row>
        <row r="12">
          <cell r="M12" t="str">
            <v>SA</v>
          </cell>
          <cell r="N12">
            <v>11.48274</v>
          </cell>
          <cell r="O12">
            <v>10.469357809197607</v>
          </cell>
          <cell r="P12">
            <v>9.4825202525357888</v>
          </cell>
          <cell r="Q12">
            <v>8.5274756835821197</v>
          </cell>
          <cell r="R12">
            <v>7.609438644494297</v>
          </cell>
          <cell r="S12">
            <v>6.7334754098511684</v>
          </cell>
          <cell r="T12">
            <v>5.9043760153954095</v>
          </cell>
          <cell r="U12">
            <v>5.1265159997613008</v>
          </cell>
          <cell r="V12">
            <v>4.403712587839661</v>
          </cell>
          <cell r="W12">
            <v>3.7390816146864139</v>
          </cell>
          <cell r="X12">
            <v>3.1349029870807015</v>
          </cell>
          <cell r="Y12">
            <v>2.5925037146786232</v>
          </cell>
          <cell r="Z12">
            <v>2.1121682806009399</v>
          </cell>
          <cell r="AA12">
            <v>1.6930861056307471</v>
          </cell>
          <cell r="AB12">
            <v>1.3333448452239742</v>
          </cell>
          <cell r="AC12">
            <v>1.0299760582613207</v>
          </cell>
          <cell r="AD12">
            <v>0.77905633517437689</v>
          </cell>
          <cell r="AE12">
            <v>0.57586238850067506</v>
          </cell>
          <cell r="AF12">
            <v>0.41507324294913156</v>
          </cell>
          <cell r="AG12">
            <v>0.29100711854202421</v>
          </cell>
        </row>
        <row r="13">
          <cell r="M13" t="str">
            <v>SEA</v>
          </cell>
        </row>
      </sheetData>
      <sheetData sheetId="4">
        <row r="8">
          <cell r="M8" t="str">
            <v>LAC</v>
          </cell>
          <cell r="N8">
            <v>12.326178476819264</v>
          </cell>
          <cell r="O8">
            <v>12.381889163349326</v>
          </cell>
          <cell r="P8">
            <v>12.436251628916459</v>
          </cell>
          <cell r="Q8">
            <v>12.489232445082679</v>
          </cell>
          <cell r="R8">
            <v>12.540797718585354</v>
          </cell>
          <cell r="S8">
            <v>12.590913081668123</v>
          </cell>
          <cell r="T8">
            <v>12.639543682250387</v>
          </cell>
          <cell r="U8">
            <v>12.686654173942228</v>
          </cell>
          <cell r="V8">
            <v>12.732208705912404</v>
          </cell>
          <cell r="W8">
            <v>12.77617091261866</v>
          </cell>
          <cell r="X8">
            <v>12.818503903410948</v>
          </cell>
          <cell r="Y8">
            <v>12.859170252019601</v>
          </cell>
          <cell r="Z8">
            <v>12.898131985942833</v>
          </cell>
          <cell r="AA8">
            <v>12.93535057574935</v>
          </cell>
          <cell r="AB8">
            <v>12.970786924314398</v>
          </cell>
          <cell r="AC8">
            <v>13.004401356010282</v>
          </cell>
          <cell r="AD8">
            <v>13.036153605874441</v>
          </cell>
          <cell r="AE8">
            <v>13.066002808782224</v>
          </cell>
          <cell r="AF8">
            <v>13.093907488653745</v>
          </cell>
          <cell r="AG8">
            <v>13.119825547729045</v>
          </cell>
        </row>
        <row r="9">
          <cell r="M9" t="str">
            <v>CWANA</v>
          </cell>
          <cell r="N9">
            <v>14.288422822098919</v>
          </cell>
          <cell r="O9">
            <v>13.982702549201973</v>
          </cell>
          <cell r="P9">
            <v>13.67683968914368</v>
          </cell>
          <cell r="Q9">
            <v>13.370966999763937</v>
          </cell>
          <cell r="R9">
            <v>13.065220507316768</v>
          </cell>
          <cell r="S9">
            <v>12.75973944689008</v>
          </cell>
          <cell r="T9">
            <v>12.45466619149396</v>
          </cell>
          <cell r="U9">
            <v>12.150146169228629</v>
          </cell>
          <cell r="V9">
            <v>11.846327767942952</v>
          </cell>
          <cell r="W9">
            <v>11.543362226797486</v>
          </cell>
          <cell r="X9">
            <v>11.241403514153248</v>
          </cell>
          <cell r="Y9">
            <v>10.940608191217761</v>
          </cell>
          <cell r="Z9">
            <v>10.641135260895059</v>
          </cell>
          <cell r="AA9">
            <v>10.343146001306888</v>
          </cell>
          <cell r="AB9">
            <v>10.046803783476943</v>
          </cell>
          <cell r="AC9">
            <v>9.7522738727010143</v>
          </cell>
          <cell r="AD9">
            <v>9.4597232131634286</v>
          </cell>
          <cell r="AE9">
            <v>9.169320195402916</v>
          </cell>
          <cell r="AF9">
            <v>8.8812344062825215</v>
          </cell>
          <cell r="AG9">
            <v>8.5956363611760942</v>
          </cell>
        </row>
        <row r="10">
          <cell r="M10" t="str">
            <v>WCA</v>
          </cell>
          <cell r="N10">
            <v>64.127509059426401</v>
          </cell>
          <cell r="O10">
            <v>64.124548141671539</v>
          </cell>
          <cell r="P10">
            <v>64.121536417731221</v>
          </cell>
          <cell r="Q10">
            <v>64.11847342100998</v>
          </cell>
          <cell r="R10">
            <v>64.115358669989774</v>
          </cell>
          <cell r="S10">
            <v>64.112191668041959</v>
          </cell>
          <cell r="T10">
            <v>64.108971903230866</v>
          </cell>
          <cell r="U10">
            <v>64.10569884810873</v>
          </cell>
          <cell r="V10">
            <v>64.102371959502051</v>
          </cell>
          <cell r="W10">
            <v>64.098990678288956</v>
          </cell>
          <cell r="X10">
            <v>64.095554429167606</v>
          </cell>
          <cell r="Y10">
            <v>64.092062620415476</v>
          </cell>
          <cell r="Z10">
            <v>64.08851464363913</v>
          </cell>
          <cell r="AA10">
            <v>64.084909873514761</v>
          </cell>
          <cell r="AB10">
            <v>64.081247667518738</v>
          </cell>
          <cell r="AC10">
            <v>64.077527365648464</v>
          </cell>
          <cell r="AD10">
            <v>64.073748290133068</v>
          </cell>
          <cell r="AE10">
            <v>64.069909745133799</v>
          </cell>
          <cell r="AF10">
            <v>64.066011016434032</v>
          </cell>
          <cell r="AG10">
            <v>64.0620513711184</v>
          </cell>
        </row>
        <row r="11">
          <cell r="M11" t="str">
            <v>ESA</v>
          </cell>
          <cell r="N11">
            <v>65.5165687371194</v>
          </cell>
          <cell r="O11">
            <v>65.515304931460904</v>
          </cell>
          <cell r="P11">
            <v>65.513998192389707</v>
          </cell>
          <cell r="Q11">
            <v>65.51264723352152</v>
          </cell>
          <cell r="R11">
            <v>65.511250715585177</v>
          </cell>
          <cell r="S11">
            <v>65.509807244115564</v>
          </cell>
          <cell r="T11">
            <v>65.508315367035863</v>
          </cell>
          <cell r="U11">
            <v>65.506773572123265</v>
          </cell>
          <cell r="V11">
            <v>65.505180284352662</v>
          </cell>
          <cell r="W11">
            <v>65.503533863111798</v>
          </cell>
          <cell r="X11">
            <v>65.501832599281641</v>
          </cell>
          <cell r="Y11">
            <v>65.500074712175063</v>
          </cell>
          <cell r="Z11">
            <v>65.49825834632675</v>
          </cell>
          <cell r="AA11">
            <v>65.496381568126708</v>
          </cell>
          <cell r="AB11">
            <v>65.494442362289362</v>
          </cell>
          <cell r="AC11">
            <v>65.492438628150126</v>
          </cell>
          <cell r="AD11">
            <v>65.490368175780418</v>
          </cell>
          <cell r="AE11">
            <v>65.48822872191198</v>
          </cell>
          <cell r="AF11">
            <v>65.486017885660644</v>
          </cell>
          <cell r="AG11">
            <v>65.483733184039494</v>
          </cell>
        </row>
        <row r="12">
          <cell r="M12" t="str">
            <v>SA</v>
          </cell>
          <cell r="N12">
            <v>43.134169730216684</v>
          </cell>
          <cell r="O12">
            <v>42.785936062727707</v>
          </cell>
          <cell r="P12">
            <v>42.423103240684</v>
          </cell>
          <cell r="Q12">
            <v>42.045095756720556</v>
          </cell>
          <cell r="R12">
            <v>41.65132322262177</v>
          </cell>
          <cell r="S12">
            <v>41.241181256264561</v>
          </cell>
          <cell r="T12">
            <v>40.814052617892735</v>
          </cell>
          <cell r="U12">
            <v>40.369308632944382</v>
          </cell>
          <cell r="V12">
            <v>39.906310943056774</v>
          </cell>
          <cell r="W12">
            <v>39.424413631627587</v>
          </cell>
          <cell r="X12">
            <v>38.922965775403092</v>
          </cell>
          <cell r="Y12">
            <v>38.401314478959492</v>
          </cell>
          <cell r="Z12">
            <v>37.858808454588946</v>
          </cell>
          <cell r="AA12">
            <v>37.29480221591367</v>
          </cell>
          <cell r="AB12">
            <v>36.708660959410587</v>
          </cell>
          <cell r="AC12">
            <v>36.099766213769868</v>
          </cell>
          <cell r="AD12">
            <v>35.46752234241179</v>
          </cell>
          <cell r="AE12">
            <v>34.811363989254396</v>
          </cell>
          <cell r="AF12">
            <v>34.130764561582758</v>
          </cell>
          <cell r="AG12">
            <v>33.425245846137834</v>
          </cell>
        </row>
        <row r="13">
          <cell r="M13" t="str">
            <v>SEA</v>
          </cell>
          <cell r="N13">
            <v>6.6233528939511919</v>
          </cell>
          <cell r="O13">
            <v>5.5934125729499016</v>
          </cell>
          <cell r="P13">
            <v>4.6450586257173407</v>
          </cell>
          <cell r="Q13">
            <v>3.786173914837176</v>
          </cell>
          <cell r="R13">
            <v>3.0226307406783413</v>
          </cell>
          <cell r="S13">
            <v>2.357833528713984</v>
          </cell>
          <cell r="T13">
            <v>1.7923686946310629</v>
          </cell>
          <cell r="U13">
            <v>1.3238210051222614</v>
          </cell>
          <cell r="V13">
            <v>0.94680860843435022</v>
          </cell>
          <cell r="W13">
            <v>0.65326964308088331</v>
          </cell>
          <cell r="X13">
            <v>0.43300161114111568</v>
          </cell>
          <cell r="Y13">
            <v>0.27441370348333582</v>
          </cell>
          <cell r="Z13">
            <v>0.16540941087168839</v>
          </cell>
          <cell r="AA13">
            <v>9.4283044263614654E-2</v>
          </cell>
          <cell r="AB13">
            <v>5.0501137911965505E-2</v>
          </cell>
          <cell r="AC13">
            <v>2.5256506789093403E-2</v>
          </cell>
          <cell r="AD13">
            <v>1.172900824802448E-2</v>
          </cell>
          <cell r="AE13">
            <v>5.0518673078637812E-3</v>
          </cell>
          <cell r="AF13">
            <v>2.045953654585674E-3</v>
          </cell>
          <cell r="AG13">
            <v>8.2542744513886197E-4</v>
          </cell>
        </row>
      </sheetData>
      <sheetData sheetId="5">
        <row r="6">
          <cell r="N6">
            <v>2021</v>
          </cell>
          <cell r="O6">
            <v>2022</v>
          </cell>
          <cell r="P6">
            <v>2023</v>
          </cell>
          <cell r="Q6">
            <v>2024</v>
          </cell>
          <cell r="R6">
            <v>2025</v>
          </cell>
          <cell r="S6">
            <v>2026</v>
          </cell>
          <cell r="T6">
            <v>2027</v>
          </cell>
          <cell r="U6">
            <v>2028</v>
          </cell>
          <cell r="V6">
            <v>2029</v>
          </cell>
          <cell r="W6">
            <v>2030</v>
          </cell>
          <cell r="X6">
            <v>2031</v>
          </cell>
          <cell r="Y6">
            <v>2032</v>
          </cell>
          <cell r="Z6">
            <v>2033</v>
          </cell>
          <cell r="AA6">
            <v>2034</v>
          </cell>
          <cell r="AB6">
            <v>2035</v>
          </cell>
          <cell r="AC6">
            <v>2036</v>
          </cell>
          <cell r="AD6">
            <v>2037</v>
          </cell>
          <cell r="AE6">
            <v>2038</v>
          </cell>
          <cell r="AF6">
            <v>2039</v>
          </cell>
          <cell r="AG6">
            <v>2040</v>
          </cell>
        </row>
        <row r="8">
          <cell r="M8" t="str">
            <v>LAC</v>
          </cell>
          <cell r="N8">
            <v>31.997969993346203</v>
          </cell>
          <cell r="O8">
            <v>32.039062810175608</v>
          </cell>
          <cell r="P8">
            <v>32.079057725043626</v>
          </cell>
          <cell r="Q8">
            <v>32.117938611160028</v>
          </cell>
          <cell r="R8">
            <v>32.15568892393707</v>
          </cell>
          <cell r="S8">
            <v>32.192291687299296</v>
          </cell>
          <cell r="T8">
            <v>32.227729479466248</v>
          </cell>
          <cell r="U8">
            <v>32.261984418183793</v>
          </cell>
          <cell r="V8">
            <v>32.295038145378363</v>
          </cell>
          <cell r="W8">
            <v>32.326871811207042</v>
          </cell>
          <cell r="X8">
            <v>32.35746605747552</v>
          </cell>
          <cell r="Y8">
            <v>32.386801000393902</v>
          </cell>
          <cell r="Z8">
            <v>32.414856212639791</v>
          </cell>
          <cell r="AA8">
            <v>32.441610704695691</v>
          </cell>
          <cell r="AB8">
            <v>32.467042905426887</v>
          </cell>
          <cell r="AC8">
            <v>32.491130641864018</v>
          </cell>
          <cell r="AD8">
            <v>32.513851118152751</v>
          </cell>
          <cell r="AE8">
            <v>32.53518089363169</v>
          </cell>
          <cell r="AF8">
            <v>32.555095859997088</v>
          </cell>
          <cell r="AG8">
            <v>32.573571217511805</v>
          </cell>
        </row>
        <row r="9">
          <cell r="M9" t="str">
            <v>CWANA</v>
          </cell>
          <cell r="N9">
            <v>39.779016636555149</v>
          </cell>
          <cell r="O9">
            <v>39.643680609114753</v>
          </cell>
          <cell r="P9">
            <v>39.506380908463292</v>
          </cell>
          <cell r="Q9">
            <v>39.367094354850529</v>
          </cell>
          <cell r="R9">
            <v>39.225797452353419</v>
          </cell>
          <cell r="S9">
            <v>39.082466386812591</v>
          </cell>
          <cell r="T9">
            <v>38.937077023844417</v>
          </cell>
          <cell r="U9">
            <v>38.789604906939594</v>
          </cell>
          <cell r="V9">
            <v>38.640025255660525</v>
          </cell>
          <cell r="W9">
            <v>38.488312963950222</v>
          </cell>
          <cell r="X9">
            <v>38.334442598567406</v>
          </cell>
          <cell r="Y9">
            <v>38.178388397663184</v>
          </cell>
          <cell r="Z9">
            <v>38.020124269516145</v>
          </cell>
          <cell r="AA9">
            <v>37.859623791444534</v>
          </cell>
          <cell r="AB9">
            <v>37.69686020891541</v>
          </cell>
          <cell r="AC9">
            <v>37.531806434872571</v>
          </cell>
          <cell r="AD9">
            <v>37.364435049306998</v>
          </cell>
          <cell r="AE9">
            <v>37.194718299095641</v>
          </cell>
          <cell r="AF9">
            <v>37.022628098136288</v>
          </cell>
          <cell r="AG9">
            <v>36.848136027809275</v>
          </cell>
        </row>
        <row r="10">
          <cell r="M10" t="str">
            <v>WCA</v>
          </cell>
          <cell r="N10">
            <v>88.509866853767235</v>
          </cell>
          <cell r="O10">
            <v>88.506905907516682</v>
          </cell>
          <cell r="P10">
            <v>88.503894154216354</v>
          </cell>
          <cell r="Q10">
            <v>88.500831127247025</v>
          </cell>
          <cell r="R10">
            <v>88.49771634506611</v>
          </cell>
          <cell r="S10">
            <v>88.494549311019711</v>
          </cell>
          <cell r="T10">
            <v>88.491329513146155</v>
          </cell>
          <cell r="U10">
            <v>88.488056423970917</v>
          </cell>
          <cell r="V10">
            <v>88.484729500292858</v>
          </cell>
          <cell r="W10">
            <v>88.481348182961682</v>
          </cell>
          <cell r="X10">
            <v>88.477911896646276</v>
          </cell>
          <cell r="Y10">
            <v>88.47442004959386</v>
          </cell>
          <cell r="Z10">
            <v>88.470872033379976</v>
          </cell>
          <cell r="AA10">
            <v>88.467267222648758</v>
          </cell>
          <cell r="AB10">
            <v>88.463604974843548</v>
          </cell>
          <cell r="AC10">
            <v>88.459884629927714</v>
          </cell>
          <cell r="AD10">
            <v>88.456105510095327</v>
          </cell>
          <cell r="AE10">
            <v>88.452266919471526</v>
          </cell>
          <cell r="AF10">
            <v>88.44836814380244</v>
          </cell>
          <cell r="AG10">
            <v>88.444408450134276</v>
          </cell>
        </row>
        <row r="11">
          <cell r="M11" t="str">
            <v>ESA</v>
          </cell>
          <cell r="N11">
            <v>87.439470089502706</v>
          </cell>
          <cell r="O11">
            <v>87.438206272418199</v>
          </cell>
          <cell r="P11">
            <v>87.43689952147345</v>
          </cell>
          <cell r="Q11">
            <v>87.435548550266446</v>
          </cell>
          <cell r="R11">
            <v>87.434152019507337</v>
          </cell>
          <cell r="S11">
            <v>87.432708534711367</v>
          </cell>
          <cell r="T11">
            <v>87.431216643780985</v>
          </cell>
          <cell r="U11">
            <v>87.429674834471584</v>
          </cell>
          <cell r="V11">
            <v>87.428081531735046</v>
          </cell>
          <cell r="W11">
            <v>87.426435094934845</v>
          </cell>
          <cell r="X11">
            <v>87.424733814926384</v>
          </cell>
          <cell r="Y11">
            <v>87.422975910995547</v>
          </cell>
          <cell r="Z11">
            <v>87.421159527648513</v>
          </cell>
          <cell r="AA11">
            <v>87.41928273124519</v>
          </cell>
          <cell r="AB11">
            <v>87.417343506468242</v>
          </cell>
          <cell r="AC11">
            <v>87.415339752619502</v>
          </cell>
          <cell r="AD11">
            <v>87.413269279734905</v>
          </cell>
          <cell r="AE11">
            <v>87.411129804508619</v>
          </cell>
          <cell r="AF11">
            <v>87.408918946016826</v>
          </cell>
          <cell r="AG11">
            <v>87.406634221230576</v>
          </cell>
        </row>
        <row r="12">
          <cell r="M12" t="str">
            <v>SA</v>
          </cell>
          <cell r="N12">
            <v>80.974434595048464</v>
          </cell>
          <cell r="O12">
            <v>80.959242803092351</v>
          </cell>
          <cell r="P12">
            <v>80.943388042141493</v>
          </cell>
          <cell r="Q12">
            <v>80.926840343727847</v>
          </cell>
          <cell r="R12">
            <v>80.909568355452805</v>
          </cell>
          <cell r="S12">
            <v>80.891539276056207</v>
          </cell>
          <cell r="T12">
            <v>80.87271878739547</v>
          </cell>
          <cell r="U12">
            <v>80.853070983186115</v>
          </cell>
          <cell r="V12">
            <v>80.832558294348132</v>
          </cell>
          <cell r="W12">
            <v>80.811141410795415</v>
          </cell>
          <cell r="X12">
            <v>80.788779199497441</v>
          </cell>
          <cell r="Y12">
            <v>80.765428618634701</v>
          </cell>
          <cell r="Z12">
            <v>80.741044627660742</v>
          </cell>
          <cell r="AA12">
            <v>80.715580093075289</v>
          </cell>
          <cell r="AB12">
            <v>80.688985689703458</v>
          </cell>
          <cell r="AC12">
            <v>80.661209797267162</v>
          </cell>
          <cell r="AD12">
            <v>80.632198392024776</v>
          </cell>
          <cell r="AE12">
            <v>80.601894933245035</v>
          </cell>
          <cell r="AF12">
            <v>80.570240244270892</v>
          </cell>
          <cell r="AG12">
            <v>80.537172387918261</v>
          </cell>
        </row>
        <row r="13">
          <cell r="M13" t="str">
            <v>SEA</v>
          </cell>
          <cell r="N13">
            <v>29.552820007379527</v>
          </cell>
          <cell r="O13">
            <v>28.453080931793412</v>
          </cell>
          <cell r="P13">
            <v>27.310321404829729</v>
          </cell>
          <cell r="Q13">
            <v>26.12551348313033</v>
          </cell>
          <cell r="R13">
            <v>24.900204498083639</v>
          </cell>
          <cell r="S13">
            <v>23.63660480947399</v>
          </cell>
          <cell r="T13">
            <v>22.337678810268585</v>
          </cell>
          <cell r="U13">
            <v>21.007236195027286</v>
          </cell>
          <cell r="V13">
            <v>19.65001929952161</v>
          </cell>
          <cell r="W13">
            <v>18.271780897959644</v>
          </cell>
          <cell r="X13">
            <v>16.879345241730842</v>
          </cell>
          <cell r="Y13">
            <v>15.480643420645551</v>
          </cell>
          <cell r="Z13">
            <v>14.084712469190334</v>
          </cell>
          <cell r="AA13">
            <v>12.701646254863919</v>
          </cell>
          <cell r="AB13">
            <v>11.342485402175255</v>
          </cell>
          <cell r="AC13">
            <v>10.019033761655447</v>
          </cell>
          <cell r="AD13">
            <v>8.7435907626419773</v>
          </cell>
          <cell r="AE13">
            <v>7.5285929792859632</v>
          </cell>
          <cell r="AF13">
            <v>6.3861649398990448</v>
          </cell>
          <cell r="AG13">
            <v>5.3275889751452086</v>
          </cell>
        </row>
      </sheetData>
      <sheetData sheetId="6">
        <row r="8">
          <cell r="H8" t="str">
            <v>LAC</v>
          </cell>
          <cell r="I8">
            <v>79.453806000000029</v>
          </cell>
          <cell r="J8">
            <v>81.086566054723761</v>
          </cell>
          <cell r="K8">
            <v>82.761199563724261</v>
          </cell>
          <cell r="L8">
            <v>84.478933000031432</v>
          </cell>
          <cell r="M8">
            <v>86.241032775044218</v>
          </cell>
          <cell r="N8">
            <v>88.048806699008438</v>
          </cell>
          <cell r="O8">
            <v>89.903605503022717</v>
          </cell>
          <cell r="P8">
            <v>91.806824425594613</v>
          </cell>
          <cell r="Q8">
            <v>93.75990486693928</v>
          </cell>
          <cell r="R8">
            <v>95.764336114393075</v>
          </cell>
          <cell r="S8">
            <v>97.821657142505401</v>
          </cell>
          <cell r="T8">
            <v>99.933458491576303</v>
          </cell>
          <cell r="U8">
            <v>102.10138422862239</v>
          </cell>
          <cell r="V8">
            <v>104.32713399498354</v>
          </cell>
          <cell r="W8">
            <v>106.61246514502676</v>
          </cell>
          <cell r="X8">
            <v>108.95919498066223</v>
          </cell>
          <cell r="Y8">
            <v>111.36920308666291</v>
          </cell>
          <cell r="Z8">
            <v>113.8444337720708</v>
          </cell>
          <cell r="AA8">
            <v>116.38689862328633</v>
          </cell>
          <cell r="AB8">
            <v>118.9986791747661</v>
          </cell>
        </row>
        <row r="9">
          <cell r="H9" t="str">
            <v>CWANA</v>
          </cell>
          <cell r="I9">
            <v>50.377779000000018</v>
          </cell>
          <cell r="J9">
            <v>51.475883640949675</v>
          </cell>
          <cell r="K9">
            <v>52.60694668056464</v>
          </cell>
          <cell r="L9">
            <v>53.772163611607844</v>
          </cell>
          <cell r="M9">
            <v>54.972780888224577</v>
          </cell>
          <cell r="N9">
            <v>56.210098413985783</v>
          </cell>
          <cell r="O9">
            <v>57.485472164940759</v>
          </cell>
          <cell r="P9">
            <v>58.800316955564412</v>
          </cell>
          <cell r="Q9">
            <v>60.156109355966279</v>
          </cell>
          <cell r="R9">
            <v>61.554390769242069</v>
          </cell>
          <cell r="S9">
            <v>62.996770678393503</v>
          </cell>
          <cell r="T9">
            <v>64.484930072822266</v>
          </cell>
          <cell r="U9">
            <v>66.020625065020141</v>
          </cell>
          <cell r="V9">
            <v>67.605690708732766</v>
          </cell>
          <cell r="W9">
            <v>69.242045030571489</v>
          </cell>
          <cell r="X9">
            <v>70.931693287788633</v>
          </cell>
          <cell r="Y9">
            <v>72.676732465719184</v>
          </cell>
          <cell r="Z9">
            <v>74.479356029230715</v>
          </cell>
          <cell r="AA9">
            <v>76.341858943413598</v>
          </cell>
          <cell r="AB9">
            <v>78.266642979691554</v>
          </cell>
        </row>
        <row r="10">
          <cell r="H10" t="str">
            <v>WCA</v>
          </cell>
          <cell r="I10">
            <v>118.18600999999997</v>
          </cell>
          <cell r="J10">
            <v>122.23843040211432</v>
          </cell>
          <cell r="K10">
            <v>126.45316524656667</v>
          </cell>
          <cell r="L10">
            <v>130.83720375098156</v>
          </cell>
          <cell r="M10">
            <v>135.39784981501148</v>
          </cell>
          <cell r="N10">
            <v>140.14273666406737</v>
          </cell>
          <cell r="O10">
            <v>145.07984219400183</v>
          </cell>
          <cell r="P10">
            <v>150.21750505118411</v>
          </cell>
          <cell r="Q10">
            <v>155.56444148413863</v>
          </cell>
          <cell r="R10">
            <v>161.12976300474412</v>
          </cell>
          <cell r="S10">
            <v>166.92299489890539</v>
          </cell>
          <cell r="T10">
            <v>172.95409562862969</v>
          </cell>
          <cell r="U10">
            <v>179.23347716955743</v>
          </cell>
          <cell r="V10">
            <v>185.77202633022995</v>
          </cell>
          <cell r="W10">
            <v>192.58112710172094</v>
          </cell>
          <cell r="X10">
            <v>199.67268408872843</v>
          </cell>
          <cell r="Y10">
            <v>207.05914707581761</v>
          </cell>
          <cell r="Z10">
            <v>214.75353678523783</v>
          </cell>
          <cell r="AA10">
            <v>222.7694718856078</v>
          </cell>
          <cell r="AB10">
            <v>231.1211973137884</v>
          </cell>
        </row>
        <row r="11">
          <cell r="H11" t="str">
            <v>ESA</v>
          </cell>
          <cell r="I11">
            <v>152.33566000000002</v>
          </cell>
          <cell r="J11">
            <v>158.07421116433346</v>
          </cell>
          <cell r="K11">
            <v>164.07237269379897</v>
          </cell>
          <cell r="L11">
            <v>170.34341970834708</v>
          </cell>
          <cell r="M11">
            <v>176.90137254096749</v>
          </cell>
          <cell r="N11">
            <v>183.76104196085666</v>
          </cell>
          <cell r="O11">
            <v>190.93807732942491</v>
          </cell>
          <cell r="P11">
            <v>198.44901789019178</v>
          </cell>
          <cell r="Q11">
            <v>206.31134740803611</v>
          </cell>
          <cell r="R11">
            <v>214.54355238875252</v>
          </cell>
          <cell r="S11">
            <v>223.16518412650379</v>
          </cell>
          <cell r="T11">
            <v>232.19692484464082</v>
          </cell>
          <cell r="U11">
            <v>241.6606582145759</v>
          </cell>
          <cell r="V11">
            <v>251.57954455804838</v>
          </cell>
          <cell r="W11">
            <v>261.97810106032796</v>
          </cell>
          <cell r="X11">
            <v>272.88228734576751</v>
          </cell>
          <cell r="Y11">
            <v>284.31959679279009</v>
          </cell>
          <cell r="Z11">
            <v>296.31915399299453</v>
          </cell>
          <cell r="AA11">
            <v>308.91181878875346</v>
          </cell>
          <cell r="AB11">
            <v>322.13029735561247</v>
          </cell>
        </row>
        <row r="12">
          <cell r="H12" t="str">
            <v>SA</v>
          </cell>
          <cell r="I12">
            <v>335.11902000000009</v>
          </cell>
          <cell r="J12">
            <v>345.66881990260407</v>
          </cell>
          <cell r="K12">
            <v>356.63814092719883</v>
          </cell>
          <cell r="L12">
            <v>368.04753785339176</v>
          </cell>
          <cell r="M12">
            <v>379.91876723366477</v>
          </cell>
          <cell r="N12">
            <v>392.27486709759944</v>
          </cell>
          <cell r="O12">
            <v>405.1402423684076</v>
          </cell>
          <cell r="P12">
            <v>418.54075641958144</v>
          </cell>
          <cell r="Q12">
            <v>432.50382923231621</v>
          </cell>
          <cell r="R12">
            <v>447.05854264974494</v>
          </cell>
          <cell r="S12">
            <v>462.23575326217548</v>
          </cell>
          <cell r="T12">
            <v>478.06821349863992</v>
          </cell>
          <cell r="U12">
            <v>494.590701544387</v>
          </cell>
          <cell r="V12">
            <v>511.84016075174111</v>
          </cell>
          <cell r="W12">
            <v>529.85584926325362</v>
          </cell>
          <cell r="X12">
            <v>548.67950062161788</v>
          </cell>
          <cell r="Y12">
            <v>568.35549620068832</v>
          </cell>
          <cell r="Z12">
            <v>588.93105035650285</v>
          </cell>
          <cell r="AA12">
            <v>610.45640926681085</v>
          </cell>
          <cell r="AB12">
            <v>632.98506450266382</v>
          </cell>
        </row>
        <row r="13">
          <cell r="H13" t="str">
            <v>SEA</v>
          </cell>
          <cell r="I13">
            <v>430.51747</v>
          </cell>
          <cell r="J13">
            <v>439.33041241842869</v>
          </cell>
          <cell r="K13">
            <v>448.38064327155428</v>
          </cell>
          <cell r="L13">
            <v>457.67536459431091</v>
          </cell>
          <cell r="M13">
            <v>467.22201511279206</v>
          </cell>
          <cell r="N13">
            <v>477.02827850129813</v>
          </cell>
          <cell r="O13">
            <v>487.10209194083677</v>
          </cell>
          <cell r="P13">
            <v>497.45165499047306</v>
          </cell>
          <cell r="Q13">
            <v>508.08543878336332</v>
          </cell>
          <cell r="R13">
            <v>519.01219555976866</v>
          </cell>
          <cell r="S13">
            <v>530.24096854982224</v>
          </cell>
          <cell r="T13">
            <v>541.78110221932002</v>
          </cell>
          <cell r="U13">
            <v>553.64225289232104</v>
          </cell>
          <cell r="V13">
            <v>565.83439976488307</v>
          </cell>
          <cell r="W13">
            <v>578.36785632481349</v>
          </cell>
          <cell r="X13">
            <v>591.25328219290111</v>
          </cell>
          <cell r="Y13">
            <v>604.50169540169111</v>
          </cell>
          <cell r="Z13">
            <v>618.12448512850256</v>
          </cell>
          <cell r="AA13">
            <v>632.13342490002969</v>
          </cell>
          <cell r="AB13">
            <v>646.5406862865575</v>
          </cell>
        </row>
        <row r="32">
          <cell r="H32" t="str">
            <v>LAC</v>
          </cell>
          <cell r="I32">
            <v>39.87713500000001</v>
          </cell>
          <cell r="J32">
            <v>40.696602265354485</v>
          </cell>
          <cell r="K32">
            <v>41.537085432566613</v>
          </cell>
          <cell r="L32">
            <v>42.399200057177985</v>
          </cell>
          <cell r="M32">
            <v>43.283581739430616</v>
          </cell>
          <cell r="N32">
            <v>44.190886857267287</v>
          </cell>
          <cell r="O32">
            <v>45.121793330212284</v>
          </cell>
          <cell r="P32">
            <v>46.077001415649413</v>
          </cell>
          <cell r="Q32">
            <v>47.057234539099298</v>
          </cell>
          <cell r="R32">
            <v>48.063240160188528</v>
          </cell>
          <cell r="S32">
            <v>49.095790676099298</v>
          </cell>
          <cell r="T32">
            <v>50.155684364390105</v>
          </cell>
          <cell r="U32">
            <v>51.243746367186574</v>
          </cell>
          <cell r="V32">
            <v>52.360829718856365</v>
          </cell>
          <cell r="W32">
            <v>53.507816419405103</v>
          </cell>
          <cell r="X32">
            <v>54.685618555959309</v>
          </cell>
          <cell r="Y32">
            <v>55.895179474841946</v>
          </cell>
          <cell r="Z32">
            <v>57.137475006891762</v>
          </cell>
          <cell r="AA32">
            <v>58.413514748835354</v>
          </cell>
          <cell r="AB32">
            <v>59.724343403685864</v>
          </cell>
        </row>
        <row r="33">
          <cell r="H33" t="str">
            <v>CWANA</v>
          </cell>
          <cell r="I33">
            <v>31.03291200000001</v>
          </cell>
          <cell r="J33">
            <v>31.709348821269604</v>
          </cell>
          <cell r="K33">
            <v>32.406088147050994</v>
          </cell>
          <cell r="L33">
            <v>33.123866405635468</v>
          </cell>
          <cell r="M33">
            <v>33.863451417728342</v>
          </cell>
          <cell r="N33">
            <v>34.625643929093428</v>
          </cell>
          <cell r="O33">
            <v>35.411279226363988</v>
          </cell>
          <cell r="P33">
            <v>36.22122884087721</v>
          </cell>
          <cell r="Q33">
            <v>37.05640234568655</v>
          </cell>
          <cell r="R33">
            <v>37.917749251222475</v>
          </cell>
          <cell r="S33">
            <v>38.806261005408075</v>
          </cell>
          <cell r="T33">
            <v>39.72297310439285</v>
          </cell>
          <cell r="U33">
            <v>40.668967320448246</v>
          </cell>
          <cell r="V33">
            <v>41.645374053971722</v>
          </cell>
          <cell r="W33">
            <v>42.653374816975607</v>
          </cell>
          <cell r="X33">
            <v>43.694204855893609</v>
          </cell>
          <cell r="Y33">
            <v>44.769155922022804</v>
          </cell>
          <cell r="Z33">
            <v>45.879579198435607</v>
          </cell>
          <cell r="AA33">
            <v>47.026888392744873</v>
          </cell>
          <cell r="AB33">
            <v>48.212563005689191</v>
          </cell>
        </row>
        <row r="34">
          <cell r="H34" t="str">
            <v>WCA</v>
          </cell>
          <cell r="I34">
            <v>87.403205999999997</v>
          </cell>
          <cell r="J34">
            <v>90.400130383897917</v>
          </cell>
          <cell r="K34">
            <v>93.517092686331551</v>
          </cell>
          <cell r="L34">
            <v>96.759261708818272</v>
          </cell>
          <cell r="M34">
            <v>100.13203897262046</v>
          </cell>
          <cell r="N34">
            <v>103.64106954836053</v>
          </cell>
          <cell r="O34">
            <v>107.29225340401825</v>
          </cell>
          <cell r="P34">
            <v>111.09175729677888</v>
          </cell>
          <cell r="Q34">
            <v>115.04602723548342</v>
          </cell>
          <cell r="R34">
            <v>119.16180154178005</v>
          </cell>
          <cell r="S34">
            <v>123.44612453949483</v>
          </cell>
          <cell r="T34">
            <v>127.90636090323059</v>
          </cell>
          <cell r="U34">
            <v>132.55021069877162</v>
          </cell>
          <cell r="V34">
            <v>137.38572514952074</v>
          </cell>
          <cell r="W34">
            <v>142.42132316493215</v>
          </cell>
          <cell r="X34">
            <v>147.6658086687253</v>
          </cell>
          <cell r="Y34">
            <v>153.12838876658907</v>
          </cell>
          <cell r="Z34">
            <v>158.81869279510084</v>
          </cell>
          <cell r="AA34">
            <v>164.7467922957124</v>
          </cell>
          <cell r="AB34">
            <v>170.92322195988925</v>
          </cell>
        </row>
        <row r="35">
          <cell r="H35" t="str">
            <v>ESA</v>
          </cell>
          <cell r="I35">
            <v>130.63965000000002</v>
          </cell>
          <cell r="J35">
            <v>135.56090294639233</v>
          </cell>
          <cell r="K35">
            <v>140.70479192716564</v>
          </cell>
          <cell r="L35">
            <v>146.0827013878534</v>
          </cell>
          <cell r="M35">
            <v>151.70665485199987</v>
          </cell>
          <cell r="N35">
            <v>157.58935370353618</v>
          </cell>
          <cell r="O35">
            <v>163.74421848429319</v>
          </cell>
          <cell r="P35">
            <v>170.18543287906712</v>
          </cell>
          <cell r="Q35">
            <v>176.9279905730165</v>
          </cell>
          <cell r="R35">
            <v>183.98774517944975</v>
          </cell>
          <cell r="S35">
            <v>191.38146345033073</v>
          </cell>
          <cell r="T35">
            <v>199.12688199716456</v>
          </cell>
          <cell r="U35">
            <v>207.24276776640357</v>
          </cell>
          <cell r="V35">
            <v>215.74898253122643</v>
          </cell>
          <cell r="W35">
            <v>224.66655168058401</v>
          </cell>
          <cell r="X35">
            <v>234.01773760687746</v>
          </cell>
          <cell r="Y35">
            <v>243.82611801564533</v>
          </cell>
          <cell r="Z35">
            <v>254.11666950430984</v>
          </cell>
          <cell r="AA35">
            <v>264.91585678249055</v>
          </cell>
          <cell r="AB35">
            <v>276.25172793378215</v>
          </cell>
        </row>
        <row r="36">
          <cell r="H36" t="str">
            <v>SA</v>
          </cell>
          <cell r="I36">
            <v>269.06188000000009</v>
          </cell>
          <cell r="J36">
            <v>277.53215123503298</v>
          </cell>
          <cell r="K36">
            <v>286.33924949284307</v>
          </cell>
          <cell r="L36">
            <v>295.49967788818657</v>
          </cell>
          <cell r="M36">
            <v>305.03090442068083</v>
          </cell>
          <cell r="N36">
            <v>314.95142596809416</v>
          </cell>
          <cell r="O36">
            <v>325.2808368659571</v>
          </cell>
          <cell r="P36">
            <v>336.03990241698204</v>
          </cell>
          <cell r="Q36">
            <v>347.25063770014003</v>
          </cell>
          <cell r="R36">
            <v>358.93639207765807</v>
          </cell>
          <cell r="S36">
            <v>371.12193982883178</v>
          </cell>
          <cell r="T36">
            <v>383.83357737255687</v>
          </cell>
          <cell r="U36">
            <v>397.09922757607637</v>
          </cell>
          <cell r="V36">
            <v>410.94855168580307</v>
          </cell>
          <cell r="W36">
            <v>425.4130694574352</v>
          </cell>
          <cell r="X36">
            <v>440.52628810717351</v>
          </cell>
          <cell r="Y36">
            <v>456.32384075392099</v>
          </cell>
          <cell r="Z36">
            <v>472.84363507417561</v>
          </cell>
          <cell r="AA36">
            <v>490.12601294721367</v>
          </cell>
          <cell r="AB36">
            <v>508.21392192841813</v>
          </cell>
        </row>
        <row r="37">
          <cell r="H37" t="str">
            <v>SEA</v>
          </cell>
          <cell r="I37">
            <v>284.72257000000002</v>
          </cell>
          <cell r="J37">
            <v>290.55100621801699</v>
          </cell>
          <cell r="K37">
            <v>296.53637305480339</v>
          </cell>
          <cell r="L37">
            <v>302.68343357350676</v>
          </cell>
          <cell r="M37">
            <v>308.99710737288541</v>
          </cell>
          <cell r="N37">
            <v>315.48247604810399</v>
          </cell>
          <cell r="O37">
            <v>322.14478885089454</v>
          </cell>
          <cell r="P37">
            <v>328.98946855662052</v>
          </cell>
          <cell r="Q37">
            <v>336.02211754607043</v>
          </cell>
          <cell r="R37">
            <v>343.24852411011312</v>
          </cell>
          <cell r="S37">
            <v>350.67466898566175</v>
          </cell>
          <cell r="T37">
            <v>358.30673213172389</v>
          </cell>
          <cell r="U37">
            <v>366.15109975465475</v>
          </cell>
          <cell r="V37">
            <v>374.21437159208631</v>
          </cell>
          <cell r="W37">
            <v>382.50336846537647</v>
          </cell>
          <cell r="X37">
            <v>391.02514011080206</v>
          </cell>
          <cell r="Y37">
            <v>399.78697330012341</v>
          </cell>
          <cell r="Z37">
            <v>408.79640026155965</v>
          </cell>
          <cell r="AA37">
            <v>418.06120741264795</v>
          </cell>
          <cell r="AB37">
            <v>427.58944441690699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7">
          <cell r="M7" t="str">
            <v>LAC</v>
          </cell>
          <cell r="N7">
            <v>1062.1580331999901</v>
          </cell>
          <cell r="O7">
            <v>1066.28860098679</v>
          </cell>
          <cell r="P7">
            <v>1070.46887931063</v>
          </cell>
          <cell r="Q7">
            <v>1074.6999178165199</v>
          </cell>
          <cell r="R7">
            <v>1078.9827968055399</v>
          </cell>
          <cell r="S7">
            <v>1083.3186281891701</v>
          </cell>
          <cell r="T7">
            <v>1087.7085564742599</v>
          </cell>
          <cell r="U7">
            <v>1092.1537597798399</v>
          </cell>
          <cell r="V7">
            <v>1096.6554508865599</v>
          </cell>
          <cell r="W7">
            <v>1101.2148783201701</v>
          </cell>
          <cell r="X7">
            <v>1105.83332746976</v>
          </cell>
          <cell r="Y7">
            <v>1110.51212174227</v>
          </cell>
          <cell r="Z7">
            <v>1115.2526237541599</v>
          </cell>
          <cell r="AA7">
            <v>1120.05623656168</v>
          </cell>
          <cell r="AB7">
            <v>1124.9244049309</v>
          </cell>
          <cell r="AC7">
            <v>1129.8586166487501</v>
          </cell>
          <cell r="AD7">
            <v>1134.86040387663</v>
          </cell>
          <cell r="AE7">
            <v>1139.9313445477201</v>
          </cell>
          <cell r="AF7">
            <v>1145.07306380962</v>
          </cell>
          <cell r="AG7">
            <v>1150.2872355137299</v>
          </cell>
        </row>
        <row r="8">
          <cell r="M8" t="str">
            <v>CWANA</v>
          </cell>
          <cell r="N8">
            <v>267.73907960000003</v>
          </cell>
          <cell r="O8">
            <v>273.34463420968098</v>
          </cell>
          <cell r="P8">
            <v>279.09723013930602</v>
          </cell>
          <cell r="Q8">
            <v>285.00085062601102</v>
          </cell>
          <cell r="R8">
            <v>291.05959129262402</v>
          </cell>
          <cell r="S8">
            <v>297.27766337903603</v>
          </cell>
          <cell r="T8">
            <v>303.65939706781103</v>
          </cell>
          <cell r="U8">
            <v>310.20924490681602</v>
          </cell>
          <cell r="V8">
            <v>316.93178533171903</v>
          </cell>
          <cell r="W8">
            <v>323.83172629131099</v>
          </cell>
          <cell r="X8">
            <v>330.91390897866398</v>
          </cell>
          <cell r="Y8">
            <v>338.18331167126303</v>
          </cell>
          <cell r="Z8">
            <v>345.64505368330299</v>
          </cell>
          <cell r="AA8">
            <v>353.30439943348</v>
          </cell>
          <cell r="AB8">
            <v>361.16676263165903</v>
          </cell>
          <cell r="AC8">
            <v>369.23771058794301</v>
          </cell>
          <cell r="AD8">
            <v>377.52296864774598</v>
          </cell>
          <cell r="AE8">
            <v>386.028424756589</v>
          </cell>
          <cell r="AF8">
            <v>394.76013415844199</v>
          </cell>
          <cell r="AG8">
            <v>403.72432423157198</v>
          </cell>
        </row>
        <row r="9">
          <cell r="M9" t="str">
            <v>WCA</v>
          </cell>
          <cell r="N9">
            <v>354.39023769999898</v>
          </cell>
          <cell r="O9">
            <v>363.35389500703599</v>
          </cell>
          <cell r="P9">
            <v>372.57065881653199</v>
          </cell>
          <cell r="Q9">
            <v>382.04803712420397</v>
          </cell>
          <cell r="R9">
            <v>391.79377206257402</v>
          </cell>
          <cell r="S9">
            <v>401.81584761893498</v>
          </cell>
          <cell r="T9">
            <v>412.12249762273399</v>
          </cell>
          <cell r="U9">
            <v>422.72221401228501</v>
          </cell>
          <cell r="V9">
            <v>433.62375539113401</v>
          </cell>
          <cell r="W9">
            <v>444.83615588478801</v>
          </cell>
          <cell r="X9">
            <v>456.36873430891598</v>
          </cell>
          <cell r="Y9">
            <v>468.23110366059802</v>
          </cell>
          <cell r="Z9">
            <v>480.43318094461603</v>
          </cell>
          <cell r="AA9">
            <v>492.98519734726</v>
          </cell>
          <cell r="AB9">
            <v>505.89770877060801</v>
          </cell>
          <cell r="AC9">
            <v>519.18160674074397</v>
          </cell>
          <cell r="AD9">
            <v>532.84812970390499</v>
          </cell>
          <cell r="AE9">
            <v>546.90887472508905</v>
          </cell>
          <cell r="AF9">
            <v>561.37580960423804</v>
          </cell>
          <cell r="AG9">
            <v>576.26128542568199</v>
          </cell>
        </row>
        <row r="10">
          <cell r="M10" t="str">
            <v>ESA</v>
          </cell>
          <cell r="N10">
            <v>505.23433779999903</v>
          </cell>
          <cell r="O10">
            <v>525.74193172002697</v>
          </cell>
          <cell r="P10">
            <v>547.25019877286104</v>
          </cell>
          <cell r="Q10">
            <v>569.81421939826498</v>
          </cell>
          <cell r="R10">
            <v>593.49231856741903</v>
          </cell>
          <cell r="S10">
            <v>618.34626353935198</v>
          </cell>
          <cell r="T10">
            <v>644.441473877102</v>
          </cell>
          <cell r="U10">
            <v>671.847244490614</v>
          </cell>
          <cell r="V10">
            <v>700.63698252167205</v>
          </cell>
          <cell r="W10">
            <v>730.88845893742098</v>
          </cell>
          <cell r="X10">
            <v>762.684075753667</v>
          </cell>
          <cell r="Y10">
            <v>796.11114986711004</v>
          </cell>
          <cell r="Z10">
            <v>831.262214537354</v>
          </cell>
          <cell r="AA10">
            <v>868.23533962514296</v>
          </cell>
          <cell r="AB10">
            <v>907.13447176298496</v>
          </cell>
          <cell r="AC10">
            <v>948.06979570850694</v>
          </cell>
          <cell r="AD10">
            <v>991.158118209696</v>
          </cell>
          <cell r="AE10">
            <v>1036.52327579506</v>
          </cell>
          <cell r="AF10">
            <v>1084.29656799091</v>
          </cell>
          <cell r="AG10">
            <v>1134.61721756263</v>
          </cell>
        </row>
        <row r="11">
          <cell r="M11" t="str">
            <v>SA</v>
          </cell>
          <cell r="N11">
            <v>1147.9064971</v>
          </cell>
          <cell r="O11">
            <v>1173.4687375036799</v>
          </cell>
          <cell r="P11">
            <v>1199.89171130677</v>
          </cell>
          <cell r="Q11">
            <v>1227.21236255293</v>
          </cell>
          <cell r="R11">
            <v>1255.4694063147499</v>
          </cell>
          <cell r="S11">
            <v>1284.70341765221</v>
          </cell>
          <cell r="T11">
            <v>1314.9569251303001</v>
          </cell>
          <cell r="U11">
            <v>1346.2745091316999</v>
          </cell>
          <cell r="V11">
            <v>1378.7029052123901</v>
          </cell>
          <cell r="W11">
            <v>1412.2911127612499</v>
          </cell>
          <cell r="X11">
            <v>1447.0905092381299</v>
          </cell>
          <cell r="Y11">
            <v>1483.1549702790701</v>
          </cell>
          <cell r="Z11">
            <v>1520.54099597247</v>
          </cell>
          <cell r="AA11">
            <v>1559.3078436257399</v>
          </cell>
          <cell r="AB11">
            <v>1599.5176673585499</v>
          </cell>
          <cell r="AC11">
            <v>1641.23566487639</v>
          </cell>
          <cell r="AD11">
            <v>1684.5302317963201</v>
          </cell>
          <cell r="AE11">
            <v>1729.47312391631</v>
          </cell>
          <cell r="AF11">
            <v>1776.13962783989</v>
          </cell>
          <cell r="AG11">
            <v>1824.60874038919</v>
          </cell>
        </row>
        <row r="12">
          <cell r="M12" t="str">
            <v>SEA</v>
          </cell>
          <cell r="N12">
            <v>1143.6131478</v>
          </cell>
          <cell r="O12">
            <v>1149.66145638643</v>
          </cell>
          <cell r="P12">
            <v>1155.8696368969599</v>
          </cell>
          <cell r="Q12">
            <v>1162.2410301637799</v>
          </cell>
          <cell r="R12">
            <v>1168.7790565616399</v>
          </cell>
          <cell r="S12">
            <v>1175.4872179783199</v>
          </cell>
          <cell r="T12">
            <v>1182.36909983552</v>
          </cell>
          <cell r="U12">
            <v>1189.42837316143</v>
          </cell>
          <cell r="V12">
            <v>1196.66879671641</v>
          </cell>
          <cell r="W12">
            <v>1204.0942191730101</v>
          </cell>
          <cell r="X12">
            <v>1211.7085813518399</v>
          </cell>
          <cell r="Y12">
            <v>1219.51591851483</v>
          </cell>
          <cell r="Z12">
            <v>1227.52036271717</v>
          </cell>
          <cell r="AA12">
            <v>1235.7261452196201</v>
          </cell>
          <cell r="AB12">
            <v>1244.13759896277</v>
          </cell>
          <cell r="AC12">
            <v>1252.7591611047401</v>
          </cell>
          <cell r="AD12">
            <v>1261.5953756240999</v>
          </cell>
          <cell r="AE12">
            <v>1270.6508959896801</v>
          </cell>
          <cell r="AF12">
            <v>1279.9304878989201</v>
          </cell>
          <cell r="AG12">
            <v>1289.4390320867899</v>
          </cell>
        </row>
      </sheetData>
      <sheetData sheetId="22" refreshError="1"/>
      <sheetData sheetId="23" refreshError="1"/>
    </sheetDataSet>
  </externalBook>
</externalLink>
</file>

<file path=xl/persons/person.xml><?xml version="1.0" encoding="utf-8"?>
<personList xmlns="http://schemas.microsoft.com/office/spreadsheetml/2018/threadedcomments" xmlns:x="http://schemas.openxmlformats.org/spreadsheetml/2006/main">
  <person displayName="Saito, Kazuki (IRRI)" id="{A1BC3FA7-BA17-4197-A91D-4FB215EDE82A}" userId="S::k.saito@cgiar.org::aae0ba2a-c9b2-4f46-84c5-483433ee5a41" providerId="AD"/>
  <person displayName="CHAMBERLIN, Jordan (CIMMYT-Kenya)" id="{C67CF68B-20E5-40EF-990A-B72AC2610383}" userId="S::J.CHAMBERLIN@CIMMYT.ORG::f4f9a125-f573-4037-b1ad-bfe611df78b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5" dT="2025-05-21T07:26:19.53" personId="{A1BC3FA7-BA17-4197-A91D-4FB215EDE82A}" id="{CF24C155-A7F0-4E23-87FD-A94815BA7C3A}">
    <text>Most farmers—particularly smallholders—rely on uniform fertilizer recommendations that fail to consider local soil nutrient constraints, resulting in low returns on input investment and perpetuating rural poverty.</text>
  </threadedComment>
  <threadedComment ref="L15" dT="2025-05-21T07:26:36.65" personId="{A1BC3FA7-BA17-4197-A91D-4FB215EDE82A}" id="{80CEC14F-2C79-413D-9C56-C1F39CF54EF3}">
    <text>Spatially-explicit decision support models deliver targeted, cost-effective nutrient management advice that boosts farm-level productivity and profitability, contributing to income growth and poverty reduction in rural communities.</text>
  </threadedComment>
  <threadedComment ref="M15" dT="2025-05-21T07:26:50.30" personId="{A1BC3FA7-BA17-4197-A91D-4FB215EDE82A}" id="{5961C4DA-07DC-4B1D-8536-FBB4BD274B9B}">
    <text>Assumes differences in geospatial data infrastructure, digital accessibility, input market development, and smallholder resource endowments, all of which influence model relevance and impact.</text>
  </threadedComment>
  <threadedComment ref="N15" dT="2025-05-21T07:27:11.69" personId="{A1BC3FA7-BA17-4197-A91D-4FB215EDE82A}" id="{E1EB5195-493F-4DED-9F5B-351C3208467C}">
    <text>Reliable spatial soil fertility maps, site-calibrated algorithms, and integration with advisory platforms that translate scientific outputs into actionable, localized recommendations for farmers.</text>
  </threadedComment>
  <threadedComment ref="O15" dT="2025-05-21T07:27:26.14" personId="{A1BC3FA7-BA17-4197-A91D-4FB215EDE82A}" id="{955976A4-190B-4020-8FB1-9CADBB222544}">
    <text>Enabling input and output markets, inclusive advisory services, supportive policies, and financial mechanisms that lower adoption barriers and ensure equitable access for resource-poor farmers.</text>
  </threadedComment>
  <threadedComment ref="K16" dT="2025-05-21T07:29:26.52" personId="{A1BC3FA7-BA17-4197-A91D-4FB215EDE82A}" id="{3CF1C583-C581-4897-B25E-D5938D44A667}">
    <text>Agronomic recommendations are often too generalized and disconnected from smallholder realities, leading to inefficient input use, low yields, and limited income gains for poor farming households.</text>
  </threadedComment>
  <threadedComment ref="L16" dT="2025-05-21T07:29:39.99" personId="{A1BC3FA7-BA17-4197-A91D-4FB215EDE82A}" id="{49828739-7354-4E5A-A93E-AF177672F453}">
    <text>Data-driven, site-specific agronomic recommendations are widely implemented to optimize input use, raise farm productivity, and improve profitability, directly supporting rural poverty alleviation.</text>
  </threadedComment>
  <threadedComment ref="M16" dT="2025-05-21T07:29:51.85" personId="{A1BC3FA7-BA17-4197-A91D-4FB215EDE82A}" id="{AF27ECCC-9BA7-44F1-A7AE-EFB649948645}">
    <text>Assumes variability in smallholder access to advisory services, digital tools, affordable inputs, and supportive infrastructure across agroecological and socio-economic contexts.</text>
  </threadedComment>
  <threadedComment ref="N16" dT="2025-05-21T07:30:05.96" personId="{A1BC3FA7-BA17-4197-A91D-4FB215EDE82A}" id="{A65EF2FA-B4C5-4E57-87F2-5203F96F779D}">
    <text>Functioning data pipelines from farm to model, localized calibration of agronomic algorithms, and integration into user-friendly platforms accessible by farmers and advisors.</text>
  </threadedComment>
  <threadedComment ref="O16" dT="2025-05-21T07:30:21.33" personId="{A1BC3FA7-BA17-4197-A91D-4FB215EDE82A}" id="{0A60A58B-44DC-443B-B0F4-07553336A276}">
    <text>Pro-poor delivery models, effective extension networks, policy support for equitable input access, and financial services that enable smallholders to act on recommendations and realize economic gains.</text>
  </threadedComment>
  <threadedComment ref="K17" dT="2025-05-21T07:30:58.04" personId="{A1BC3FA7-BA17-4197-A91D-4FB215EDE82A}" id="{4E736B48-7FB8-43C8-97C9-51BA2F299DD4}">
    <text>Training materials are often generic, top-down, and poorly adapted to the needs of resource-poor farmers, limiting their ability to adopt more profitable, site-specific nutrient management practices.</text>
  </threadedComment>
  <threadedComment ref="L17" dT="2025-05-21T07:31:11.61" personId="{A1BC3FA7-BA17-4197-A91D-4FB215EDE82A}" id="{F64F309D-C4D3-4233-84BE-D9435D9A4F8C}">
    <text>Locally relevant, inclusive, and easy-to-use training materials empower smallholders and extension agents with the knowledge and skills to improve nutrient use efficiency, increase farm incomes, and break the cycle of poverty.</text>
  </threadedComment>
  <threadedComment ref="M17" dT="2025-05-21T07:31:23.82" personId="{A1BC3FA7-BA17-4197-A91D-4FB215EDE82A}" id="{3508C180-8030-4E53-9898-65A0E84CBF5F}">
    <text>Assumes disparities in literacy levels, language needs, extension coverage, and digital access among low-income rural populations across regions.</text>
  </threadedComment>
  <threadedComment ref="N17" dT="2025-05-21T07:31:34.41" personId="{A1BC3FA7-BA17-4197-A91D-4FB215EDE82A}" id="{24FC9FD7-24D9-485F-A357-44BC1BFD7B45}">
    <text>Development of context-specific, visually rich, and modular training materials in multiple languages and formats, co-designed with farmers and tailored to local agronomic conditions.</text>
  </threadedComment>
  <threadedComment ref="O17" dT="2025-05-21T07:31:49.58" personId="{A1BC3FA7-BA17-4197-A91D-4FB215EDE82A}" id="{F4F34A8D-A111-4210-B66F-D40E408738F1}">
    <text>Partnerships with grassroots organizations, investment in trainer capacity building, inclusive delivery channels (e.g., radio, local dialect videos), and sustained outreach to ensure equitable access for poor and marginalized farmers.</text>
  </threadedComment>
  <threadedComment ref="K18" dT="2025-05-21T07:32:26.69" personId="{A1BC3FA7-BA17-4197-A91D-4FB215EDE82A}" id="{128C5C88-0409-43D6-A7BC-3526796CC39B}">
    <text>There is limited use of localized, data-driven evidence in policy decisions, resulting in input subsidies and agricultural programs that often fail to target the needs of resource-poor farmers effectively.</text>
  </threadedComment>
  <threadedComment ref="L18" dT="2025-05-21T07:32:39.40" personId="{A1BC3FA7-BA17-4197-A91D-4FB215EDE82A}" id="{6FA597B3-590C-4534-955E-3E4C7337872B}">
    <text>Policies are grounded in robust evidence demonstrating how precision nutrient management improves smallholder profitability and equity, leading to better-targeted investments that drive rural poverty reduction.</text>
  </threadedComment>
  <threadedComment ref="M18" dT="2025-05-21T07:32:49.49" personId="{A1BC3FA7-BA17-4197-A91D-4FB215EDE82A}" id="{A3B03D7B-2474-4184-B04F-A7890B279F57}">
    <text>Assumes variation in policy engagement capacity, availability of impact data disaggregated by wealth groups, and government priorities regarding pro-poor agricultural development.</text>
  </threadedComment>
  <threadedComment ref="N18" dT="2025-05-21T07:33:10.60" personId="{A1BC3FA7-BA17-4197-A91D-4FB215EDE82A}" id="{34D6382B-C494-4CF4-B4F8-8B00241BE35B}">
    <text>Generation of disaggregated evidence on yield, income, and input-use efficiency from diverse farming systems, supported by strong data systems and impact modeling.</text>
  </threadedComment>
  <threadedComment ref="O18" dT="2025-05-21T07:33:23.98" personId="{A1BC3FA7-BA17-4197-A91D-4FB215EDE82A}" id="{ABEC5B78-53F9-4682-B05C-5423234CBFD5}">
    <text>Close collaboration with policy actors, compelling communication of evidence through policy briefs and economic analyses, and alignment of recommendations with poverty-focused national development goals and subsidy reforms.</text>
  </threadedComment>
</ThreadedComments>
</file>

<file path=xl/threadedComments/threadedComment2.xml><?xml version="1.0" encoding="utf-8"?>
<ThreadedComments xmlns="http://schemas.microsoft.com/office/spreadsheetml/2018/threadedcomments" xmlns:x="http://schemas.openxmlformats.org/spreadsheetml/2006/main">
  <threadedComment ref="K15" dT="2025-05-21T07:41:08.74" personId="{A1BC3FA7-BA17-4197-A91D-4FB215EDE82A}" id="{668DE4D0-BEF0-49F5-81AA-984DB1B5F4E0}">
    <text>Current fertilizer recommendations are often uniform and overlook spatial variability in crop management and climate risks, leading to inefficient nutrient use, increased emissions, and reduced resilience to climate shocks.</text>
  </threadedComment>
  <threadedComment ref="L15" dT="2025-05-21T07:38:59.20" personId="{A1BC3FA7-BA17-4197-A91D-4FB215EDE82A}" id="{AEDEE7F5-D077-49F5-9465-B53B357B33B8}">
    <text>Please correct. N and CO2??</text>
  </threadedComment>
  <threadedComment ref="L15" dT="2025-05-21T07:41:24.21" personId="{A1BC3FA7-BA17-4197-A91D-4FB215EDE82A}" id="{03A887A5-D620-48E8-B2FE-71110784ABFB}" parentId="{AEDEE7F5-D077-49F5-9465-B53B357B33B8}">
    <text>Current fertilizer recommendations are often uniform and overlook spatial variability in soil health and climate risks, leading to inefficient nutrient use, increased emissions, and reduced resilience to climate shocks.</text>
  </threadedComment>
  <threadedComment ref="M15" dT="2025-05-21T07:41:37.78" personId="{A1BC3FA7-BA17-4197-A91D-4FB215EDE82A}" id="{3A958432-DD33-42C6-BC1E-7C27E386369B}">
    <text>Assumes regional differences in climate vulnerability, soil carbon stocks, data infrastructure, and institutional readiness to support adaptive nutrient strategies.</text>
  </threadedComment>
  <threadedComment ref="N15" dT="2025-05-21T07:41:59.69" personId="{A1BC3FA7-BA17-4197-A91D-4FB215EDE82A}" id="{9059E833-7E06-4933-9606-37F13B5D7665}">
    <text>Integration of spatial soil data, emission factors, and climate projections into decision models, along with real-time analytics to support adaptive, low-emission nutrient management.</text>
  </threadedComment>
  <threadedComment ref="O15" dT="2025-05-21T07:42:24.35" personId="{A1BC3FA7-BA17-4197-A91D-4FB215EDE82A}" id="{1D0024B8-6981-4A90-AA89-6906BC08B421}">
    <text>Cross-program/accelerator collaboration, supportive policy frameworks for climate-smart inputs, and incentives that encourage adoption of low-emission, resilience-enhancing nutrient practices by farmers.</text>
  </threadedComment>
  <threadedComment ref="K16" dT="2025-05-21T07:43:11.16" personId="{A1BC3FA7-BA17-4197-A91D-4FB215EDE82A}" id="{0742196A-1E75-4B57-AB69-2AFA563FBE65}">
    <text>Agronomic recommendations are typically generalized and do not account for spatial and temporal variability in soils and climate, limiting their ability to support resilient and low-emission farming practices.</text>
  </threadedComment>
  <threadedComment ref="L16" dT="2025-05-21T07:43:33.05" personId="{A1BC3FA7-BA17-4197-A91D-4FB215EDE82A}" id="{F48104C8-345A-4879-A9FC-87A17D4F43EB}">
    <text>Data-driven, site-specific agronomic recommendations are widely implemented to optimize input use, enhance adaptive capacity, and reduce the environmental footprint of nutrient management under changing climate conditions.</text>
  </threadedComment>
  <threadedComment ref="M16" dT="2025-05-21T07:43:44.46" personId="{A1BC3FA7-BA17-4197-A91D-4FB215EDE82A}" id="{70CDD4BB-17A2-4190-9955-BFAF09DA29F8}">
    <text>Assumes variation in climate exposure, digital infrastructure, soil degradation levels, and institutional mechanisms for integrating agronomy and climate services across regions.</text>
  </threadedComment>
  <threadedComment ref="N16" dT="2025-05-21T07:43:59.58" personId="{A1BC3FA7-BA17-4197-A91D-4FB215EDE82A}" id="{5DEE99FF-2F9F-4D7D-A98D-963F59E5A347}">
    <text>Integration of weather forecasts, soil health indicators, and nutrient response data into dynamic advisory systems capable of guiding climate-smart nutrient management.</text>
  </threadedComment>
  <threadedComment ref="O16" dT="2025-05-21T07:46:22.82" personId="{A1BC3FA7-BA17-4197-A91D-4FB215EDE82A}" id="{5C32D46E-E97F-47C7-8770-2D6C1B027F51}">
    <text>Coordination with other programs/accelerators (e.g. climate action, DTA), investment in farmer-facing digital platforms, and policy incentives for adopting practices that jointly support productivity and climate goals.</text>
  </threadedComment>
</ThreadedComments>
</file>

<file path=xl/threadedComments/threadedComment3.xml><?xml version="1.0" encoding="utf-8"?>
<ThreadedComments xmlns="http://schemas.microsoft.com/office/spreadsheetml/2018/threadedcomments" xmlns:x="http://schemas.openxmlformats.org/spreadsheetml/2006/main">
  <threadedComment ref="F38" dT="2025-03-20T13:30:13.91" personId="{C67CF68B-20E5-40EF-990A-B72AC2610383}" id="{E01DBFE4-C931-426F-9B35-547B91B273EC}">
    <text>Weights computed as the share of total</text>
  </threadedComment>
</ThreadedComments>
</file>

<file path=xl/threadedComments/threadedComment4.xml><?xml version="1.0" encoding="utf-8"?>
<ThreadedComments xmlns="http://schemas.microsoft.com/office/spreadsheetml/2018/threadedcomments" xmlns:x="http://schemas.openxmlformats.org/spreadsheetml/2006/main">
  <threadedComment ref="C18" dT="2025-03-20T13:07:01.34" personId="{C67CF68B-20E5-40EF-990A-B72AC2610383}" id="{E7EB608B-D90F-4875-B6B0-92AE1F251684}">
    <text>Here I’ve rescaled to 0-1 range, based on my understand of the original index range, and inverted indices where low scores were better, so that now high scores are always better</text>
  </threadedComment>
</ThreadedComments>
</file>

<file path=xl/worksheets/_rels/sheet2.xml.rels><?xml version="1.0" encoding="UTF-8" standalone="yes"?>
<Relationships xmlns="http://schemas.openxmlformats.org/package/2006/relationships"><Relationship Id="rId2" Type="http://schemas.openxmlformats.org/officeDocument/2006/relationships/hyperlink" Target="/var/t_rosenstock_cgiar_org/Documents/:x:/s/CGIARTransitionandInception-Generaldocsandinfo/ETnpiehVTehIjdyZIkBurDwBODBycMqYo7hEEWMxAXmtEQ?e=go9kns" TargetMode="External"/><Relationship Id="rId1" Type="http://schemas.openxmlformats.org/officeDocument/2006/relationships/hyperlink" Target="/var/t_rosenstock_cgiar_org/Documents/:x:/s/CGIARTransitionandInception-Generaldocsandinfo/EXRY4n8IhcJGhPc3loGDU_QBGSYErfropFSc_8ZBwxqOfg?e=UsfKlF"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var/t_rosenstock_cgiar_org/:x:/s/CGIARTransitionandInception-Generaldocsandinfo/ES0wPZ9b6VFBpOBI6M1voBwBTuh_RNQ1Iu8iQhUceODEjA?e=SmqxFU" TargetMode="External"/><Relationship Id="rId1" Type="http://schemas.openxmlformats.org/officeDocument/2006/relationships/hyperlink" Target="/var/t_rosenstock_cgiar_org/:x:/r/sites/CGIARTransitionandInception-Generaldocsandinfo/Shared%20Documents/Inception%20Phase%20templates/Prioritisation%20template%20and%20resources/Projected%20Benefits%20Data%20(Nov%202024)%20-%20With%20Analysis.xlsx?d=w7936eb4a6e9c499ca7a8759f3077695a&amp;csf=1&amp;web=1&amp;e=OJdygz"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var/t_rosenstock_cgiar_org/:x:/s/CGIARTransitionandInception-Generaldocsandinfo/EUrrNnmcbpxJp6h1nzB3aVoB2rjCi2V55kl0yLoR5PVrqA?e=1fWTnL" TargetMode="External"/><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11EA4-2A08-BF41-85C3-81AD20C90732}">
  <dimension ref="A1:A4"/>
  <sheetViews>
    <sheetView tabSelected="1" workbookViewId="0"/>
  </sheetViews>
  <sheetFormatPr defaultColWidth="11.42578125" defaultRowHeight="15"/>
  <sheetData>
    <row r="1" spans="1:1" ht="18.95">
      <c r="A1" s="72" t="s">
        <v>0</v>
      </c>
    </row>
    <row r="2" spans="1:1">
      <c r="A2" t="s">
        <v>1</v>
      </c>
    </row>
    <row r="3" spans="1:1">
      <c r="A3" t="s">
        <v>2</v>
      </c>
    </row>
    <row r="4" spans="1:1">
      <c r="A4"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47201-318D-46DD-96B4-A3ECF46B5B59}">
  <dimension ref="A1:F19"/>
  <sheetViews>
    <sheetView workbookViewId="0">
      <selection activeCell="A11" sqref="A11"/>
    </sheetView>
  </sheetViews>
  <sheetFormatPr defaultColWidth="8.85546875" defaultRowHeight="15"/>
  <cols>
    <col min="1" max="1" width="30.42578125" customWidth="1"/>
    <col min="2" max="2" width="27.42578125" customWidth="1"/>
    <col min="3" max="3" width="32.85546875" customWidth="1"/>
    <col min="4" max="6" width="27.42578125" customWidth="1"/>
  </cols>
  <sheetData>
    <row r="1" spans="1:6">
      <c r="A1" s="33" t="s">
        <v>4</v>
      </c>
      <c r="B1" s="32"/>
      <c r="C1" s="32"/>
      <c r="D1" s="32"/>
      <c r="E1" s="32"/>
      <c r="F1" s="32"/>
    </row>
    <row r="2" spans="1:6">
      <c r="A2" s="34" t="s">
        <v>5</v>
      </c>
      <c r="B2" t="s">
        <v>6</v>
      </c>
    </row>
    <row r="3" spans="1:6" ht="15.95" thickBot="1">
      <c r="A3" s="34" t="s">
        <v>7</v>
      </c>
      <c r="B3" t="s">
        <v>8</v>
      </c>
    </row>
    <row r="4" spans="1:6" ht="15.95" thickBot="1">
      <c r="A4" s="6" t="s">
        <v>9</v>
      </c>
      <c r="B4" s="7" t="s">
        <v>10</v>
      </c>
      <c r="C4" s="7" t="s">
        <v>11</v>
      </c>
      <c r="D4" s="7" t="s">
        <v>12</v>
      </c>
      <c r="E4" s="7" t="s">
        <v>13</v>
      </c>
      <c r="F4" s="8" t="s">
        <v>14</v>
      </c>
    </row>
    <row r="5" spans="1:6" ht="15.95">
      <c r="A5" t="s">
        <v>15</v>
      </c>
      <c r="B5" t="s">
        <v>16</v>
      </c>
      <c r="C5" t="s">
        <v>17</v>
      </c>
      <c r="D5" t="s">
        <v>18</v>
      </c>
      <c r="E5" s="71" t="s">
        <v>19</v>
      </c>
      <c r="F5" s="71" t="s">
        <v>20</v>
      </c>
    </row>
    <row r="6" spans="1:6" ht="15.95">
      <c r="A6" t="s">
        <v>21</v>
      </c>
      <c r="B6" t="s">
        <v>22</v>
      </c>
      <c r="C6" t="s">
        <v>23</v>
      </c>
      <c r="D6" t="s">
        <v>24</v>
      </c>
      <c r="E6" s="71" t="s">
        <v>25</v>
      </c>
      <c r="F6" s="71" t="s">
        <v>26</v>
      </c>
    </row>
    <row r="7" spans="1:6">
      <c r="A7" t="s">
        <v>27</v>
      </c>
      <c r="B7" t="s">
        <v>28</v>
      </c>
      <c r="C7" t="s">
        <v>29</v>
      </c>
      <c r="D7" t="s">
        <v>30</v>
      </c>
      <c r="E7" t="s">
        <v>31</v>
      </c>
      <c r="F7" t="s">
        <v>32</v>
      </c>
    </row>
    <row r="8" spans="1:6" ht="15.95">
      <c r="A8" t="s">
        <v>33</v>
      </c>
      <c r="B8" t="s">
        <v>34</v>
      </c>
      <c r="C8" t="s">
        <v>35</v>
      </c>
      <c r="D8" t="s">
        <v>36</v>
      </c>
      <c r="E8" s="71" t="s">
        <v>37</v>
      </c>
      <c r="F8" t="s">
        <v>38</v>
      </c>
    </row>
    <row r="9" spans="1:6">
      <c r="B9" t="s">
        <v>39</v>
      </c>
      <c r="C9" t="s">
        <v>40</v>
      </c>
      <c r="D9" t="s">
        <v>41</v>
      </c>
    </row>
    <row r="10" spans="1:6">
      <c r="B10" t="s">
        <v>42</v>
      </c>
      <c r="C10" t="s">
        <v>43</v>
      </c>
      <c r="D10" t="s">
        <v>44</v>
      </c>
    </row>
    <row r="11" spans="1:6">
      <c r="B11" t="s">
        <v>45</v>
      </c>
      <c r="C11" t="s">
        <v>46</v>
      </c>
      <c r="D11" t="s">
        <v>47</v>
      </c>
    </row>
    <row r="12" spans="1:6">
      <c r="B12" t="s">
        <v>48</v>
      </c>
      <c r="C12" t="s">
        <v>49</v>
      </c>
      <c r="D12" t="s">
        <v>50</v>
      </c>
    </row>
    <row r="13" spans="1:6">
      <c r="B13" t="s">
        <v>51</v>
      </c>
      <c r="C13" t="s">
        <v>52</v>
      </c>
      <c r="D13" t="s">
        <v>53</v>
      </c>
    </row>
    <row r="14" spans="1:6">
      <c r="B14" t="s">
        <v>54</v>
      </c>
      <c r="C14" t="s">
        <v>55</v>
      </c>
      <c r="D14" t="s">
        <v>56</v>
      </c>
    </row>
    <row r="15" spans="1:6">
      <c r="B15" t="s">
        <v>57</v>
      </c>
      <c r="C15" t="s">
        <v>58</v>
      </c>
      <c r="D15" t="s">
        <v>59</v>
      </c>
    </row>
    <row r="16" spans="1:6">
      <c r="B16" t="s">
        <v>60</v>
      </c>
      <c r="C16" t="s">
        <v>61</v>
      </c>
      <c r="D16" t="s">
        <v>62</v>
      </c>
    </row>
    <row r="17" spans="2:4">
      <c r="B17" t="s">
        <v>63</v>
      </c>
      <c r="C17" t="s">
        <v>64</v>
      </c>
      <c r="D17" t="s">
        <v>65</v>
      </c>
    </row>
    <row r="18" spans="2:4">
      <c r="B18" t="s">
        <v>66</v>
      </c>
      <c r="C18" t="s">
        <v>67</v>
      </c>
      <c r="D18" t="s">
        <v>68</v>
      </c>
    </row>
    <row r="19" spans="2:4">
      <c r="B19" t="s">
        <v>69</v>
      </c>
      <c r="D19" t="s">
        <v>70</v>
      </c>
    </row>
  </sheetData>
  <hyperlinks>
    <hyperlink ref="A2" r:id="rId1" display="../../../../../:x:/s/CGIARTransitionandInception-Generaldocsandinfo/EXRY4n8IhcJGhPc3loGDU_QBGSYErfropFSc_8ZBwxqOfg?e=UsfKlF" xr:uid="{6E0E5D7A-F6BE-4233-9F96-607E3556250F}"/>
    <hyperlink ref="A3" r:id="rId2" display="../../../../../:x:/s/CGIARTransitionandInception-Generaldocsandinfo/ETnpiehVTehIjdyZIkBurDwBODBycMqYo7hEEWMxAXmtEQ?e=go9kns" xr:uid="{410B08CA-0672-4646-9CF6-5662F4F9E08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9A1ED-9423-4927-9BCA-89EFFFA584F4}">
  <dimension ref="A2:D57"/>
  <sheetViews>
    <sheetView topLeftCell="D8" workbookViewId="0">
      <selection activeCell="D8" sqref="D8"/>
    </sheetView>
  </sheetViews>
  <sheetFormatPr defaultColWidth="8.85546875" defaultRowHeight="15"/>
  <cols>
    <col min="1" max="1" width="10" bestFit="1" customWidth="1"/>
    <col min="4" max="4" width="166.42578125" customWidth="1"/>
  </cols>
  <sheetData>
    <row r="2" spans="1:4">
      <c r="A2" s="9" t="s">
        <v>71</v>
      </c>
      <c r="B2" s="2">
        <v>5</v>
      </c>
      <c r="C2" s="14"/>
    </row>
    <row r="3" spans="1:4">
      <c r="A3" s="10" t="s">
        <v>72</v>
      </c>
      <c r="B3" s="3">
        <v>4</v>
      </c>
      <c r="C3" s="14"/>
    </row>
    <row r="4" spans="1:4">
      <c r="A4" s="11" t="s">
        <v>73</v>
      </c>
      <c r="B4" s="3">
        <v>3</v>
      </c>
      <c r="C4" s="14"/>
    </row>
    <row r="5" spans="1:4">
      <c r="A5" s="12" t="s">
        <v>74</v>
      </c>
      <c r="B5" s="3">
        <v>2</v>
      </c>
      <c r="C5" s="14"/>
    </row>
    <row r="6" spans="1:4" ht="15.95" thickBot="1">
      <c r="A6" s="13" t="s">
        <v>75</v>
      </c>
      <c r="B6" s="4">
        <v>1</v>
      </c>
      <c r="C6" s="14"/>
    </row>
    <row r="7" spans="1:4">
      <c r="C7" s="16" t="s">
        <v>76</v>
      </c>
      <c r="D7" s="17" t="s">
        <v>77</v>
      </c>
    </row>
    <row r="8" spans="1:4">
      <c r="A8" t="s">
        <v>78</v>
      </c>
      <c r="B8" s="1">
        <f>COUNTA(D8:D58)</f>
        <v>34</v>
      </c>
      <c r="C8" s="18">
        <v>1</v>
      </c>
      <c r="D8" t="s">
        <v>79</v>
      </c>
    </row>
    <row r="9" spans="1:4">
      <c r="A9" t="s">
        <v>80</v>
      </c>
      <c r="B9">
        <f>_xlfn.FLOOR.MATH(B8/5)</f>
        <v>6</v>
      </c>
      <c r="C9" s="15">
        <v>2</v>
      </c>
      <c r="D9" t="s">
        <v>81</v>
      </c>
    </row>
    <row r="10" spans="1:4">
      <c r="A10" t="s">
        <v>82</v>
      </c>
      <c r="B10">
        <f>MOD(B8,5)</f>
        <v>4</v>
      </c>
      <c r="C10" s="15">
        <v>3</v>
      </c>
      <c r="D10" t="s">
        <v>83</v>
      </c>
    </row>
    <row r="11" spans="1:4">
      <c r="A11" t="s">
        <v>84</v>
      </c>
      <c r="B11" s="1">
        <f ca="1">(B9*SUM($B$2:$B$6))+IF(B8=0,0,SUM(B2:INDEX(B:B,$B$10+1)))</f>
        <v>104</v>
      </c>
      <c r="C11" s="15">
        <v>4</v>
      </c>
      <c r="D11" t="s">
        <v>85</v>
      </c>
    </row>
    <row r="12" spans="1:4">
      <c r="C12" s="15">
        <v>5</v>
      </c>
      <c r="D12" t="s">
        <v>86</v>
      </c>
    </row>
    <row r="13" spans="1:4">
      <c r="C13" s="15">
        <v>6</v>
      </c>
      <c r="D13" t="s">
        <v>87</v>
      </c>
    </row>
    <row r="14" spans="1:4">
      <c r="C14" s="15">
        <v>7</v>
      </c>
      <c r="D14" t="s">
        <v>88</v>
      </c>
    </row>
    <row r="15" spans="1:4">
      <c r="C15" s="15">
        <v>8</v>
      </c>
      <c r="D15" t="s">
        <v>89</v>
      </c>
    </row>
    <row r="16" spans="1:4">
      <c r="C16" s="15">
        <v>9</v>
      </c>
      <c r="D16" t="s">
        <v>90</v>
      </c>
    </row>
    <row r="17" spans="3:4">
      <c r="C17" s="15">
        <v>10</v>
      </c>
      <c r="D17" t="s">
        <v>91</v>
      </c>
    </row>
    <row r="18" spans="3:4">
      <c r="C18" s="15">
        <v>11</v>
      </c>
      <c r="D18" t="s">
        <v>92</v>
      </c>
    </row>
    <row r="19" spans="3:4">
      <c r="C19" s="15">
        <v>12</v>
      </c>
      <c r="D19" t="s">
        <v>93</v>
      </c>
    </row>
    <row r="20" spans="3:4">
      <c r="C20" s="15">
        <v>13</v>
      </c>
      <c r="D20" t="s">
        <v>94</v>
      </c>
    </row>
    <row r="21" spans="3:4">
      <c r="C21" s="15">
        <v>14</v>
      </c>
      <c r="D21" t="s">
        <v>95</v>
      </c>
    </row>
    <row r="22" spans="3:4">
      <c r="C22" s="15">
        <v>15</v>
      </c>
      <c r="D22" t="s">
        <v>96</v>
      </c>
    </row>
    <row r="23" spans="3:4">
      <c r="C23" s="15">
        <v>16</v>
      </c>
      <c r="D23" t="s">
        <v>97</v>
      </c>
    </row>
    <row r="24" spans="3:4">
      <c r="C24" s="15">
        <v>17</v>
      </c>
      <c r="D24" t="s">
        <v>98</v>
      </c>
    </row>
    <row r="25" spans="3:4">
      <c r="C25" s="15">
        <v>18</v>
      </c>
      <c r="D25" t="s">
        <v>99</v>
      </c>
    </row>
    <row r="26" spans="3:4">
      <c r="C26" s="15">
        <v>19</v>
      </c>
      <c r="D26" t="s">
        <v>100</v>
      </c>
    </row>
    <row r="27" spans="3:4">
      <c r="C27" s="15">
        <v>20</v>
      </c>
      <c r="D27" t="s">
        <v>101</v>
      </c>
    </row>
    <row r="28" spans="3:4">
      <c r="C28" s="15">
        <v>21</v>
      </c>
      <c r="D28" t="s">
        <v>102</v>
      </c>
    </row>
    <row r="29" spans="3:4">
      <c r="C29" s="15">
        <v>22</v>
      </c>
      <c r="D29" t="s">
        <v>103</v>
      </c>
    </row>
    <row r="30" spans="3:4">
      <c r="C30" s="15">
        <v>23</v>
      </c>
      <c r="D30" t="s">
        <v>104</v>
      </c>
    </row>
    <row r="31" spans="3:4">
      <c r="C31" s="15">
        <v>24</v>
      </c>
      <c r="D31" t="s">
        <v>105</v>
      </c>
    </row>
    <row r="32" spans="3:4">
      <c r="C32" s="15">
        <v>25</v>
      </c>
      <c r="D32" t="s">
        <v>106</v>
      </c>
    </row>
    <row r="33" spans="3:4">
      <c r="C33" s="15">
        <v>26</v>
      </c>
      <c r="D33" t="s">
        <v>107</v>
      </c>
    </row>
    <row r="34" spans="3:4">
      <c r="C34" s="15">
        <v>27</v>
      </c>
      <c r="D34" t="s">
        <v>108</v>
      </c>
    </row>
    <row r="35" spans="3:4">
      <c r="C35" s="15">
        <v>28</v>
      </c>
      <c r="D35" t="s">
        <v>109</v>
      </c>
    </row>
    <row r="36" spans="3:4">
      <c r="C36" s="15">
        <v>29</v>
      </c>
      <c r="D36" t="s">
        <v>110</v>
      </c>
    </row>
    <row r="37" spans="3:4">
      <c r="C37" s="15">
        <v>30</v>
      </c>
      <c r="D37" t="s">
        <v>111</v>
      </c>
    </row>
    <row r="38" spans="3:4">
      <c r="C38" s="15">
        <v>31</v>
      </c>
      <c r="D38" t="s">
        <v>112</v>
      </c>
    </row>
    <row r="39" spans="3:4">
      <c r="C39" s="15">
        <v>32</v>
      </c>
      <c r="D39" t="s">
        <v>113</v>
      </c>
    </row>
    <row r="40" spans="3:4">
      <c r="C40" s="15">
        <v>33</v>
      </c>
      <c r="D40" t="s">
        <v>114</v>
      </c>
    </row>
    <row r="41" spans="3:4">
      <c r="C41" s="15">
        <v>34</v>
      </c>
      <c r="D41" t="s">
        <v>115</v>
      </c>
    </row>
    <row r="42" spans="3:4">
      <c r="C42" s="15">
        <v>35</v>
      </c>
      <c r="D42" s="15"/>
    </row>
    <row r="43" spans="3:4">
      <c r="C43" s="15">
        <v>36</v>
      </c>
      <c r="D43" s="15"/>
    </row>
    <row r="44" spans="3:4">
      <c r="C44" s="15">
        <v>37</v>
      </c>
      <c r="D44" s="15"/>
    </row>
    <row r="45" spans="3:4">
      <c r="C45" s="15">
        <v>38</v>
      </c>
      <c r="D45" s="15"/>
    </row>
    <row r="46" spans="3:4">
      <c r="C46" s="15">
        <v>39</v>
      </c>
      <c r="D46" s="15"/>
    </row>
    <row r="47" spans="3:4">
      <c r="C47" s="15">
        <v>40</v>
      </c>
      <c r="D47" s="15"/>
    </row>
    <row r="48" spans="3:4">
      <c r="C48" s="15">
        <v>41</v>
      </c>
      <c r="D48" s="15"/>
    </row>
    <row r="49" spans="3:4">
      <c r="C49" s="15">
        <v>42</v>
      </c>
      <c r="D49" s="15"/>
    </row>
    <row r="50" spans="3:4">
      <c r="C50" s="15">
        <v>43</v>
      </c>
      <c r="D50" s="15"/>
    </row>
    <row r="51" spans="3:4">
      <c r="C51" s="15">
        <v>44</v>
      </c>
      <c r="D51" s="15"/>
    </row>
    <row r="52" spans="3:4">
      <c r="C52" s="15">
        <v>45</v>
      </c>
      <c r="D52" s="15"/>
    </row>
    <row r="53" spans="3:4">
      <c r="C53" s="15">
        <v>46</v>
      </c>
      <c r="D53" s="15"/>
    </row>
    <row r="54" spans="3:4">
      <c r="C54" s="15">
        <v>47</v>
      </c>
      <c r="D54" s="15"/>
    </row>
    <row r="55" spans="3:4">
      <c r="C55" s="15">
        <v>48</v>
      </c>
      <c r="D55" s="15"/>
    </row>
    <row r="56" spans="3:4">
      <c r="C56" s="15">
        <v>49</v>
      </c>
      <c r="D56" s="15"/>
    </row>
    <row r="57" spans="3:4">
      <c r="C57" s="5">
        <v>50</v>
      </c>
      <c r="D57" s="5"/>
    </row>
  </sheetData>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3F55-06AD-475A-8350-2C428B8B863B}">
  <dimension ref="A1:DS154"/>
  <sheetViews>
    <sheetView topLeftCell="C1" workbookViewId="0">
      <selection activeCell="G6" sqref="G6"/>
    </sheetView>
  </sheetViews>
  <sheetFormatPr defaultColWidth="13.42578125" defaultRowHeight="15"/>
  <cols>
    <col min="1" max="1" width="12.42578125" customWidth="1"/>
    <col min="2" max="2" width="33.42578125" bestFit="1" customWidth="1"/>
    <col min="3" max="3" width="65.42578125" customWidth="1"/>
    <col min="4" max="9" width="7.42578125" customWidth="1"/>
    <col min="10" max="23" width="6.28515625" customWidth="1"/>
    <col min="24" max="29" width="7.42578125" customWidth="1"/>
    <col min="30" max="43" width="6.28515625" customWidth="1"/>
    <col min="44" max="49" width="7.42578125" customWidth="1"/>
    <col min="50" max="63" width="6.28515625" customWidth="1"/>
    <col min="64" max="67" width="6.42578125" customWidth="1"/>
    <col min="68" max="83" width="6" customWidth="1"/>
    <col min="84" max="89" width="7.42578125" customWidth="1"/>
    <col min="90" max="103" width="6.28515625" customWidth="1"/>
    <col min="104" max="107" width="6.42578125" customWidth="1"/>
    <col min="108" max="123" width="6" customWidth="1"/>
  </cols>
  <sheetData>
    <row r="1" spans="1:10">
      <c r="A1" s="34" t="s">
        <v>116</v>
      </c>
      <c r="C1" t="s">
        <v>117</v>
      </c>
    </row>
    <row r="2" spans="1:10" ht="15.95" thickBot="1">
      <c r="A2" s="34" t="s">
        <v>118</v>
      </c>
      <c r="C2" t="s">
        <v>119</v>
      </c>
    </row>
    <row r="3" spans="1:10" s="52" customFormat="1" ht="32.450000000000003" customHeight="1">
      <c r="A3" s="85" t="s">
        <v>120</v>
      </c>
      <c r="B3" s="85" t="s">
        <v>121</v>
      </c>
      <c r="C3" s="85" t="s">
        <v>122</v>
      </c>
      <c r="D3" s="76" t="s">
        <v>123</v>
      </c>
      <c r="E3" s="78" t="s">
        <v>124</v>
      </c>
      <c r="F3" s="80" t="s">
        <v>125</v>
      </c>
      <c r="G3" s="78" t="s">
        <v>126</v>
      </c>
      <c r="H3" s="80" t="s">
        <v>127</v>
      </c>
      <c r="I3" s="78" t="s">
        <v>128</v>
      </c>
      <c r="J3"/>
    </row>
    <row r="4" spans="1:10" s="52" customFormat="1" ht="17.100000000000001" thickBot="1">
      <c r="A4" s="85"/>
      <c r="B4" s="85"/>
      <c r="C4" s="85"/>
      <c r="D4" s="77"/>
      <c r="E4" s="79"/>
      <c r="F4" s="81"/>
      <c r="G4" s="79"/>
      <c r="H4" s="81"/>
      <c r="I4" s="79"/>
      <c r="J4"/>
    </row>
    <row r="5" spans="1:10" s="55" customFormat="1" ht="24">
      <c r="A5" s="53" t="s">
        <v>129</v>
      </c>
      <c r="B5" s="53" t="s">
        <v>130</v>
      </c>
      <c r="C5" s="54" t="s">
        <v>131</v>
      </c>
      <c r="D5">
        <v>11.679145130367321</v>
      </c>
      <c r="E5">
        <v>17.238146899020261</v>
      </c>
      <c r="F5">
        <v>31.59762786349928</v>
      </c>
      <c r="G5">
        <v>30.49479294065123</v>
      </c>
      <c r="H5">
        <v>34.286344441108433</v>
      </c>
      <c r="I5">
        <v>11.083749440694159</v>
      </c>
    </row>
    <row r="6" spans="1:10" s="55" customFormat="1" ht="24">
      <c r="A6" s="53" t="s">
        <v>129</v>
      </c>
      <c r="B6" s="53" t="s">
        <v>130</v>
      </c>
      <c r="C6" s="54" t="s">
        <v>132</v>
      </c>
      <c r="D6">
        <v>2.2309084699414949</v>
      </c>
      <c r="E6">
        <v>5.8629685805296567</v>
      </c>
      <c r="F6">
        <v>6.7930740700348258</v>
      </c>
      <c r="G6">
        <v>5.4676809171221654</v>
      </c>
      <c r="H6">
        <v>16.318465234707059</v>
      </c>
      <c r="I6">
        <v>3.683678180503478</v>
      </c>
    </row>
    <row r="7" spans="1:10" s="55" customFormat="1" ht="15.95">
      <c r="A7" s="53" t="s">
        <v>129</v>
      </c>
      <c r="B7" s="53" t="s">
        <v>130</v>
      </c>
      <c r="C7" s="57" t="s">
        <v>133</v>
      </c>
      <c r="D7">
        <v>22.261331539021661</v>
      </c>
      <c r="E7">
        <v>37.375529019889854</v>
      </c>
      <c r="F7">
        <v>84.37295684119951</v>
      </c>
      <c r="G7">
        <v>82.105348612943047</v>
      </c>
      <c r="H7">
        <v>73.246664445150103</v>
      </c>
      <c r="I7">
        <v>24.396070876744211</v>
      </c>
    </row>
    <row r="8" spans="1:10" s="55" customFormat="1" ht="15.95">
      <c r="A8" s="53" t="s">
        <v>129</v>
      </c>
      <c r="B8" s="53" t="s">
        <v>130</v>
      </c>
      <c r="C8" s="54" t="s">
        <v>134</v>
      </c>
      <c r="D8">
        <v>77.386889272083323</v>
      </c>
      <c r="E8">
        <v>73.431161814379863</v>
      </c>
      <c r="F8">
        <v>47.825418238710569</v>
      </c>
      <c r="G8">
        <v>47.455002933670457</v>
      </c>
      <c r="H8">
        <v>44.789894548933383</v>
      </c>
      <c r="I8">
        <v>84.612374152479944</v>
      </c>
      <c r="J8" s="68" t="s">
        <v>135</v>
      </c>
    </row>
    <row r="9" spans="1:10" s="55" customFormat="1" ht="15.95">
      <c r="A9" s="59" t="s">
        <v>136</v>
      </c>
      <c r="B9" s="55" t="s">
        <v>130</v>
      </c>
      <c r="C9" s="58" t="s">
        <v>137</v>
      </c>
      <c r="D9">
        <v>20.35394769581173</v>
      </c>
      <c r="E9">
        <v>28.808683370397141</v>
      </c>
      <c r="F9">
        <v>22.2240302012085</v>
      </c>
      <c r="G9">
        <v>22.03294550097068</v>
      </c>
      <c r="H9">
        <v>25.579269109843551</v>
      </c>
      <c r="I9">
        <v>13.90033288537601</v>
      </c>
    </row>
    <row r="10" spans="1:10" s="55" customFormat="1" ht="15.95">
      <c r="A10" s="59" t="s">
        <v>136</v>
      </c>
      <c r="B10" s="55" t="s">
        <v>130</v>
      </c>
      <c r="C10" s="58" t="s">
        <v>138</v>
      </c>
      <c r="D10">
        <v>0.98711806647872646</v>
      </c>
      <c r="E10">
        <v>0.86109471502110724</v>
      </c>
      <c r="F10">
        <v>0.88128823389289301</v>
      </c>
      <c r="G10">
        <v>0.92987576185004284</v>
      </c>
      <c r="H10">
        <v>0.85713094085731778</v>
      </c>
      <c r="I10">
        <v>0.96249075977031706</v>
      </c>
      <c r="J10" s="65" t="s">
        <v>139</v>
      </c>
    </row>
    <row r="11" spans="1:10" s="58" customFormat="1" ht="15.95">
      <c r="A11" s="59" t="s">
        <v>136</v>
      </c>
      <c r="B11" s="55" t="s">
        <v>130</v>
      </c>
      <c r="C11" s="58" t="s">
        <v>140</v>
      </c>
      <c r="D11">
        <v>0.37859999999999999</v>
      </c>
      <c r="E11">
        <v>0.42020000000000002</v>
      </c>
      <c r="F11">
        <v>0.61539999999999995</v>
      </c>
      <c r="G11">
        <v>0.51</v>
      </c>
      <c r="H11">
        <v>0.45419999999999999</v>
      </c>
      <c r="I11">
        <v>0.24260000000000001</v>
      </c>
      <c r="J11" s="65" t="s">
        <v>141</v>
      </c>
    </row>
    <row r="12" spans="1:10" s="55" customFormat="1" ht="15.95">
      <c r="A12" s="56" t="s">
        <v>142</v>
      </c>
      <c r="B12" s="53" t="s">
        <v>130</v>
      </c>
      <c r="C12" s="57" t="s">
        <v>143</v>
      </c>
      <c r="D12">
        <v>46.830762792228413</v>
      </c>
      <c r="E12">
        <v>34.609243859249872</v>
      </c>
      <c r="F12">
        <v>64.335137619563966</v>
      </c>
      <c r="G12">
        <v>71.949092400422344</v>
      </c>
      <c r="H12">
        <v>56.611142489463951</v>
      </c>
      <c r="I12">
        <v>44.992877357112249</v>
      </c>
    </row>
    <row r="13" spans="1:10" s="55" customFormat="1" ht="24">
      <c r="A13" s="59" t="s">
        <v>144</v>
      </c>
      <c r="B13" s="55" t="s">
        <v>130</v>
      </c>
      <c r="C13" s="58" t="s">
        <v>145</v>
      </c>
      <c r="D13">
        <v>0.38522853545193342</v>
      </c>
      <c r="E13">
        <v>0.41856096236058471</v>
      </c>
      <c r="F13">
        <v>0.52689312432372137</v>
      </c>
      <c r="G13">
        <v>0.51707456124776285</v>
      </c>
      <c r="H13">
        <v>0.50168330779738879</v>
      </c>
      <c r="I13">
        <v>0.40802056865530029</v>
      </c>
      <c r="J13" s="63"/>
    </row>
    <row r="14" spans="1:10" s="55" customFormat="1" ht="15.95">
      <c r="A14" s="59" t="s">
        <v>144</v>
      </c>
      <c r="B14" s="55" t="s">
        <v>130</v>
      </c>
      <c r="C14" s="58" t="s">
        <v>146</v>
      </c>
      <c r="D14" s="69">
        <v>386</v>
      </c>
      <c r="E14" s="69">
        <v>444</v>
      </c>
      <c r="F14" s="69">
        <v>312</v>
      </c>
      <c r="G14" s="69">
        <v>531</v>
      </c>
      <c r="H14" s="62">
        <v>2090</v>
      </c>
      <c r="I14" s="62">
        <v>3326</v>
      </c>
      <c r="J14" s="63"/>
    </row>
    <row r="15" spans="1:10" s="55" customFormat="1" ht="24">
      <c r="A15" s="59" t="s">
        <v>144</v>
      </c>
      <c r="B15" s="55" t="s">
        <v>130</v>
      </c>
      <c r="C15" s="58" t="s">
        <v>147</v>
      </c>
      <c r="D15">
        <v>46.593083048059853</v>
      </c>
      <c r="E15">
        <v>71.631579697710791</v>
      </c>
      <c r="F15">
        <v>73.530172079418691</v>
      </c>
      <c r="G15">
        <v>45.434031956788807</v>
      </c>
      <c r="H15">
        <v>18.19433771905631</v>
      </c>
      <c r="I15">
        <v>40.1602798664902</v>
      </c>
      <c r="J15" s="63"/>
    </row>
    <row r="16" spans="1:10" s="55" customFormat="1" ht="15.95">
      <c r="A16" s="56" t="s">
        <v>148</v>
      </c>
      <c r="B16" s="53" t="s">
        <v>130</v>
      </c>
      <c r="C16" s="54" t="s">
        <v>149</v>
      </c>
      <c r="D16">
        <v>5008.9819498518746</v>
      </c>
      <c r="E16">
        <v>3795.1861644968758</v>
      </c>
      <c r="F16">
        <v>4064.7898054552711</v>
      </c>
      <c r="G16">
        <v>4368.5844320635761</v>
      </c>
      <c r="H16">
        <v>5065.8423045866748</v>
      </c>
      <c r="I16">
        <v>6113.5583206815936</v>
      </c>
      <c r="J16" s="61"/>
    </row>
    <row r="17" spans="1:123" s="55" customFormat="1" ht="15.95">
      <c r="A17" s="56" t="s">
        <v>148</v>
      </c>
      <c r="B17" s="53" t="s">
        <v>130</v>
      </c>
      <c r="C17" s="54" t="s">
        <v>150</v>
      </c>
      <c r="D17">
        <v>4480.255812728934</v>
      </c>
      <c r="E17">
        <v>2629.3874292651558</v>
      </c>
      <c r="F17">
        <v>5858.9939385452653</v>
      </c>
      <c r="G17">
        <v>7924.0506676475916</v>
      </c>
      <c r="H17">
        <v>10121.160310304251</v>
      </c>
      <c r="I17">
        <v>7076.2489311067156</v>
      </c>
      <c r="J17" s="61"/>
      <c r="K17"/>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61"/>
      <c r="AU17" s="61"/>
      <c r="AV17" s="61"/>
      <c r="AW17" s="61"/>
      <c r="AX17" s="61"/>
      <c r="AY17" s="61"/>
      <c r="AZ17" s="61"/>
      <c r="BA17" s="61"/>
      <c r="BB17" s="61"/>
      <c r="BC17" s="61"/>
      <c r="BD17" s="61"/>
      <c r="BE17" s="61"/>
      <c r="BF17" s="61"/>
      <c r="BG17" s="61"/>
      <c r="BH17" s="61"/>
      <c r="BI17" s="61"/>
      <c r="BJ17" s="61"/>
      <c r="BK17" s="61"/>
      <c r="BL17" s="61"/>
      <c r="BM17" s="61"/>
      <c r="BN17" s="61"/>
      <c r="BO17" s="61"/>
      <c r="BP17" s="61"/>
      <c r="BQ17" s="61"/>
      <c r="BR17" s="61"/>
      <c r="BS17" s="61"/>
      <c r="BT17" s="61"/>
      <c r="BU17" s="61"/>
      <c r="BV17" s="61"/>
      <c r="BW17" s="61"/>
      <c r="BX17" s="61"/>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c r="DA17" s="61"/>
      <c r="DB17" s="61"/>
      <c r="DC17" s="61"/>
      <c r="DD17" s="61"/>
      <c r="DE17" s="61"/>
      <c r="DF17" s="61"/>
      <c r="DG17" s="61"/>
      <c r="DH17" s="61"/>
      <c r="DI17" s="61"/>
      <c r="DJ17" s="61"/>
      <c r="DK17" s="61"/>
      <c r="DL17" s="61"/>
      <c r="DM17" s="61"/>
      <c r="DN17" s="61"/>
      <c r="DO17" s="61"/>
      <c r="DP17" s="61"/>
      <c r="DQ17" s="61"/>
      <c r="DR17" s="61"/>
      <c r="DS17" s="61"/>
    </row>
    <row r="18" spans="1:123" s="55" customFormat="1" ht="15.95">
      <c r="A18" s="56" t="s">
        <v>148</v>
      </c>
      <c r="B18" s="53" t="s">
        <v>130</v>
      </c>
      <c r="C18" s="54" t="s">
        <v>151</v>
      </c>
      <c r="D18">
        <v>4.0133292474652951</v>
      </c>
      <c r="E18">
        <v>3.0328341851888059</v>
      </c>
      <c r="F18">
        <v>8.7366049545016651</v>
      </c>
      <c r="G18">
        <v>6.4758874434600093</v>
      </c>
      <c r="H18">
        <v>0.80036497390239159</v>
      </c>
      <c r="I18">
        <v>1.9236631701251781</v>
      </c>
      <c r="J18" s="61"/>
      <c r="K18"/>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c r="BM18" s="61"/>
      <c r="BN18" s="61"/>
      <c r="BO18" s="61"/>
      <c r="BP18" s="61"/>
      <c r="BQ18" s="61"/>
      <c r="BR18" s="61"/>
      <c r="BS18" s="61"/>
      <c r="BT18" s="61"/>
      <c r="BU18" s="61"/>
      <c r="BV18" s="61"/>
      <c r="BW18" s="61"/>
      <c r="BX18" s="61"/>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c r="DC18" s="61"/>
      <c r="DD18" s="61"/>
      <c r="DE18" s="61"/>
      <c r="DF18" s="61"/>
      <c r="DG18" s="61"/>
      <c r="DH18" s="61"/>
      <c r="DI18" s="61"/>
      <c r="DJ18" s="61"/>
      <c r="DK18" s="61"/>
      <c r="DL18" s="61"/>
      <c r="DM18" s="61"/>
      <c r="DN18" s="61"/>
      <c r="DO18" s="61"/>
      <c r="DP18" s="61"/>
      <c r="DQ18" s="61"/>
      <c r="DR18" s="61"/>
      <c r="DS18" s="61"/>
    </row>
    <row r="19" spans="1:123" s="55" customFormat="1" ht="15.95">
      <c r="A19" s="56" t="s">
        <v>148</v>
      </c>
      <c r="B19" s="53" t="s">
        <v>130</v>
      </c>
      <c r="C19" s="54" t="s">
        <v>152</v>
      </c>
      <c r="D19">
        <v>362.31193220154381</v>
      </c>
      <c r="E19">
        <v>80.081948014880325</v>
      </c>
      <c r="F19">
        <v>116.1879781080616</v>
      </c>
      <c r="G19">
        <v>156.28684364830369</v>
      </c>
      <c r="H19">
        <v>264.30093382455908</v>
      </c>
      <c r="I19">
        <v>324.04394898739412</v>
      </c>
      <c r="J19" s="61"/>
      <c r="K19"/>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c r="BM19" s="61"/>
      <c r="BN19" s="61"/>
      <c r="BO19" s="61"/>
      <c r="BP19" s="61"/>
      <c r="BQ19" s="61"/>
      <c r="BR19" s="61"/>
      <c r="BS19" s="61"/>
      <c r="BT19" s="61"/>
      <c r="BU19" s="61"/>
      <c r="BV19" s="61"/>
      <c r="BW19" s="61"/>
      <c r="BX19" s="61"/>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c r="DG19" s="61"/>
      <c r="DH19" s="61"/>
      <c r="DI19" s="61"/>
      <c r="DJ19" s="61"/>
      <c r="DK19" s="61"/>
      <c r="DL19" s="61"/>
      <c r="DM19" s="61"/>
      <c r="DN19" s="61"/>
      <c r="DO19" s="61"/>
      <c r="DP19" s="61"/>
      <c r="DQ19" s="61"/>
      <c r="DR19" s="61"/>
      <c r="DS19" s="61"/>
    </row>
    <row r="20" spans="1:123" s="55" customFormat="1" ht="24">
      <c r="A20" s="56" t="s">
        <v>148</v>
      </c>
      <c r="B20" s="53" t="s">
        <v>130</v>
      </c>
      <c r="C20" s="54" t="s">
        <v>153</v>
      </c>
      <c r="D20">
        <v>3.7142925987200339</v>
      </c>
      <c r="E20">
        <v>3.091550455391824</v>
      </c>
      <c r="F20">
        <v>3.2533234134966031</v>
      </c>
      <c r="G20">
        <v>2.8150792532362181</v>
      </c>
      <c r="H20">
        <v>2.5514288298575312</v>
      </c>
      <c r="I20">
        <v>3.9867322117686679</v>
      </c>
      <c r="J20" s="61"/>
      <c r="K20"/>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c r="AL20" s="61"/>
      <c r="AM20" s="61"/>
      <c r="AN20" s="61"/>
      <c r="AO20" s="61"/>
      <c r="AP20" s="61"/>
      <c r="AQ20" s="61"/>
      <c r="AR20" s="61"/>
      <c r="AS20" s="61"/>
      <c r="AT20" s="61"/>
      <c r="AU20" s="61"/>
      <c r="AV20" s="61"/>
      <c r="AW20" s="61"/>
      <c r="AX20" s="61"/>
      <c r="AY20" s="61"/>
      <c r="AZ20" s="61"/>
      <c r="BA20" s="61"/>
      <c r="BB20" s="61"/>
      <c r="BC20" s="61"/>
      <c r="BD20" s="61"/>
      <c r="BE20" s="61"/>
      <c r="BF20" s="61"/>
      <c r="BG20" s="61"/>
      <c r="BH20" s="61"/>
      <c r="BI20" s="61"/>
      <c r="BJ20" s="61"/>
      <c r="BK20" s="61"/>
      <c r="BL20" s="61"/>
      <c r="BM20" s="61"/>
      <c r="BN20" s="61"/>
      <c r="BO20" s="61"/>
      <c r="BP20" s="61"/>
      <c r="BQ20" s="61"/>
      <c r="BR20" s="61"/>
      <c r="BS20" s="61"/>
      <c r="BT20" s="61"/>
      <c r="BU20" s="61"/>
      <c r="BV20" s="61"/>
      <c r="BW20" s="61"/>
      <c r="BX20" s="61"/>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c r="DA20" s="61"/>
      <c r="DB20" s="61"/>
      <c r="DC20" s="61"/>
      <c r="DD20" s="61"/>
      <c r="DE20" s="61"/>
      <c r="DF20" s="61"/>
      <c r="DG20" s="61"/>
      <c r="DH20" s="61"/>
      <c r="DI20" s="61"/>
      <c r="DJ20" s="61"/>
      <c r="DK20" s="61"/>
      <c r="DL20" s="61"/>
      <c r="DM20" s="61"/>
      <c r="DN20" s="61"/>
      <c r="DO20" s="61"/>
      <c r="DP20" s="61"/>
      <c r="DQ20" s="61"/>
      <c r="DR20" s="61"/>
      <c r="DS20" s="61"/>
    </row>
    <row r="21" spans="1:123" ht="15.95" thickBot="1"/>
    <row r="22" spans="1:123" ht="15.95" thickBot="1">
      <c r="A22" s="85" t="s">
        <v>120</v>
      </c>
      <c r="B22" s="85" t="s">
        <v>154</v>
      </c>
      <c r="C22" s="85" t="s">
        <v>122</v>
      </c>
      <c r="D22" s="82" t="s">
        <v>123</v>
      </c>
      <c r="E22" s="83"/>
      <c r="F22" s="83"/>
      <c r="G22" s="83"/>
      <c r="H22" s="83"/>
      <c r="I22" s="83"/>
      <c r="J22" s="83"/>
      <c r="K22" s="83"/>
      <c r="L22" s="83"/>
      <c r="M22" s="83"/>
      <c r="N22" s="83"/>
      <c r="O22" s="83"/>
      <c r="P22" s="83"/>
      <c r="Q22" s="83"/>
      <c r="R22" s="83"/>
      <c r="S22" s="83"/>
      <c r="T22" s="83"/>
      <c r="U22" s="83"/>
      <c r="V22" s="83"/>
      <c r="W22" s="84"/>
      <c r="X22" s="73" t="s">
        <v>124</v>
      </c>
      <c r="Y22" s="74"/>
      <c r="Z22" s="74"/>
      <c r="AA22" s="74"/>
      <c r="AB22" s="74"/>
      <c r="AC22" s="74"/>
      <c r="AD22" s="74"/>
      <c r="AE22" s="74"/>
      <c r="AF22" s="74"/>
      <c r="AG22" s="74"/>
      <c r="AH22" s="74"/>
      <c r="AI22" s="74"/>
      <c r="AJ22" s="74"/>
      <c r="AK22" s="74"/>
      <c r="AL22" s="74"/>
      <c r="AM22" s="74"/>
      <c r="AN22" s="74"/>
      <c r="AO22" s="74"/>
      <c r="AP22" s="74"/>
      <c r="AQ22" s="75"/>
      <c r="AR22" s="82" t="s">
        <v>125</v>
      </c>
      <c r="AS22" s="83"/>
      <c r="AT22" s="83"/>
      <c r="AU22" s="83"/>
      <c r="AV22" s="83"/>
      <c r="AW22" s="83"/>
      <c r="AX22" s="83"/>
      <c r="AY22" s="83"/>
      <c r="AZ22" s="83"/>
      <c r="BA22" s="83"/>
      <c r="BB22" s="83"/>
      <c r="BC22" s="83"/>
      <c r="BD22" s="83"/>
      <c r="BE22" s="83"/>
      <c r="BF22" s="83"/>
      <c r="BG22" s="83"/>
      <c r="BH22" s="83"/>
      <c r="BI22" s="83"/>
      <c r="BJ22" s="83"/>
      <c r="BK22" s="84"/>
      <c r="BL22" s="73" t="s">
        <v>126</v>
      </c>
      <c r="BM22" s="74"/>
      <c r="BN22" s="74"/>
      <c r="BO22" s="74"/>
      <c r="BP22" s="74"/>
      <c r="BQ22" s="74"/>
      <c r="BR22" s="74"/>
      <c r="BS22" s="74"/>
      <c r="BT22" s="74"/>
      <c r="BU22" s="74"/>
      <c r="BV22" s="74"/>
      <c r="BW22" s="74"/>
      <c r="BX22" s="74"/>
      <c r="BY22" s="74"/>
      <c r="BZ22" s="74"/>
      <c r="CA22" s="74"/>
      <c r="CB22" s="74"/>
      <c r="CC22" s="74"/>
      <c r="CD22" s="74"/>
      <c r="CE22" s="75"/>
      <c r="CF22" s="82" t="s">
        <v>127</v>
      </c>
      <c r="CG22" s="83"/>
      <c r="CH22" s="83"/>
      <c r="CI22" s="83"/>
      <c r="CJ22" s="83"/>
      <c r="CK22" s="83"/>
      <c r="CL22" s="83"/>
      <c r="CM22" s="83"/>
      <c r="CN22" s="83"/>
      <c r="CO22" s="83"/>
      <c r="CP22" s="83"/>
      <c r="CQ22" s="83"/>
      <c r="CR22" s="83"/>
      <c r="CS22" s="83"/>
      <c r="CT22" s="83"/>
      <c r="CU22" s="83"/>
      <c r="CV22" s="83"/>
      <c r="CW22" s="83"/>
      <c r="CX22" s="83"/>
      <c r="CY22" s="84"/>
      <c r="CZ22" s="73" t="s">
        <v>128</v>
      </c>
      <c r="DA22" s="74"/>
      <c r="DB22" s="74"/>
      <c r="DC22" s="74"/>
      <c r="DD22" s="74"/>
      <c r="DE22" s="74"/>
      <c r="DF22" s="74"/>
      <c r="DG22" s="74"/>
      <c r="DH22" s="74"/>
      <c r="DI22" s="74"/>
      <c r="DJ22" s="74"/>
      <c r="DK22" s="74"/>
      <c r="DL22" s="74"/>
      <c r="DM22" s="74"/>
      <c r="DN22" s="74"/>
      <c r="DO22" s="74"/>
      <c r="DP22" s="74"/>
      <c r="DQ22" s="74"/>
      <c r="DR22" s="74"/>
      <c r="DS22" s="75"/>
    </row>
    <row r="23" spans="1:123">
      <c r="A23" s="85"/>
      <c r="B23" s="85"/>
      <c r="C23" s="85"/>
      <c r="D23">
        <v>2021</v>
      </c>
      <c r="E23">
        <v>2022</v>
      </c>
      <c r="F23">
        <v>2023</v>
      </c>
      <c r="G23">
        <v>2024</v>
      </c>
      <c r="H23">
        <v>2025</v>
      </c>
      <c r="I23">
        <v>2026</v>
      </c>
      <c r="J23">
        <v>2027</v>
      </c>
      <c r="K23">
        <v>2028</v>
      </c>
      <c r="L23">
        <v>2029</v>
      </c>
      <c r="M23">
        <v>2030</v>
      </c>
      <c r="N23">
        <v>2031</v>
      </c>
      <c r="O23">
        <v>2032</v>
      </c>
      <c r="P23">
        <v>2033</v>
      </c>
      <c r="Q23">
        <v>2034</v>
      </c>
      <c r="R23">
        <v>2035</v>
      </c>
      <c r="S23">
        <v>2036</v>
      </c>
      <c r="T23">
        <v>2037</v>
      </c>
      <c r="U23">
        <v>2038</v>
      </c>
      <c r="V23">
        <v>2039</v>
      </c>
      <c r="W23">
        <v>2040</v>
      </c>
      <c r="X23">
        <v>2021</v>
      </c>
      <c r="Y23">
        <v>2022</v>
      </c>
      <c r="Z23">
        <v>2023</v>
      </c>
      <c r="AA23">
        <v>2024</v>
      </c>
      <c r="AB23">
        <v>2025</v>
      </c>
      <c r="AC23">
        <v>2026</v>
      </c>
      <c r="AD23">
        <v>2027</v>
      </c>
      <c r="AE23">
        <v>2028</v>
      </c>
      <c r="AF23">
        <v>2029</v>
      </c>
      <c r="AG23">
        <v>2030</v>
      </c>
      <c r="AH23">
        <v>2031</v>
      </c>
      <c r="AI23">
        <v>2032</v>
      </c>
      <c r="AJ23">
        <v>2033</v>
      </c>
      <c r="AK23">
        <v>2034</v>
      </c>
      <c r="AL23">
        <v>2035</v>
      </c>
      <c r="AM23">
        <v>2036</v>
      </c>
      <c r="AN23">
        <v>2037</v>
      </c>
      <c r="AO23">
        <v>2038</v>
      </c>
      <c r="AP23">
        <v>2039</v>
      </c>
      <c r="AQ23">
        <v>2040</v>
      </c>
      <c r="AR23">
        <v>2021</v>
      </c>
      <c r="AS23">
        <v>2022</v>
      </c>
      <c r="AT23">
        <v>2023</v>
      </c>
      <c r="AU23">
        <v>2024</v>
      </c>
      <c r="AV23">
        <v>2025</v>
      </c>
      <c r="AW23">
        <v>2026</v>
      </c>
      <c r="AX23">
        <v>2027</v>
      </c>
      <c r="AY23">
        <v>2028</v>
      </c>
      <c r="AZ23">
        <v>2029</v>
      </c>
      <c r="BA23">
        <v>2030</v>
      </c>
      <c r="BB23">
        <v>2031</v>
      </c>
      <c r="BC23">
        <v>2032</v>
      </c>
      <c r="BD23">
        <v>2033</v>
      </c>
      <c r="BE23">
        <v>2034</v>
      </c>
      <c r="BF23">
        <v>2035</v>
      </c>
      <c r="BG23">
        <v>2036</v>
      </c>
      <c r="BH23">
        <v>2037</v>
      </c>
      <c r="BI23">
        <v>2038</v>
      </c>
      <c r="BJ23">
        <v>2039</v>
      </c>
      <c r="BK23">
        <v>2040</v>
      </c>
      <c r="BL23">
        <v>2021</v>
      </c>
      <c r="BM23">
        <v>2022</v>
      </c>
      <c r="BN23">
        <v>2023</v>
      </c>
      <c r="BO23">
        <v>2024</v>
      </c>
      <c r="BP23">
        <v>2025</v>
      </c>
      <c r="BQ23">
        <v>2026</v>
      </c>
      <c r="BR23">
        <v>2027</v>
      </c>
      <c r="BS23">
        <v>2028</v>
      </c>
      <c r="BT23">
        <v>2029</v>
      </c>
      <c r="BU23">
        <v>2030</v>
      </c>
      <c r="BV23">
        <v>2031</v>
      </c>
      <c r="BW23">
        <v>2032</v>
      </c>
      <c r="BX23">
        <v>2033</v>
      </c>
      <c r="BY23">
        <v>2034</v>
      </c>
      <c r="BZ23">
        <v>2035</v>
      </c>
      <c r="CA23">
        <v>2036</v>
      </c>
      <c r="CB23">
        <v>2037</v>
      </c>
      <c r="CC23">
        <v>2038</v>
      </c>
      <c r="CD23">
        <v>2039</v>
      </c>
      <c r="CE23">
        <v>2040</v>
      </c>
      <c r="CF23">
        <v>2021</v>
      </c>
      <c r="CG23">
        <v>2022</v>
      </c>
      <c r="CH23">
        <v>2023</v>
      </c>
      <c r="CI23">
        <v>2024</v>
      </c>
      <c r="CJ23">
        <v>2025</v>
      </c>
      <c r="CK23">
        <v>2026</v>
      </c>
      <c r="CL23">
        <v>2027</v>
      </c>
      <c r="CM23">
        <v>2028</v>
      </c>
      <c r="CN23">
        <v>2029</v>
      </c>
      <c r="CO23">
        <v>2030</v>
      </c>
      <c r="CP23">
        <v>2031</v>
      </c>
      <c r="CQ23">
        <v>2032</v>
      </c>
      <c r="CR23">
        <v>2033</v>
      </c>
      <c r="CS23">
        <v>2034</v>
      </c>
      <c r="CT23">
        <v>2035</v>
      </c>
      <c r="CU23">
        <v>2036</v>
      </c>
      <c r="CV23">
        <v>2037</v>
      </c>
      <c r="CW23">
        <v>2038</v>
      </c>
      <c r="CX23">
        <v>2039</v>
      </c>
      <c r="CY23">
        <v>2040</v>
      </c>
      <c r="CZ23">
        <v>2021</v>
      </c>
      <c r="DA23">
        <v>2022</v>
      </c>
      <c r="DB23">
        <v>2023</v>
      </c>
      <c r="DC23">
        <v>2024</v>
      </c>
      <c r="DD23">
        <v>2025</v>
      </c>
      <c r="DE23">
        <v>2026</v>
      </c>
      <c r="DF23">
        <v>2027</v>
      </c>
      <c r="DG23">
        <v>2028</v>
      </c>
      <c r="DH23">
        <v>2029</v>
      </c>
      <c r="DI23">
        <v>2030</v>
      </c>
      <c r="DJ23">
        <v>2031</v>
      </c>
      <c r="DK23">
        <v>2032</v>
      </c>
      <c r="DL23">
        <v>2033</v>
      </c>
      <c r="DM23">
        <v>2034</v>
      </c>
      <c r="DN23">
        <v>2035</v>
      </c>
      <c r="DO23">
        <v>2036</v>
      </c>
      <c r="DP23">
        <v>2037</v>
      </c>
      <c r="DQ23">
        <v>2038</v>
      </c>
      <c r="DR23">
        <v>2039</v>
      </c>
      <c r="DS23">
        <v>2040</v>
      </c>
    </row>
    <row r="24" spans="1:123" ht="15.95">
      <c r="A24" s="53" t="s">
        <v>129</v>
      </c>
      <c r="B24" s="53" t="s">
        <v>155</v>
      </c>
      <c r="C24" s="54" t="s">
        <v>156</v>
      </c>
      <c r="D24" s="43">
        <v>7.189257788334638</v>
      </c>
      <c r="E24" s="43">
        <v>6.6888900090578529</v>
      </c>
      <c r="F24" s="43">
        <v>6.2115265699456517</v>
      </c>
      <c r="G24" s="43">
        <v>5.7570393132760787</v>
      </c>
      <c r="H24" s="43">
        <v>5.3252328623979217</v>
      </c>
      <c r="I24" s="43">
        <v>4.9158465695392302</v>
      </c>
      <c r="J24" s="43">
        <v>4.5285569141175683</v>
      </c>
      <c r="K24" s="43">
        <v>4.1629803307848743</v>
      </c>
      <c r="L24" s="43">
        <v>3.8186764411297989</v>
      </c>
      <c r="M24" s="43">
        <v>3.4951516579235795</v>
      </c>
      <c r="N24" s="43">
        <v>3.1918631261166714</v>
      </c>
      <c r="O24" s="43">
        <v>2.9082229605679584</v>
      </c>
      <c r="P24" s="43">
        <v>2.6436027367981096</v>
      </c>
      <c r="Q24" s="43">
        <v>2.3973381879769171</v>
      </c>
      <c r="R24" s="43">
        <v>2.1687340589486959</v>
      </c>
      <c r="S24" s="43">
        <v>1.9570690664207298</v>
      </c>
      <c r="T24" s="43">
        <v>1.7616009135263369</v>
      </c>
      <c r="U24" s="43">
        <v>1.5815713068497841</v>
      </c>
      <c r="V24" s="43">
        <v>1.4162109246734949</v>
      </c>
      <c r="W24" s="43">
        <v>1.2647442866674197</v>
      </c>
      <c r="X24" s="43">
        <v>9.1504665426194762</v>
      </c>
      <c r="Y24" s="43">
        <v>8.9091661920724032</v>
      </c>
      <c r="Z24" s="43">
        <v>8.6634743137498393</v>
      </c>
      <c r="AA24" s="43">
        <v>8.4138443636594769</v>
      </c>
      <c r="AB24" s="43">
        <v>8.1607439588173118</v>
      </c>
      <c r="AC24" s="43">
        <v>7.9046538351315139</v>
      </c>
      <c r="AD24" s="43">
        <v>7.6460666835901776</v>
      </c>
      <c r="AE24" s="43">
        <v>7.3854858614569636</v>
      </c>
      <c r="AF24" s="43">
        <v>7.1234239761188629</v>
      </c>
      <c r="AG24" s="43">
        <v>6.8604013403224053</v>
      </c>
      <c r="AH24" s="43">
        <v>6.5969442987835443</v>
      </c>
      <c r="AI24" s="43">
        <v>6.3335834275678575</v>
      </c>
      <c r="AJ24" s="43">
        <v>6.0708516092056524</v>
      </c>
      <c r="AK24" s="43">
        <v>5.8092819882333009</v>
      </c>
      <c r="AL24" s="43">
        <v>5.5494058137252917</v>
      </c>
      <c r="AM24" s="43">
        <v>5.2917501773899751</v>
      </c>
      <c r="AN24" s="43">
        <v>5.0368356579348825</v>
      </c>
      <c r="AO24" s="43">
        <v>4.7851738846317344</v>
      </c>
      <c r="AP24" s="43">
        <v>4.5372650353113508</v>
      </c>
      <c r="AQ24" s="43">
        <v>4.2935952863534101</v>
      </c>
      <c r="AR24" s="43">
        <v>18.912089683887856</v>
      </c>
      <c r="AS24" s="43">
        <v>18.415277888436794</v>
      </c>
      <c r="AT24" s="43">
        <v>17.911491722528627</v>
      </c>
      <c r="AU24" s="43">
        <v>17.401678259623136</v>
      </c>
      <c r="AV24" s="43">
        <v>16.886799251922032</v>
      </c>
      <c r="AW24" s="43">
        <v>16.36782839254515</v>
      </c>
      <c r="AX24" s="43">
        <v>15.845748387132751</v>
      </c>
      <c r="AY24" s="43">
        <v>15.321547845073056</v>
      </c>
      <c r="AZ24" s="43">
        <v>14.796218003356879</v>
      </c>
      <c r="BA24" s="43">
        <v>14.27074929887241</v>
      </c>
      <c r="BB24" s="43">
        <v>13.746127807744482</v>
      </c>
      <c r="BC24" s="43">
        <v>13.223331573040289</v>
      </c>
      <c r="BD24" s="43">
        <v>12.703326844768068</v>
      </c>
      <c r="BE24" s="43">
        <v>12.187064258535749</v>
      </c>
      <c r="BF24" s="43">
        <v>11.675474981459661</v>
      </c>
      <c r="BG24" s="43">
        <v>11.169466855884162</v>
      </c>
      <c r="BH24" s="43">
        <v>10.669920573122553</v>
      </c>
      <c r="BI24" s="43">
        <v>10.177685910737454</v>
      </c>
      <c r="BJ24" s="43">
        <v>9.6935780677783807</v>
      </c>
      <c r="BK24" s="43">
        <v>9.2183741328716717</v>
      </c>
      <c r="BL24" s="43">
        <v>22.510157496840979</v>
      </c>
      <c r="BM24" s="43">
        <v>21.490211492056954</v>
      </c>
      <c r="BN24" s="43">
        <v>20.474437042882101</v>
      </c>
      <c r="BO24" s="43">
        <v>19.465188117849685</v>
      </c>
      <c r="BP24" s="43">
        <v>18.464847171557157</v>
      </c>
      <c r="BQ24" s="43">
        <v>17.475809348313582</v>
      </c>
      <c r="BR24" s="43">
        <v>16.500465433353796</v>
      </c>
      <c r="BS24" s="43">
        <v>15.541183702193953</v>
      </c>
      <c r="BT24" s="43">
        <v>14.600290855487543</v>
      </c>
      <c r="BU24" s="43">
        <v>13.680052263338485</v>
      </c>
      <c r="BV24" s="43">
        <v>12.782651778335</v>
      </c>
      <c r="BW24" s="43">
        <v>11.910171409380119</v>
      </c>
      <c r="BX24" s="43">
        <v>11.064571177408093</v>
      </c>
      <c r="BY24" s="43">
        <v>10.247669497936165</v>
      </c>
      <c r="BZ24" s="43">
        <v>9.4611244527665903</v>
      </c>
      <c r="CA24" s="43">
        <v>8.7064163227104494</v>
      </c>
      <c r="CB24" s="43">
        <v>7.984831753787816</v>
      </c>
      <c r="CC24" s="43">
        <v>7.2974499199613074</v>
      </c>
      <c r="CD24" s="43">
        <v>6.6451310253487019</v>
      </c>
      <c r="CE24" s="43">
        <v>6.0285074576144186</v>
      </c>
      <c r="CF24" s="43">
        <v>15.036351706564599</v>
      </c>
      <c r="CG24" s="43">
        <v>13.50078028350624</v>
      </c>
      <c r="CH24" s="43">
        <v>12.058387451156024</v>
      </c>
      <c r="CI24" s="43">
        <v>10.711231438637608</v>
      </c>
      <c r="CJ24" s="43">
        <v>9.4604490055199957</v>
      </c>
      <c r="CK24" s="43">
        <v>8.3062510498973001</v>
      </c>
      <c r="CL24" s="43">
        <v>7.2479363934633128</v>
      </c>
      <c r="CM24" s="43">
        <v>6.2839237762965849</v>
      </c>
      <c r="CN24" s="43">
        <v>5.4118015147620984</v>
      </c>
      <c r="CO24" s="43">
        <v>4.6283936844518321</v>
      </c>
      <c r="CP24" s="43">
        <v>3.9298411127183539</v>
      </c>
      <c r="CQ24" s="43">
        <v>3.3116949301689957</v>
      </c>
      <c r="CR24" s="43">
        <v>2.7690199658027206</v>
      </c>
      <c r="CS24" s="43">
        <v>2.2965049030586702</v>
      </c>
      <c r="CT24" s="43">
        <v>1.8885758672476678</v>
      </c>
      <c r="CU24" s="43">
        <v>1.5395100066642857</v>
      </c>
      <c r="CV24" s="43">
        <v>1.2435456711002535</v>
      </c>
      <c r="CW24" s="43">
        <v>0.99498598508124447</v>
      </c>
      <c r="CX24" s="43">
        <v>0.78829295226696738</v>
      </c>
      <c r="CY24" s="43">
        <v>0.61816969602436267</v>
      </c>
      <c r="CZ24" s="43">
        <v>2.9870488021794319</v>
      </c>
      <c r="DA24" s="43">
        <v>2.5739841419947318</v>
      </c>
      <c r="DB24" s="43">
        <v>2.2066180562943205</v>
      </c>
      <c r="DC24" s="43">
        <v>1.8817104779205431</v>
      </c>
      <c r="DD24" s="43">
        <v>1.5959853639845589</v>
      </c>
      <c r="DE24" s="43">
        <v>1.3461738848994111</v>
      </c>
      <c r="DF24" s="43">
        <v>1.1290543172610685</v>
      </c>
      <c r="DG24" s="43">
        <v>0.94148796652725741</v>
      </c>
      <c r="DH24" s="43">
        <v>0.78045059448429044</v>
      </c>
      <c r="DI24" s="43">
        <v>0.6430589856502672</v>
      </c>
      <c r="DJ24" s="43">
        <v>0.52659244931612259</v>
      </c>
      <c r="DK24" s="43">
        <v>0.42850921323508429</v>
      </c>
      <c r="DL24" s="43">
        <v>0.34645781483056198</v>
      </c>
      <c r="DM24" s="43">
        <v>0.27828373073763568</v>
      </c>
      <c r="DN24" s="43">
        <v>0.2220316010631268</v>
      </c>
      <c r="DO24" s="43">
        <v>0.17594349766851256</v>
      </c>
      <c r="DP24" s="43">
        <v>0.13845375407476354</v>
      </c>
      <c r="DQ24" s="43">
        <v>0.10818091760600577</v>
      </c>
      <c r="DR24" s="43">
        <v>8.3917402743392017E-2</v>
      </c>
      <c r="DS24" s="43">
        <v>6.4617420100914896E-2</v>
      </c>
    </row>
    <row r="25" spans="1:123">
      <c r="A25" s="59" t="s">
        <v>136</v>
      </c>
      <c r="B25" s="67" t="s">
        <v>157</v>
      </c>
      <c r="C25" s="58"/>
      <c r="D25" s="55"/>
      <c r="E25" s="55"/>
      <c r="F25" s="55"/>
      <c r="G25" s="55"/>
      <c r="H25" s="43"/>
      <c r="I25" s="43"/>
      <c r="J25" s="43"/>
      <c r="K25" s="43"/>
      <c r="L25" s="43"/>
      <c r="M25" s="43"/>
      <c r="N25" s="43"/>
      <c r="O25" s="43"/>
      <c r="P25" s="43"/>
      <c r="Q25" s="43"/>
      <c r="R25" s="43"/>
      <c r="S25" s="43"/>
      <c r="T25" s="43"/>
      <c r="U25" s="43"/>
      <c r="V25" s="43"/>
      <c r="W25" s="43"/>
      <c r="X25" s="55"/>
      <c r="Y25" s="55"/>
      <c r="Z25" s="55"/>
      <c r="AA25" s="55"/>
      <c r="AB25" s="43"/>
      <c r="AC25" s="43"/>
      <c r="AD25" s="43"/>
      <c r="AE25" s="43"/>
      <c r="AF25" s="43"/>
      <c r="AG25" s="43"/>
      <c r="AH25" s="43"/>
      <c r="AI25" s="43"/>
      <c r="AJ25" s="43"/>
      <c r="AK25" s="43"/>
      <c r="AL25" s="43"/>
      <c r="AM25" s="43"/>
      <c r="AN25" s="43"/>
      <c r="AO25" s="43"/>
      <c r="AP25" s="43"/>
      <c r="AQ25" s="43"/>
      <c r="AR25" s="55"/>
      <c r="AS25" s="55"/>
      <c r="AT25" s="55"/>
      <c r="AU25" s="55"/>
      <c r="AV25" s="43"/>
      <c r="AW25" s="43"/>
      <c r="AX25" s="43"/>
      <c r="AY25" s="43"/>
      <c r="AZ25" s="43"/>
      <c r="BA25" s="43"/>
      <c r="BB25" s="43"/>
      <c r="BC25" s="43"/>
      <c r="BD25" s="43"/>
      <c r="BE25" s="43"/>
      <c r="BF25" s="43"/>
      <c r="BG25" s="43"/>
      <c r="BH25" s="43"/>
      <c r="BI25" s="43"/>
      <c r="BJ25" s="43"/>
      <c r="BK25" s="43"/>
      <c r="BL25" s="55"/>
      <c r="BM25" s="55"/>
      <c r="BN25" s="55"/>
      <c r="BO25" s="55"/>
      <c r="BP25" s="43"/>
      <c r="BQ25" s="43"/>
      <c r="BR25" s="43"/>
      <c r="BS25" s="43"/>
      <c r="BT25" s="43"/>
      <c r="BU25" s="43"/>
      <c r="BV25" s="43"/>
      <c r="BW25" s="43"/>
      <c r="BX25" s="43"/>
      <c r="BY25" s="43"/>
      <c r="BZ25" s="43"/>
      <c r="CA25" s="43"/>
      <c r="CB25" s="43"/>
      <c r="CC25" s="43"/>
      <c r="CD25" s="43"/>
      <c r="CE25" s="43"/>
      <c r="CF25" s="55"/>
      <c r="CG25" s="55"/>
      <c r="CH25" s="55"/>
      <c r="CI25" s="55"/>
      <c r="CJ25" s="43"/>
      <c r="CK25" s="43"/>
      <c r="CL25" s="43"/>
      <c r="CM25" s="43"/>
      <c r="CN25" s="43"/>
      <c r="CO25" s="43"/>
      <c r="CP25" s="43"/>
      <c r="CQ25" s="43"/>
      <c r="CR25" s="43"/>
      <c r="CS25" s="43"/>
      <c r="CT25" s="43"/>
      <c r="CU25" s="43"/>
      <c r="CV25" s="43"/>
      <c r="CW25" s="43"/>
      <c r="CX25" s="43"/>
      <c r="CY25" s="43"/>
      <c r="CZ25" s="55"/>
      <c r="DA25" s="55"/>
      <c r="DB25" s="55"/>
      <c r="DC25" s="55"/>
      <c r="DD25" s="55"/>
      <c r="DE25" s="55"/>
      <c r="DF25" s="55"/>
      <c r="DG25" s="55"/>
      <c r="DH25" s="55"/>
      <c r="DI25" s="55"/>
      <c r="DJ25" s="55"/>
      <c r="DK25" s="55"/>
      <c r="DL25" s="55"/>
      <c r="DM25" s="55"/>
      <c r="DN25" s="55"/>
      <c r="DO25" s="55"/>
      <c r="DP25" s="55"/>
      <c r="DQ25" s="55"/>
      <c r="DR25" s="55"/>
      <c r="DS25" s="55"/>
    </row>
    <row r="26" spans="1:123" ht="15.95">
      <c r="A26" s="56" t="s">
        <v>142</v>
      </c>
      <c r="B26" s="53" t="s">
        <v>155</v>
      </c>
      <c r="C26" s="57" t="s">
        <v>158</v>
      </c>
      <c r="D26" s="43">
        <v>4.9855700000000001</v>
      </c>
      <c r="E26" s="43">
        <v>5.0242558249487326</v>
      </c>
      <c r="F26" s="43">
        <v>5.062117154095195</v>
      </c>
      <c r="G26" s="43">
        <v>5.0991221524061769</v>
      </c>
      <c r="H26" s="43">
        <v>5.1352386432570594</v>
      </c>
      <c r="I26" s="43">
        <v>5.1704341135176257</v>
      </c>
      <c r="J26" s="43">
        <v>5.2046757190976036</v>
      </c>
      <c r="K26" s="43">
        <v>5.2379302909876833</v>
      </c>
      <c r="L26" s="43">
        <v>5.2701643418338628</v>
      </c>
      <c r="M26" s="43">
        <v>5.3013440730862023</v>
      </c>
      <c r="N26" s="43">
        <v>5.3314353827658323</v>
      </c>
      <c r="O26" s="43">
        <v>5.3604038738972362</v>
      </c>
      <c r="P26" s="43">
        <v>5.3882148636566836</v>
      </c>
      <c r="Q26" s="43">
        <v>5.4148333932908708</v>
      </c>
      <c r="R26" s="43">
        <v>5.440224238864193</v>
      </c>
      <c r="S26" s="43">
        <v>5.4643519228972357</v>
      </c>
      <c r="T26" s="43">
        <v>5.4871807269634791</v>
      </c>
      <c r="U26" s="43">
        <v>5.5086747053163601</v>
      </c>
      <c r="V26" s="43">
        <v>5.5287976996237669</v>
      </c>
      <c r="W26" s="43">
        <v>5.5475133548929874</v>
      </c>
      <c r="X26" s="43">
        <v>4.5991800000000005</v>
      </c>
      <c r="Y26" s="43">
        <v>4.4042124111186176</v>
      </c>
      <c r="Z26" s="43">
        <v>4.2131090946072494</v>
      </c>
      <c r="AA26" s="43">
        <v>4.0259800445895442</v>
      </c>
      <c r="AB26" s="43">
        <v>3.8429300331731717</v>
      </c>
      <c r="AC26" s="43">
        <v>3.6640582478081392</v>
      </c>
      <c r="AD26" s="43">
        <v>3.4894579332820426</v>
      </c>
      <c r="AE26" s="43">
        <v>3.3192160404052045</v>
      </c>
      <c r="AF26" s="43">
        <v>3.1534128835435875</v>
      </c>
      <c r="AG26" s="43">
        <v>2.9921218092536246</v>
      </c>
      <c r="AH26" s="43">
        <v>2.8354088783588502</v>
      </c>
      <c r="AI26" s="43">
        <v>2.6833325638814145</v>
      </c>
      <c r="AJ26" s="43">
        <v>2.5359434673004513</v>
      </c>
      <c r="AK26" s="43">
        <v>2.3932840556515869</v>
      </c>
      <c r="AL26" s="43">
        <v>2.2553884220052036</v>
      </c>
      <c r="AM26" s="43">
        <v>2.1222820718637156</v>
      </c>
      <c r="AN26" s="43">
        <v>1.9939817379979106</v>
      </c>
      <c r="AO26" s="43">
        <v>1.8704952261966068</v>
      </c>
      <c r="AP26" s="43">
        <v>1.7518212943315459</v>
      </c>
      <c r="AQ26" s="43">
        <v>1.637949567038026</v>
      </c>
      <c r="AR26" s="43">
        <v>36.308069999999994</v>
      </c>
      <c r="AS26" s="43">
        <v>36.185861896128479</v>
      </c>
      <c r="AT26" s="43">
        <v>36.06170110049667</v>
      </c>
      <c r="AU26" s="43">
        <v>35.93557699720413</v>
      </c>
      <c r="AV26" s="43">
        <v>35.807478695050726</v>
      </c>
      <c r="AW26" s="43">
        <v>35.677395033949246</v>
      </c>
      <c r="AX26" s="43">
        <v>35.545314591576144</v>
      </c>
      <c r="AY26" s="43">
        <v>35.411225690279473</v>
      </c>
      <c r="AZ26" s="43">
        <v>35.2751164042635</v>
      </c>
      <c r="BA26" s="43">
        <v>35.136974567070602</v>
      </c>
      <c r="BB26" s="43">
        <v>34.99678777938167</v>
      </c>
      <c r="BC26" s="43">
        <v>34.854543417157117</v>
      </c>
      <c r="BD26" s="43">
        <v>34.710228640141892</v>
      </c>
      <c r="BE26" s="43">
        <v>34.563830400758199</v>
      </c>
      <c r="BF26" s="43">
        <v>34.415335453411203</v>
      </c>
      <c r="BG26" s="43">
        <v>34.264730364233813</v>
      </c>
      <c r="BH26" s="43">
        <v>34.112001521297493</v>
      </c>
      <c r="BI26" s="43">
        <v>33.957135145317729</v>
      </c>
      <c r="BJ26" s="43">
        <v>33.800117300883173</v>
      </c>
      <c r="BK26" s="43">
        <v>33.64093390823939</v>
      </c>
      <c r="BL26" s="43">
        <v>38.895679999999999</v>
      </c>
      <c r="BM26" s="43">
        <v>38.854339595759434</v>
      </c>
      <c r="BN26" s="43">
        <v>38.811608056121294</v>
      </c>
      <c r="BO26" s="43">
        <v>38.76744471582041</v>
      </c>
      <c r="BP26" s="43">
        <v>38.721807292463673</v>
      </c>
      <c r="BQ26" s="43">
        <v>38.674651820200459</v>
      </c>
      <c r="BR26" s="43">
        <v>38.625932580548529</v>
      </c>
      <c r="BS26" s="43">
        <v>38.575602030264164</v>
      </c>
      <c r="BT26" s="43">
        <v>38.523610726142337</v>
      </c>
      <c r="BU26" s="43">
        <v>38.469907246630569</v>
      </c>
      <c r="BV26" s="43">
        <v>38.414438110137155</v>
      </c>
      <c r="BW26" s="43">
        <v>38.357147689913063</v>
      </c>
      <c r="BX26" s="43">
        <v>38.297978125384574</v>
      </c>
      <c r="BY26" s="43">
        <v>38.23686922981279</v>
      </c>
      <c r="BZ26" s="43">
        <v>38.173758394154838</v>
      </c>
      <c r="CA26" s="43">
        <v>38.108580487001923</v>
      </c>
      <c r="CB26" s="43">
        <v>38.041267750469046</v>
      </c>
      <c r="CC26" s="43">
        <v>37.971749691912898</v>
      </c>
      <c r="CD26" s="43">
        <v>37.899952971356136</v>
      </c>
      <c r="CE26" s="43">
        <v>37.825801284499441</v>
      </c>
      <c r="CF26" s="43">
        <v>11.48274</v>
      </c>
      <c r="CG26" s="43">
        <v>10.469357809197607</v>
      </c>
      <c r="CH26" s="43">
        <v>9.4825202525357888</v>
      </c>
      <c r="CI26" s="43">
        <v>8.5274756835821197</v>
      </c>
      <c r="CJ26" s="43">
        <v>7.609438644494297</v>
      </c>
      <c r="CK26" s="43">
        <v>6.7334754098511684</v>
      </c>
      <c r="CL26" s="43">
        <v>5.9043760153954095</v>
      </c>
      <c r="CM26" s="43">
        <v>5.1265159997613008</v>
      </c>
      <c r="CN26" s="43">
        <v>4.403712587839661</v>
      </c>
      <c r="CO26" s="43">
        <v>3.7390816146864139</v>
      </c>
      <c r="CP26" s="43">
        <v>3.1349029870807015</v>
      </c>
      <c r="CQ26" s="43">
        <v>2.5925037146786232</v>
      </c>
      <c r="CR26" s="43">
        <v>2.1121682806009399</v>
      </c>
      <c r="CS26" s="43">
        <v>1.6930861056307471</v>
      </c>
      <c r="CT26" s="43">
        <v>1.3333448452239742</v>
      </c>
      <c r="CU26" s="43">
        <v>1.0299760582613207</v>
      </c>
      <c r="CV26" s="43">
        <v>0.77905633517437689</v>
      </c>
      <c r="CW26" s="43">
        <v>0.57586238850067506</v>
      </c>
      <c r="CX26" s="43">
        <v>0.41507324294913156</v>
      </c>
      <c r="CY26" s="43">
        <v>0.29100711854202421</v>
      </c>
      <c r="CZ26" s="43">
        <v>1.2305900000000001</v>
      </c>
      <c r="DA26" s="43">
        <v>0.88984792607461782</v>
      </c>
      <c r="DB26" s="43">
        <v>0.62218910416093209</v>
      </c>
      <c r="DC26" s="43">
        <v>0.41911724971107478</v>
      </c>
      <c r="DD26" s="43">
        <v>0.270923361548147</v>
      </c>
      <c r="DE26" s="43">
        <v>0.16738356079844036</v>
      </c>
      <c r="DF26" s="43">
        <v>9.8482931750122821E-2</v>
      </c>
      <c r="DG26" s="43">
        <v>5.5066945120441337E-2</v>
      </c>
      <c r="DH26" s="43">
        <v>2.933006825426852E-2</v>
      </c>
      <c r="DI26" s="43">
        <v>1.5081471112341481E-2</v>
      </c>
      <c r="DJ26" s="43">
        <v>7.7742847378548009E-3</v>
      </c>
      <c r="DK26" s="43">
        <v>4.3346014113000283E-3</v>
      </c>
      <c r="DL26" s="43">
        <v>2.8635351881714315E-3</v>
      </c>
      <c r="DM26" s="43">
        <v>2.2984444591170991E-3</v>
      </c>
      <c r="DN26" s="43">
        <v>2.1059524967167432E-3</v>
      </c>
      <c r="DO26" s="43">
        <v>2.0486343388181824E-3</v>
      </c>
      <c r="DP26" s="43">
        <v>2.0339519388458591E-3</v>
      </c>
      <c r="DQ26" s="43">
        <v>2.0307740131728204E-3</v>
      </c>
      <c r="DR26" s="43">
        <v>2.0302043368214243E-3</v>
      </c>
      <c r="DS26" s="43">
        <v>2.0301216349139263E-3</v>
      </c>
    </row>
    <row r="27" spans="1:123" ht="15.95">
      <c r="A27" s="56" t="s">
        <v>142</v>
      </c>
      <c r="B27" s="53" t="s">
        <v>155</v>
      </c>
      <c r="C27" s="57" t="s">
        <v>159</v>
      </c>
      <c r="D27" s="55">
        <v>12.326178476819264</v>
      </c>
      <c r="E27" s="55">
        <v>12.381889163349326</v>
      </c>
      <c r="F27" s="55">
        <v>12.436251628916459</v>
      </c>
      <c r="G27" s="55">
        <v>12.489232445082679</v>
      </c>
      <c r="H27" s="55">
        <v>12.540797718585354</v>
      </c>
      <c r="I27" s="55">
        <v>12.590913081668123</v>
      </c>
      <c r="J27" s="55">
        <v>12.639543682250387</v>
      </c>
      <c r="K27" s="55">
        <v>12.686654173942228</v>
      </c>
      <c r="L27" s="55">
        <v>12.732208705912404</v>
      </c>
      <c r="M27" s="55">
        <v>12.77617091261866</v>
      </c>
      <c r="N27" s="55">
        <v>12.818503903410948</v>
      </c>
      <c r="O27" s="55">
        <v>12.859170252019601</v>
      </c>
      <c r="P27" s="55">
        <v>12.898131985942833</v>
      </c>
      <c r="Q27" s="55">
        <v>12.93535057574935</v>
      </c>
      <c r="R27" s="55">
        <v>12.970786924314398</v>
      </c>
      <c r="S27" s="55">
        <v>13.004401356010282</v>
      </c>
      <c r="T27" s="55">
        <v>13.036153605874441</v>
      </c>
      <c r="U27" s="55">
        <v>13.066002808782224</v>
      </c>
      <c r="V27" s="55">
        <v>13.093907488653745</v>
      </c>
      <c r="W27" s="55">
        <v>13.119825547729045</v>
      </c>
      <c r="X27" s="55">
        <v>14.288422822098919</v>
      </c>
      <c r="Y27" s="55">
        <v>13.982702549201973</v>
      </c>
      <c r="Z27" s="55">
        <v>13.67683968914368</v>
      </c>
      <c r="AA27" s="55">
        <v>13.370966999763937</v>
      </c>
      <c r="AB27" s="55">
        <v>13.065220507316768</v>
      </c>
      <c r="AC27" s="55">
        <v>12.75973944689008</v>
      </c>
      <c r="AD27" s="55">
        <v>12.45466619149396</v>
      </c>
      <c r="AE27" s="55">
        <v>12.150146169228629</v>
      </c>
      <c r="AF27" s="55">
        <v>11.846327767942952</v>
      </c>
      <c r="AG27" s="55">
        <v>11.543362226797486</v>
      </c>
      <c r="AH27" s="55">
        <v>11.241403514153248</v>
      </c>
      <c r="AI27" s="55">
        <v>10.940608191217761</v>
      </c>
      <c r="AJ27" s="55">
        <v>10.641135260895059</v>
      </c>
      <c r="AK27" s="55">
        <v>10.343146001306888</v>
      </c>
      <c r="AL27" s="55">
        <v>10.046803783476943</v>
      </c>
      <c r="AM27" s="55">
        <v>9.7522738727010143</v>
      </c>
      <c r="AN27" s="55">
        <v>9.4597232131634286</v>
      </c>
      <c r="AO27" s="55">
        <v>9.169320195402916</v>
      </c>
      <c r="AP27" s="55">
        <v>8.8812344062825215</v>
      </c>
      <c r="AQ27" s="55">
        <v>8.5956363611760942</v>
      </c>
      <c r="AR27" s="55">
        <v>64.127509059426401</v>
      </c>
      <c r="AS27" s="55">
        <v>64.124548141671539</v>
      </c>
      <c r="AT27" s="55">
        <v>64.121536417731221</v>
      </c>
      <c r="AU27" s="55">
        <v>64.11847342100998</v>
      </c>
      <c r="AV27" s="55">
        <v>64.115358669989774</v>
      </c>
      <c r="AW27" s="55">
        <v>64.112191668041959</v>
      </c>
      <c r="AX27" s="55">
        <v>64.108971903230866</v>
      </c>
      <c r="AY27" s="55">
        <v>64.10569884810873</v>
      </c>
      <c r="AZ27" s="55">
        <v>64.102371959502051</v>
      </c>
      <c r="BA27" s="55">
        <v>64.098990678288956</v>
      </c>
      <c r="BB27" s="55">
        <v>64.095554429167606</v>
      </c>
      <c r="BC27" s="55">
        <v>64.092062620415476</v>
      </c>
      <c r="BD27" s="55">
        <v>64.08851464363913</v>
      </c>
      <c r="BE27" s="55">
        <v>64.084909873514761</v>
      </c>
      <c r="BF27" s="55">
        <v>64.081247667518738</v>
      </c>
      <c r="BG27" s="55">
        <v>64.077527365648464</v>
      </c>
      <c r="BH27" s="55">
        <v>64.073748290133068</v>
      </c>
      <c r="BI27" s="55">
        <v>64.069909745133799</v>
      </c>
      <c r="BJ27" s="55">
        <v>64.066011016434032</v>
      </c>
      <c r="BK27" s="55">
        <v>64.0620513711184</v>
      </c>
      <c r="BL27" s="55">
        <v>65.5165687371194</v>
      </c>
      <c r="BM27" s="55">
        <v>65.515304931460904</v>
      </c>
      <c r="BN27" s="55">
        <v>65.513998192389707</v>
      </c>
      <c r="BO27" s="55">
        <v>65.51264723352152</v>
      </c>
      <c r="BP27" s="55">
        <v>65.511250715585177</v>
      </c>
      <c r="BQ27" s="55">
        <v>65.509807244115564</v>
      </c>
      <c r="BR27" s="55">
        <v>65.508315367035863</v>
      </c>
      <c r="BS27" s="55">
        <v>65.506773572123265</v>
      </c>
      <c r="BT27" s="55">
        <v>65.505180284352662</v>
      </c>
      <c r="BU27" s="55">
        <v>65.503533863111798</v>
      </c>
      <c r="BV27" s="55">
        <v>65.501832599281641</v>
      </c>
      <c r="BW27" s="55">
        <v>65.500074712175063</v>
      </c>
      <c r="BX27" s="55">
        <v>65.49825834632675</v>
      </c>
      <c r="BY27" s="55">
        <v>65.496381568126708</v>
      </c>
      <c r="BZ27" s="55">
        <v>65.494442362289362</v>
      </c>
      <c r="CA27" s="55">
        <v>65.492438628150126</v>
      </c>
      <c r="CB27" s="55">
        <v>65.490368175780418</v>
      </c>
      <c r="CC27" s="55">
        <v>65.48822872191198</v>
      </c>
      <c r="CD27" s="55">
        <v>65.486017885660644</v>
      </c>
      <c r="CE27" s="55">
        <v>65.483733184039494</v>
      </c>
      <c r="CF27" s="55">
        <v>43.134169730216684</v>
      </c>
      <c r="CG27" s="55">
        <v>42.785936062727707</v>
      </c>
      <c r="CH27" s="55">
        <v>42.423103240684</v>
      </c>
      <c r="CI27" s="55">
        <v>42.045095756720556</v>
      </c>
      <c r="CJ27" s="55">
        <v>41.65132322262177</v>
      </c>
      <c r="CK27" s="55">
        <v>41.241181256264561</v>
      </c>
      <c r="CL27" s="55">
        <v>40.814052617892735</v>
      </c>
      <c r="CM27" s="55">
        <v>40.369308632944382</v>
      </c>
      <c r="CN27" s="55">
        <v>39.906310943056774</v>
      </c>
      <c r="CO27" s="55">
        <v>39.424413631627587</v>
      </c>
      <c r="CP27" s="55">
        <v>38.922965775403092</v>
      </c>
      <c r="CQ27" s="55">
        <v>38.401314478959492</v>
      </c>
      <c r="CR27" s="55">
        <v>37.858808454588946</v>
      </c>
      <c r="CS27" s="55">
        <v>37.29480221591367</v>
      </c>
      <c r="CT27" s="55">
        <v>36.708660959410587</v>
      </c>
      <c r="CU27" s="55">
        <v>36.099766213769868</v>
      </c>
      <c r="CV27" s="55">
        <v>35.46752234241179</v>
      </c>
      <c r="CW27" s="55">
        <v>34.811363989254396</v>
      </c>
      <c r="CX27" s="55">
        <v>34.130764561582758</v>
      </c>
      <c r="CY27" s="55">
        <v>33.425245846137834</v>
      </c>
      <c r="CZ27" s="55">
        <v>6.6233528939511919</v>
      </c>
      <c r="DA27" s="55">
        <v>5.5934125729499016</v>
      </c>
      <c r="DB27" s="55">
        <v>4.6450586257173407</v>
      </c>
      <c r="DC27" s="55">
        <v>3.786173914837176</v>
      </c>
      <c r="DD27" s="55">
        <v>3.0226307406783413</v>
      </c>
      <c r="DE27" s="55">
        <v>2.357833528713984</v>
      </c>
      <c r="DF27" s="55">
        <v>1.7923686946310629</v>
      </c>
      <c r="DG27" s="55">
        <v>1.3238210051222614</v>
      </c>
      <c r="DH27" s="55">
        <v>0.94680860843435022</v>
      </c>
      <c r="DI27" s="55">
        <v>0.65326964308088331</v>
      </c>
      <c r="DJ27" s="55">
        <v>0.43300161114111568</v>
      </c>
      <c r="DK27" s="55">
        <v>0.27441370348333582</v>
      </c>
      <c r="DL27" s="55">
        <v>0.16540941087168839</v>
      </c>
      <c r="DM27" s="55">
        <v>9.4283044263614654E-2</v>
      </c>
      <c r="DN27" s="55">
        <v>5.0501137911965505E-2</v>
      </c>
      <c r="DO27" s="55">
        <v>2.5256506789093403E-2</v>
      </c>
      <c r="DP27" s="55">
        <v>1.172900824802448E-2</v>
      </c>
      <c r="DQ27" s="55">
        <v>5.0518673078637812E-3</v>
      </c>
      <c r="DR27" s="55">
        <v>2.045953654585674E-3</v>
      </c>
      <c r="DS27" s="55">
        <v>8.2542744513886197E-4</v>
      </c>
    </row>
    <row r="28" spans="1:123" ht="15.95">
      <c r="A28" s="56" t="s">
        <v>142</v>
      </c>
      <c r="B28" s="53" t="s">
        <v>155</v>
      </c>
      <c r="C28" s="57" t="s">
        <v>160</v>
      </c>
      <c r="D28" s="60">
        <v>31.997969993346203</v>
      </c>
      <c r="E28" s="60">
        <v>32.039062810175608</v>
      </c>
      <c r="F28" s="60">
        <v>32.079057725043626</v>
      </c>
      <c r="G28" s="60">
        <v>32.117938611160028</v>
      </c>
      <c r="H28" s="60">
        <v>32.15568892393707</v>
      </c>
      <c r="I28" s="60">
        <v>32.192291687299296</v>
      </c>
      <c r="J28" s="60">
        <v>32.227729479466248</v>
      </c>
      <c r="K28" s="60">
        <v>32.261984418183793</v>
      </c>
      <c r="L28" s="60">
        <v>32.295038145378363</v>
      </c>
      <c r="M28" s="60">
        <v>32.326871811207042</v>
      </c>
      <c r="N28" s="60">
        <v>32.35746605747552</v>
      </c>
      <c r="O28" s="60">
        <v>32.386801000393902</v>
      </c>
      <c r="P28" s="60">
        <v>32.414856212639791</v>
      </c>
      <c r="Q28" s="60">
        <v>32.441610704695691</v>
      </c>
      <c r="R28" s="60">
        <v>32.467042905426887</v>
      </c>
      <c r="S28" s="60">
        <v>32.491130641864018</v>
      </c>
      <c r="T28" s="60">
        <v>32.513851118152751</v>
      </c>
      <c r="U28" s="60">
        <v>32.53518089363169</v>
      </c>
      <c r="V28" s="60">
        <v>32.555095859997088</v>
      </c>
      <c r="W28" s="60">
        <v>32.573571217511805</v>
      </c>
      <c r="X28" s="60">
        <v>39.779016636555149</v>
      </c>
      <c r="Y28" s="60">
        <v>39.643680609114753</v>
      </c>
      <c r="Z28" s="60">
        <v>39.506380908463292</v>
      </c>
      <c r="AA28" s="60">
        <v>39.367094354850529</v>
      </c>
      <c r="AB28" s="60">
        <v>39.225797452353419</v>
      </c>
      <c r="AC28" s="60">
        <v>39.082466386812591</v>
      </c>
      <c r="AD28" s="60">
        <v>38.937077023844417</v>
      </c>
      <c r="AE28" s="60">
        <v>38.789604906939594</v>
      </c>
      <c r="AF28" s="60">
        <v>38.640025255660525</v>
      </c>
      <c r="AG28" s="60">
        <v>38.488312963950222</v>
      </c>
      <c r="AH28" s="60">
        <v>38.334442598567406</v>
      </c>
      <c r="AI28" s="60">
        <v>38.178388397663184</v>
      </c>
      <c r="AJ28" s="60">
        <v>38.020124269516145</v>
      </c>
      <c r="AK28" s="60">
        <v>37.859623791444534</v>
      </c>
      <c r="AL28" s="60">
        <v>37.69686020891541</v>
      </c>
      <c r="AM28" s="60">
        <v>37.531806434872571</v>
      </c>
      <c r="AN28" s="60">
        <v>37.364435049306998</v>
      </c>
      <c r="AO28" s="60">
        <v>37.194718299095641</v>
      </c>
      <c r="AP28" s="60">
        <v>37.022628098136288</v>
      </c>
      <c r="AQ28" s="60">
        <v>36.848136027809275</v>
      </c>
      <c r="AR28" s="60">
        <v>88.509866853767235</v>
      </c>
      <c r="AS28" s="60">
        <v>88.506905907516682</v>
      </c>
      <c r="AT28" s="60">
        <v>88.503894154216354</v>
      </c>
      <c r="AU28" s="60">
        <v>88.500831127247025</v>
      </c>
      <c r="AV28" s="60">
        <v>88.49771634506611</v>
      </c>
      <c r="AW28" s="60">
        <v>88.494549311019711</v>
      </c>
      <c r="AX28" s="60">
        <v>88.491329513146155</v>
      </c>
      <c r="AY28" s="60">
        <v>88.488056423970917</v>
      </c>
      <c r="AZ28" s="60">
        <v>88.484729500292858</v>
      </c>
      <c r="BA28" s="60">
        <v>88.481348182961682</v>
      </c>
      <c r="BB28" s="60">
        <v>88.477911896646276</v>
      </c>
      <c r="BC28" s="60">
        <v>88.47442004959386</v>
      </c>
      <c r="BD28" s="60">
        <v>88.470872033379976</v>
      </c>
      <c r="BE28" s="60">
        <v>88.467267222648758</v>
      </c>
      <c r="BF28" s="60">
        <v>88.463604974843548</v>
      </c>
      <c r="BG28" s="60">
        <v>88.459884629927714</v>
      </c>
      <c r="BH28" s="60">
        <v>88.456105510095327</v>
      </c>
      <c r="BI28" s="60">
        <v>88.452266919471526</v>
      </c>
      <c r="BJ28" s="60">
        <v>88.44836814380244</v>
      </c>
      <c r="BK28" s="60">
        <v>88.444408450134276</v>
      </c>
      <c r="BL28" s="60">
        <v>87.439470089502706</v>
      </c>
      <c r="BM28" s="60">
        <v>87.438206272418199</v>
      </c>
      <c r="BN28" s="60">
        <v>87.43689952147345</v>
      </c>
      <c r="BO28" s="60">
        <v>87.435548550266446</v>
      </c>
      <c r="BP28" s="60">
        <v>87.434152019507337</v>
      </c>
      <c r="BQ28" s="60">
        <v>87.432708534711367</v>
      </c>
      <c r="BR28" s="60">
        <v>87.431216643780985</v>
      </c>
      <c r="BS28" s="60">
        <v>87.429674834471584</v>
      </c>
      <c r="BT28" s="60">
        <v>87.428081531735046</v>
      </c>
      <c r="BU28" s="60">
        <v>87.426435094934845</v>
      </c>
      <c r="BV28" s="60">
        <v>87.424733814926384</v>
      </c>
      <c r="BW28" s="60">
        <v>87.422975910995547</v>
      </c>
      <c r="BX28" s="60">
        <v>87.421159527648513</v>
      </c>
      <c r="BY28" s="60">
        <v>87.41928273124519</v>
      </c>
      <c r="BZ28" s="60">
        <v>87.417343506468242</v>
      </c>
      <c r="CA28" s="60">
        <v>87.415339752619502</v>
      </c>
      <c r="CB28" s="60">
        <v>87.413269279734905</v>
      </c>
      <c r="CC28" s="60">
        <v>87.411129804508619</v>
      </c>
      <c r="CD28" s="60">
        <v>87.408918946016826</v>
      </c>
      <c r="CE28" s="60">
        <v>87.406634221230576</v>
      </c>
      <c r="CF28" s="60">
        <v>80.974434595048464</v>
      </c>
      <c r="CG28" s="60">
        <v>80.959242803092351</v>
      </c>
      <c r="CH28" s="60">
        <v>80.943388042141493</v>
      </c>
      <c r="CI28" s="60">
        <v>80.926840343727847</v>
      </c>
      <c r="CJ28" s="60">
        <v>80.909568355452805</v>
      </c>
      <c r="CK28" s="60">
        <v>80.891539276056207</v>
      </c>
      <c r="CL28" s="60">
        <v>80.87271878739547</v>
      </c>
      <c r="CM28" s="60">
        <v>80.853070983186115</v>
      </c>
      <c r="CN28" s="60">
        <v>80.832558294348132</v>
      </c>
      <c r="CO28" s="60">
        <v>80.811141410795415</v>
      </c>
      <c r="CP28" s="60">
        <v>80.788779199497441</v>
      </c>
      <c r="CQ28" s="60">
        <v>80.765428618634701</v>
      </c>
      <c r="CR28" s="60">
        <v>80.741044627660742</v>
      </c>
      <c r="CS28" s="60">
        <v>80.715580093075289</v>
      </c>
      <c r="CT28" s="60">
        <v>80.688985689703458</v>
      </c>
      <c r="CU28" s="60">
        <v>80.661209797267162</v>
      </c>
      <c r="CV28" s="60">
        <v>80.632198392024776</v>
      </c>
      <c r="CW28" s="60">
        <v>80.601894933245035</v>
      </c>
      <c r="CX28" s="60">
        <v>80.570240244270892</v>
      </c>
      <c r="CY28" s="60">
        <v>80.537172387918261</v>
      </c>
      <c r="CZ28" s="60">
        <v>29.552820007379527</v>
      </c>
      <c r="DA28" s="60">
        <v>28.453080931793412</v>
      </c>
      <c r="DB28" s="60">
        <v>27.310321404829729</v>
      </c>
      <c r="DC28" s="60">
        <v>26.12551348313033</v>
      </c>
      <c r="DD28" s="60">
        <v>24.900204498083639</v>
      </c>
      <c r="DE28" s="60">
        <v>23.63660480947399</v>
      </c>
      <c r="DF28" s="60">
        <v>22.337678810268585</v>
      </c>
      <c r="DG28" s="60">
        <v>21.007236195027286</v>
      </c>
      <c r="DH28" s="60">
        <v>19.65001929952161</v>
      </c>
      <c r="DI28" s="60">
        <v>18.271780897959644</v>
      </c>
      <c r="DJ28" s="60">
        <v>16.879345241730842</v>
      </c>
      <c r="DK28" s="60">
        <v>15.480643420645551</v>
      </c>
      <c r="DL28" s="60">
        <v>14.084712469190334</v>
      </c>
      <c r="DM28" s="60">
        <v>12.701646254863919</v>
      </c>
      <c r="DN28" s="60">
        <v>11.342485402175255</v>
      </c>
      <c r="DO28" s="60">
        <v>10.019033761655447</v>
      </c>
      <c r="DP28" s="60">
        <v>8.7435907626419773</v>
      </c>
      <c r="DQ28" s="60">
        <v>7.5285929792859632</v>
      </c>
      <c r="DR28" s="60">
        <v>6.3861649398990448</v>
      </c>
      <c r="DS28" s="60">
        <v>5.3275889751452086</v>
      </c>
    </row>
    <row r="29" spans="1:123" ht="15.95">
      <c r="A29" s="56" t="s">
        <v>142</v>
      </c>
      <c r="B29" s="53" t="s">
        <v>155</v>
      </c>
      <c r="C29" s="57" t="s">
        <v>161</v>
      </c>
      <c r="D29" s="60">
        <v>79.453806000000029</v>
      </c>
      <c r="E29" s="60">
        <v>81.086566054723761</v>
      </c>
      <c r="F29" s="60">
        <v>82.761199563724261</v>
      </c>
      <c r="G29" s="60">
        <v>84.478933000031432</v>
      </c>
      <c r="H29" s="60">
        <v>86.241032775044218</v>
      </c>
      <c r="I29" s="60">
        <v>88.048806699008438</v>
      </c>
      <c r="J29" s="60">
        <v>89.903605503022717</v>
      </c>
      <c r="K29" s="60">
        <v>91.806824425594613</v>
      </c>
      <c r="L29" s="60">
        <v>93.75990486693928</v>
      </c>
      <c r="M29" s="60">
        <v>95.764336114393075</v>
      </c>
      <c r="N29" s="60">
        <v>97.821657142505401</v>
      </c>
      <c r="O29" s="60">
        <v>99.933458491576303</v>
      </c>
      <c r="P29" s="60">
        <v>102.10138422862239</v>
      </c>
      <c r="Q29" s="60">
        <v>104.32713399498354</v>
      </c>
      <c r="R29" s="60">
        <v>106.61246514502676</v>
      </c>
      <c r="S29" s="60">
        <v>108.95919498066223</v>
      </c>
      <c r="T29" s="60">
        <v>111.36920308666291</v>
      </c>
      <c r="U29" s="60">
        <v>113.8444337720708</v>
      </c>
      <c r="V29" s="60">
        <v>116.38689862328633</v>
      </c>
      <c r="W29" s="60">
        <v>118.9986791747661</v>
      </c>
      <c r="X29" s="60">
        <v>50.377779000000018</v>
      </c>
      <c r="Y29" s="60">
        <v>51.475883640949675</v>
      </c>
      <c r="Z29" s="60">
        <v>52.60694668056464</v>
      </c>
      <c r="AA29" s="60">
        <v>53.772163611607844</v>
      </c>
      <c r="AB29" s="60">
        <v>54.972780888224577</v>
      </c>
      <c r="AC29" s="60">
        <v>56.210098413985783</v>
      </c>
      <c r="AD29" s="60">
        <v>57.485472164940759</v>
      </c>
      <c r="AE29" s="60">
        <v>58.800316955564412</v>
      </c>
      <c r="AF29" s="60">
        <v>60.156109355966279</v>
      </c>
      <c r="AG29" s="60">
        <v>61.554390769242069</v>
      </c>
      <c r="AH29" s="60">
        <v>62.996770678393503</v>
      </c>
      <c r="AI29" s="60">
        <v>64.484930072822266</v>
      </c>
      <c r="AJ29" s="60">
        <v>66.020625065020141</v>
      </c>
      <c r="AK29" s="60">
        <v>67.605690708732766</v>
      </c>
      <c r="AL29" s="60">
        <v>69.242045030571489</v>
      </c>
      <c r="AM29" s="60">
        <v>70.931693287788633</v>
      </c>
      <c r="AN29" s="60">
        <v>72.676732465719184</v>
      </c>
      <c r="AO29" s="60">
        <v>74.479356029230715</v>
      </c>
      <c r="AP29" s="60">
        <v>76.341858943413598</v>
      </c>
      <c r="AQ29" s="60">
        <v>78.266642979691554</v>
      </c>
      <c r="AR29" s="60">
        <v>118.18600999999997</v>
      </c>
      <c r="AS29" s="60">
        <v>122.23843040211432</v>
      </c>
      <c r="AT29" s="60">
        <v>126.45316524656667</v>
      </c>
      <c r="AU29" s="60">
        <v>130.83720375098156</v>
      </c>
      <c r="AV29" s="60">
        <v>135.39784981501148</v>
      </c>
      <c r="AW29" s="60">
        <v>140.14273666406737</v>
      </c>
      <c r="AX29" s="60">
        <v>145.07984219400183</v>
      </c>
      <c r="AY29" s="60">
        <v>150.21750505118411</v>
      </c>
      <c r="AZ29" s="60">
        <v>155.56444148413863</v>
      </c>
      <c r="BA29" s="60">
        <v>161.12976300474412</v>
      </c>
      <c r="BB29" s="60">
        <v>166.92299489890539</v>
      </c>
      <c r="BC29" s="60">
        <v>172.95409562862969</v>
      </c>
      <c r="BD29" s="60">
        <v>179.23347716955743</v>
      </c>
      <c r="BE29" s="60">
        <v>185.77202633022995</v>
      </c>
      <c r="BF29" s="60">
        <v>192.58112710172094</v>
      </c>
      <c r="BG29" s="60">
        <v>199.67268408872843</v>
      </c>
      <c r="BH29" s="60">
        <v>207.05914707581761</v>
      </c>
      <c r="BI29" s="60">
        <v>214.75353678523783</v>
      </c>
      <c r="BJ29" s="60">
        <v>222.7694718856078</v>
      </c>
      <c r="BK29" s="60">
        <v>231.1211973137884</v>
      </c>
      <c r="BL29" s="60">
        <v>152.33566000000002</v>
      </c>
      <c r="BM29" s="60">
        <v>158.07421116433346</v>
      </c>
      <c r="BN29" s="60">
        <v>164.07237269379897</v>
      </c>
      <c r="BO29" s="60">
        <v>170.34341970834708</v>
      </c>
      <c r="BP29" s="60">
        <v>176.90137254096749</v>
      </c>
      <c r="BQ29" s="60">
        <v>183.76104196085666</v>
      </c>
      <c r="BR29" s="60">
        <v>190.93807732942491</v>
      </c>
      <c r="BS29" s="60">
        <v>198.44901789019178</v>
      </c>
      <c r="BT29" s="60">
        <v>206.31134740803611</v>
      </c>
      <c r="BU29" s="60">
        <v>214.54355238875252</v>
      </c>
      <c r="BV29" s="60">
        <v>223.16518412650379</v>
      </c>
      <c r="BW29" s="60">
        <v>232.19692484464082</v>
      </c>
      <c r="BX29" s="60">
        <v>241.6606582145759</v>
      </c>
      <c r="BY29" s="60">
        <v>251.57954455804838</v>
      </c>
      <c r="BZ29" s="60">
        <v>261.97810106032796</v>
      </c>
      <c r="CA29" s="60">
        <v>272.88228734576751</v>
      </c>
      <c r="CB29" s="60">
        <v>284.31959679279009</v>
      </c>
      <c r="CC29" s="60">
        <v>296.31915399299453</v>
      </c>
      <c r="CD29" s="60">
        <v>308.91181878875346</v>
      </c>
      <c r="CE29" s="60">
        <v>322.13029735561247</v>
      </c>
      <c r="CF29" s="60">
        <v>335.11902000000009</v>
      </c>
      <c r="CG29" s="60">
        <v>345.66881990260407</v>
      </c>
      <c r="CH29" s="60">
        <v>356.63814092719883</v>
      </c>
      <c r="CI29" s="60">
        <v>368.04753785339176</v>
      </c>
      <c r="CJ29" s="60">
        <v>379.91876723366477</v>
      </c>
      <c r="CK29" s="60">
        <v>392.27486709759944</v>
      </c>
      <c r="CL29" s="60">
        <v>405.1402423684076</v>
      </c>
      <c r="CM29" s="60">
        <v>418.54075641958144</v>
      </c>
      <c r="CN29" s="60">
        <v>432.50382923231621</v>
      </c>
      <c r="CO29" s="60">
        <v>447.05854264974494</v>
      </c>
      <c r="CP29" s="60">
        <v>462.23575326217548</v>
      </c>
      <c r="CQ29" s="60">
        <v>478.06821349863992</v>
      </c>
      <c r="CR29" s="60">
        <v>494.590701544387</v>
      </c>
      <c r="CS29" s="60">
        <v>511.84016075174111</v>
      </c>
      <c r="CT29" s="60">
        <v>529.85584926325362</v>
      </c>
      <c r="CU29" s="60">
        <v>548.67950062161788</v>
      </c>
      <c r="CV29" s="60">
        <v>568.35549620068832</v>
      </c>
      <c r="CW29" s="60">
        <v>588.93105035650285</v>
      </c>
      <c r="CX29" s="60">
        <v>610.45640926681085</v>
      </c>
      <c r="CY29" s="60">
        <v>632.98506450266382</v>
      </c>
      <c r="CZ29" s="60">
        <v>430.51747</v>
      </c>
      <c r="DA29" s="60">
        <v>439.33041241842869</v>
      </c>
      <c r="DB29" s="60">
        <v>448.38064327155428</v>
      </c>
      <c r="DC29" s="60">
        <v>457.67536459431091</v>
      </c>
      <c r="DD29" s="60">
        <v>467.22201511279206</v>
      </c>
      <c r="DE29" s="60">
        <v>477.02827850129813</v>
      </c>
      <c r="DF29" s="60">
        <v>487.10209194083677</v>
      </c>
      <c r="DG29" s="60">
        <v>497.45165499047306</v>
      </c>
      <c r="DH29" s="60">
        <v>508.08543878336332</v>
      </c>
      <c r="DI29" s="60">
        <v>519.01219555976866</v>
      </c>
      <c r="DJ29" s="60">
        <v>530.24096854982224</v>
      </c>
      <c r="DK29" s="60">
        <v>541.78110221932002</v>
      </c>
      <c r="DL29" s="60">
        <v>553.64225289232104</v>
      </c>
      <c r="DM29" s="60">
        <v>565.83439976488307</v>
      </c>
      <c r="DN29" s="60">
        <v>578.36785632481349</v>
      </c>
      <c r="DO29" s="60">
        <v>591.25328219290111</v>
      </c>
      <c r="DP29" s="60">
        <v>604.50169540169111</v>
      </c>
      <c r="DQ29" s="60">
        <v>618.12448512850256</v>
      </c>
      <c r="DR29" s="60">
        <v>632.13342490002969</v>
      </c>
      <c r="DS29" s="60">
        <v>646.5406862865575</v>
      </c>
    </row>
    <row r="30" spans="1:123" ht="15.95">
      <c r="A30" s="56" t="s">
        <v>142</v>
      </c>
      <c r="B30" s="53" t="s">
        <v>155</v>
      </c>
      <c r="C30" s="57" t="s">
        <v>162</v>
      </c>
      <c r="D30" s="60">
        <v>9757.9382163266037</v>
      </c>
      <c r="E30" s="60">
        <v>9757.9382163266018</v>
      </c>
      <c r="F30" s="60">
        <v>9757.9382163266037</v>
      </c>
      <c r="G30" s="60">
        <v>9757.9382163266037</v>
      </c>
      <c r="H30" s="60">
        <v>9757.9382163266018</v>
      </c>
      <c r="I30" s="60">
        <v>9757.9382163266037</v>
      </c>
      <c r="J30" s="62">
        <v>9757.9382163266037</v>
      </c>
      <c r="K30" s="62">
        <v>9757.9382163266018</v>
      </c>
      <c r="L30" s="62">
        <v>9757.9382163266037</v>
      </c>
      <c r="M30" s="62">
        <v>9757.9382163266037</v>
      </c>
      <c r="N30" s="62">
        <v>9757.9382163266037</v>
      </c>
      <c r="O30" s="62">
        <v>9757.9382163266037</v>
      </c>
      <c r="P30" s="62">
        <v>9757.9382163266037</v>
      </c>
      <c r="Q30" s="62">
        <v>9757.9382163266037</v>
      </c>
      <c r="R30" s="62">
        <v>9757.9382163266037</v>
      </c>
      <c r="S30" s="62">
        <v>9757.9382163266037</v>
      </c>
      <c r="T30" s="62">
        <v>9757.9382163266037</v>
      </c>
      <c r="U30" s="62">
        <v>9757.9382163266037</v>
      </c>
      <c r="V30" s="62">
        <v>9757.9382163266037</v>
      </c>
      <c r="W30" s="62">
        <v>9757.9382163266037</v>
      </c>
      <c r="X30" s="62">
        <v>11320.811701524199</v>
      </c>
      <c r="Y30" s="62">
        <v>11320.811701524199</v>
      </c>
      <c r="Z30" s="62">
        <v>11320.811701524199</v>
      </c>
      <c r="AA30" s="62">
        <v>11320.811701524199</v>
      </c>
      <c r="AB30" s="62">
        <v>11320.811701524199</v>
      </c>
      <c r="AC30" s="62">
        <v>11320.811701524199</v>
      </c>
      <c r="AD30" s="62">
        <v>11320.811701524199</v>
      </c>
      <c r="AE30" s="62">
        <v>11320.811701524199</v>
      </c>
      <c r="AF30" s="62">
        <v>11320.811701524199</v>
      </c>
      <c r="AG30" s="62">
        <v>11320.811701524199</v>
      </c>
      <c r="AH30" s="62">
        <v>11320.811701524199</v>
      </c>
      <c r="AI30" s="62">
        <v>11320.811701524199</v>
      </c>
      <c r="AJ30" s="62">
        <v>11320.811701524197</v>
      </c>
      <c r="AK30" s="62">
        <v>11320.811701524197</v>
      </c>
      <c r="AL30" s="62">
        <v>11320.811701524199</v>
      </c>
      <c r="AM30" s="62">
        <v>11320.811701524199</v>
      </c>
      <c r="AN30" s="62">
        <v>11320.811701524199</v>
      </c>
      <c r="AO30" s="62">
        <v>11320.811701524199</v>
      </c>
      <c r="AP30" s="62">
        <v>11320.811701524197</v>
      </c>
      <c r="AQ30" s="62">
        <v>11320.811701524199</v>
      </c>
      <c r="AR30" s="62">
        <v>2860.2434416730034</v>
      </c>
      <c r="AS30" s="62">
        <v>2860.2434416730034</v>
      </c>
      <c r="AT30" s="62">
        <v>2860.2434416730034</v>
      </c>
      <c r="AU30" s="62">
        <v>2860.2434416730034</v>
      </c>
      <c r="AV30" s="62">
        <v>2860.2434416730034</v>
      </c>
      <c r="AW30" s="62">
        <v>2860.2434416730034</v>
      </c>
      <c r="AX30" s="62">
        <v>2860.2434416730034</v>
      </c>
      <c r="AY30" s="62">
        <v>2860.243441673003</v>
      </c>
      <c r="AZ30" s="62">
        <v>2860.243441673003</v>
      </c>
      <c r="BA30" s="62">
        <v>2860.2434416730034</v>
      </c>
      <c r="BB30" s="62">
        <v>2860.2434416730034</v>
      </c>
      <c r="BC30" s="62">
        <v>2860.2434416730034</v>
      </c>
      <c r="BD30" s="62">
        <v>2860.2434416730034</v>
      </c>
      <c r="BE30" s="62">
        <v>2860.243441673003</v>
      </c>
      <c r="BF30" s="62">
        <v>2860.2434416730034</v>
      </c>
      <c r="BG30" s="62">
        <v>2860.2434416730034</v>
      </c>
      <c r="BH30" s="62">
        <v>2860.2434416730034</v>
      </c>
      <c r="BI30" s="62">
        <v>2860.2434416730034</v>
      </c>
      <c r="BJ30" s="62">
        <v>2860.2434416730034</v>
      </c>
      <c r="BK30" s="62">
        <v>2860.2434416730034</v>
      </c>
      <c r="BL30" s="62">
        <v>1686.5691854422005</v>
      </c>
      <c r="BM30" s="62">
        <v>1686.5691854422007</v>
      </c>
      <c r="BN30" s="62">
        <v>1686.5691854422005</v>
      </c>
      <c r="BO30" s="62">
        <v>1686.5691854422005</v>
      </c>
      <c r="BP30" s="62">
        <v>1686.5691854422005</v>
      </c>
      <c r="BQ30" s="62">
        <v>1686.5691854422005</v>
      </c>
      <c r="BR30" s="62">
        <v>1686.5691854422005</v>
      </c>
      <c r="BS30" s="62">
        <v>1686.5691854422003</v>
      </c>
      <c r="BT30" s="62">
        <v>1686.5691854422005</v>
      </c>
      <c r="BU30" s="62">
        <v>1686.5691854422005</v>
      </c>
      <c r="BV30" s="62">
        <v>1686.5691854422005</v>
      </c>
      <c r="BW30" s="62">
        <v>1686.5691854422005</v>
      </c>
      <c r="BX30" s="62">
        <v>1686.5691854422003</v>
      </c>
      <c r="BY30" s="62">
        <v>1686.5691854422005</v>
      </c>
      <c r="BZ30" s="62">
        <v>1686.5691854422005</v>
      </c>
      <c r="CA30" s="62">
        <v>1686.5691854422005</v>
      </c>
      <c r="CB30" s="62">
        <v>1686.5691854422005</v>
      </c>
      <c r="CC30" s="62">
        <v>1686.5691854422005</v>
      </c>
      <c r="CD30" s="62">
        <v>1686.5691854422005</v>
      </c>
      <c r="CE30" s="62">
        <v>1686.5691854422003</v>
      </c>
      <c r="CF30" s="62">
        <v>2772.7336693691695</v>
      </c>
      <c r="CG30" s="62">
        <v>2772.7336693691695</v>
      </c>
      <c r="CH30" s="62">
        <v>2772.7336693691695</v>
      </c>
      <c r="CI30" s="62">
        <v>2772.7336693691695</v>
      </c>
      <c r="CJ30" s="62">
        <v>2772.7336693691695</v>
      </c>
      <c r="CK30" s="62">
        <v>2772.7336693691695</v>
      </c>
      <c r="CL30" s="62">
        <v>2772.7336693691695</v>
      </c>
      <c r="CM30" s="62">
        <v>2772.7336693691695</v>
      </c>
      <c r="CN30" s="62">
        <v>2772.7336693691695</v>
      </c>
      <c r="CO30" s="62">
        <v>2772.7336693691695</v>
      </c>
      <c r="CP30" s="62">
        <v>2772.7336693691695</v>
      </c>
      <c r="CQ30" s="62">
        <v>2772.7336693691695</v>
      </c>
      <c r="CR30" s="62">
        <v>2772.7336693691695</v>
      </c>
      <c r="CS30" s="62">
        <v>2772.7336693691695</v>
      </c>
      <c r="CT30" s="62">
        <v>2772.7336693691695</v>
      </c>
      <c r="CU30" s="62">
        <v>2772.7336693691695</v>
      </c>
      <c r="CV30" s="62">
        <v>2772.7336693691695</v>
      </c>
      <c r="CW30" s="62">
        <v>2772.7336693691695</v>
      </c>
      <c r="CX30" s="62">
        <v>2772.73366936917</v>
      </c>
      <c r="CY30" s="62">
        <v>2772.7336693691691</v>
      </c>
      <c r="CZ30" s="62">
        <v>8556.8620478978464</v>
      </c>
      <c r="DA30" s="62">
        <v>8556.8620478978464</v>
      </c>
      <c r="DB30" s="62">
        <v>8556.8620478978464</v>
      </c>
      <c r="DC30" s="62">
        <v>8556.8620478978464</v>
      </c>
      <c r="DD30" s="62">
        <v>8556.8620478978464</v>
      </c>
      <c r="DE30" s="62">
        <v>8556.8620478978464</v>
      </c>
      <c r="DF30" s="62">
        <v>8556.8620478978464</v>
      </c>
      <c r="DG30" s="62">
        <v>8556.8620478978464</v>
      </c>
      <c r="DH30" s="62">
        <v>8556.8620478978464</v>
      </c>
      <c r="DI30" s="62">
        <v>8556.8620478978464</v>
      </c>
      <c r="DJ30" s="62">
        <v>8556.8620478978464</v>
      </c>
      <c r="DK30" s="62">
        <v>8556.8620478978464</v>
      </c>
      <c r="DL30" s="62">
        <v>8556.8620478978482</v>
      </c>
      <c r="DM30" s="62">
        <v>8556.8620478978464</v>
      </c>
      <c r="DN30" s="62">
        <v>8556.8620478978482</v>
      </c>
      <c r="DO30" s="62">
        <v>8556.8620478978464</v>
      </c>
      <c r="DP30" s="62">
        <v>8556.8620478978482</v>
      </c>
      <c r="DQ30" s="62">
        <v>8556.8620478978464</v>
      </c>
      <c r="DR30" s="62">
        <v>8556.8620478978464</v>
      </c>
      <c r="DS30" s="62">
        <v>8556.8620478978482</v>
      </c>
    </row>
    <row r="31" spans="1:123" ht="15.95">
      <c r="A31" s="59" t="s">
        <v>144</v>
      </c>
      <c r="B31" s="55" t="s">
        <v>155</v>
      </c>
      <c r="C31" s="58" t="s">
        <v>163</v>
      </c>
      <c r="D31" s="60">
        <v>1290.6349332</v>
      </c>
      <c r="E31" s="60">
        <v>1299.4606562540901</v>
      </c>
      <c r="F31" s="60">
        <v>1308.45650090552</v>
      </c>
      <c r="G31" s="60">
        <v>1317.62704363797</v>
      </c>
      <c r="H31" s="60">
        <v>1326.9770064377501</v>
      </c>
      <c r="I31" s="60">
        <v>1336.51126194782</v>
      </c>
      <c r="J31" s="62">
        <v>1346.2348388294999</v>
      </c>
      <c r="K31" s="62">
        <v>1356.1529273414801</v>
      </c>
      <c r="L31" s="62">
        <v>1366.2708851464799</v>
      </c>
      <c r="M31" s="62">
        <v>1376.59424335619</v>
      </c>
      <c r="N31" s="62">
        <v>1387.12871282591</v>
      </c>
      <c r="O31" s="62">
        <v>1397.8801907109801</v>
      </c>
      <c r="P31" s="62">
        <v>1408.85476729735</v>
      </c>
      <c r="Q31" s="62">
        <v>1420.0587331199799</v>
      </c>
      <c r="R31" s="62">
        <v>1431.4985863828699</v>
      </c>
      <c r="S31" s="62">
        <v>1443.18104069572</v>
      </c>
      <c r="T31" s="62">
        <v>1455.1130331428999</v>
      </c>
      <c r="U31" s="62">
        <v>1467.3017327012899</v>
      </c>
      <c r="V31" s="62">
        <v>1479.7545490246</v>
      </c>
      <c r="W31" s="62">
        <v>1492.4791416125399</v>
      </c>
      <c r="X31" s="62">
        <v>521.24597960000006</v>
      </c>
      <c r="Y31" s="62">
        <v>532.37732571793299</v>
      </c>
      <c r="Z31" s="62">
        <v>543.821563688335</v>
      </c>
      <c r="AA31" s="62">
        <v>555.58869260831705</v>
      </c>
      <c r="AB31" s="62">
        <v>567.68908040434303</v>
      </c>
      <c r="AC31" s="62">
        <v>580.13347958372594</v>
      </c>
      <c r="AD31" s="62">
        <v>592.93304375974799</v>
      </c>
      <c r="AE31" s="62">
        <v>606.09934499285998</v>
      </c>
      <c r="AF31" s="62">
        <v>619.64439199292303</v>
      </c>
      <c r="AG31" s="62">
        <v>633.58064923011705</v>
      </c>
      <c r="AH31" s="62">
        <v>647.92105700498803</v>
      </c>
      <c r="AI31" s="62">
        <v>662.67905253109598</v>
      </c>
      <c r="AJ31" s="62">
        <v>677.86859208692294</v>
      </c>
      <c r="AK31" s="62">
        <v>693.50417429711001</v>
      </c>
      <c r="AL31" s="62">
        <v>709.60086460667105</v>
      </c>
      <c r="AM31" s="62">
        <v>726.17432101569</v>
      </c>
      <c r="AN31" s="62">
        <v>743.24082114604403</v>
      </c>
      <c r="AO31" s="62">
        <v>760.81729071605503</v>
      </c>
      <c r="AP31" s="62">
        <v>778.92133350353595</v>
      </c>
      <c r="AQ31" s="62">
        <v>797.57126288260702</v>
      </c>
      <c r="AR31" s="62">
        <v>420.59140769999999</v>
      </c>
      <c r="AS31" s="62">
        <v>431.82500348750301</v>
      </c>
      <c r="AT31" s="62">
        <v>443.40262521869897</v>
      </c>
      <c r="AU31" s="62">
        <v>455.33569585676901</v>
      </c>
      <c r="AV31" s="62">
        <v>467.63604876891299</v>
      </c>
      <c r="AW31" s="62">
        <v>480.31594364691</v>
      </c>
      <c r="AX31" s="62">
        <v>493.38808308973103</v>
      </c>
      <c r="AY31" s="62">
        <v>506.86562987740598</v>
      </c>
      <c r="AZ31" s="62">
        <v>520.76222496673404</v>
      </c>
      <c r="BA31" s="62">
        <v>535.09200624082303</v>
      </c>
      <c r="BB31" s="62">
        <v>549.86962804592895</v>
      </c>
      <c r="BC31" s="62">
        <v>565.11028155066504</v>
      </c>
      <c r="BD31" s="62">
        <v>580.82971596422703</v>
      </c>
      <c r="BE31" s="62">
        <v>597.04426065206303</v>
      </c>
      <c r="BF31" s="62">
        <v>613.77084818916205</v>
      </c>
      <c r="BG31" s="62">
        <v>631.027038393054</v>
      </c>
      <c r="BH31" s="62">
        <v>648.83104338058502</v>
      </c>
      <c r="BI31" s="62">
        <v>667.20175369461299</v>
      </c>
      <c r="BJ31" s="62">
        <v>686.15876554893396</v>
      </c>
      <c r="BK31" s="62">
        <v>705.72240924206005</v>
      </c>
      <c r="BL31" s="62">
        <v>552.78647779999994</v>
      </c>
      <c r="BM31" s="62">
        <v>575.08538170196903</v>
      </c>
      <c r="BN31" s="62">
        <v>598.46599707293001</v>
      </c>
      <c r="BO31" s="62">
        <v>622.98754823046397</v>
      </c>
      <c r="BP31" s="62">
        <v>648.71273664458101</v>
      </c>
      <c r="BQ31" s="62">
        <v>675.70795281071901</v>
      </c>
      <c r="BR31" s="62">
        <v>704.043501297994</v>
      </c>
      <c r="BS31" s="62">
        <v>733.79383980242096</v>
      </c>
      <c r="BT31" s="62">
        <v>765.03783308769005</v>
      </c>
      <c r="BU31" s="62">
        <v>797.85902275214005</v>
      </c>
      <c r="BV31" s="62">
        <v>832.34591382040298</v>
      </c>
      <c r="BW31" s="62">
        <v>868.59227922173397</v>
      </c>
      <c r="BX31" s="62">
        <v>906.69748328474896</v>
      </c>
      <c r="BY31" s="62">
        <v>946.766825450331</v>
      </c>
      <c r="BZ31" s="62">
        <v>988.91190548109705</v>
      </c>
      <c r="CA31" s="62">
        <v>1033.2510115274799</v>
      </c>
      <c r="CB31" s="62">
        <v>1079.90953249729</v>
      </c>
      <c r="CC31" s="62">
        <v>1129.02039626808</v>
      </c>
      <c r="CD31" s="62">
        <v>1180.72453538015</v>
      </c>
      <c r="CE31" s="62">
        <v>1235.1713819526101</v>
      </c>
      <c r="CF31" s="62">
        <v>1337.1418971000001</v>
      </c>
      <c r="CG31" s="62">
        <v>1368.66141084642</v>
      </c>
      <c r="CH31" s="62">
        <v>1401.27855366987</v>
      </c>
      <c r="CI31" s="62">
        <v>1435.0418765110001</v>
      </c>
      <c r="CJ31" s="62">
        <v>1470.0023799578801</v>
      </c>
      <c r="CK31" s="62">
        <v>1506.2136482119699</v>
      </c>
      <c r="CL31" s="62">
        <v>1543.7319908388499</v>
      </c>
      <c r="CM31" s="62">
        <v>1582.6165927811601</v>
      </c>
      <c r="CN31" s="62">
        <v>1622.9296731419099</v>
      </c>
      <c r="CO31" s="62">
        <v>1664.73665327919</v>
      </c>
      <c r="CP31" s="62">
        <v>1708.1063347883201</v>
      </c>
      <c r="CQ31" s="62">
        <v>1753.1110879852599</v>
      </c>
      <c r="CR31" s="62">
        <v>1799.82705154471</v>
      </c>
      <c r="CS31" s="62">
        <v>1848.33434398946</v>
      </c>
      <c r="CT31" s="62">
        <v>1898.71728777303</v>
      </c>
      <c r="CU31" s="62">
        <v>1951.0646467465799</v>
      </c>
      <c r="CV31" s="62">
        <v>2005.4698778532299</v>
      </c>
      <c r="CW31" s="62">
        <v>2062.03139794872</v>
      </c>
      <c r="CX31" s="62">
        <v>2120.852866707</v>
      </c>
      <c r="CY31" s="62">
        <v>2182.0434866330402</v>
      </c>
      <c r="CZ31" s="62">
        <v>2408.5001477999999</v>
      </c>
      <c r="DA31" s="62">
        <v>2440.4414272264298</v>
      </c>
      <c r="DB31" s="62">
        <v>2473.2397466995299</v>
      </c>
      <c r="DC31" s="62">
        <v>2506.9196070763601</v>
      </c>
      <c r="DD31" s="62">
        <v>2541.5062841698</v>
      </c>
      <c r="DE31" s="62">
        <v>2577.02585497875</v>
      </c>
      <c r="DF31" s="62">
        <v>2613.5052248544898</v>
      </c>
      <c r="DG31" s="62">
        <v>2650.9721556377499</v>
      </c>
      <c r="DH31" s="62">
        <v>2689.45529480295</v>
      </c>
      <c r="DI31" s="62">
        <v>2728.9842056467501</v>
      </c>
      <c r="DJ31" s="62">
        <v>2769.5893985602102</v>
      </c>
      <c r="DK31" s="62">
        <v>2811.3023634247002</v>
      </c>
      <c r="DL31" s="62">
        <v>2854.15560317375</v>
      </c>
      <c r="DM31" s="62">
        <v>2898.1826685644301</v>
      </c>
      <c r="DN31" s="62">
        <v>2943.4181942034802</v>
      </c>
      <c r="DO31" s="62">
        <v>2989.8979358753299</v>
      </c>
      <c r="DP31" s="62">
        <v>3037.6588092207999</v>
      </c>
      <c r="DQ31" s="62">
        <v>3086.7389298172902</v>
      </c>
      <c r="DR31" s="62">
        <v>3137.1776547131399</v>
      </c>
      <c r="DS31" s="62">
        <v>3189.0156254709</v>
      </c>
    </row>
    <row r="34" spans="1:1" ht="18.95">
      <c r="A34" s="42" t="s">
        <v>164</v>
      </c>
    </row>
    <row r="52" spans="1:1" ht="18.95">
      <c r="A52" s="42" t="s">
        <v>165</v>
      </c>
    </row>
    <row r="69" spans="1:1" ht="18.95">
      <c r="A69" s="42" t="s">
        <v>166</v>
      </c>
    </row>
    <row r="85" spans="1:1" ht="18.95">
      <c r="A85" s="42" t="s">
        <v>167</v>
      </c>
    </row>
    <row r="102" spans="1:1" ht="18.95">
      <c r="A102" s="42" t="s">
        <v>168</v>
      </c>
    </row>
    <row r="119" spans="1:1" ht="18.95">
      <c r="A119" s="42" t="s">
        <v>169</v>
      </c>
    </row>
    <row r="137" spans="1:1" ht="18.95">
      <c r="A137" s="42" t="s">
        <v>170</v>
      </c>
    </row>
    <row r="154" spans="1:1" ht="18.95">
      <c r="A154" s="42" t="s">
        <v>171</v>
      </c>
    </row>
  </sheetData>
  <protectedRanges>
    <protectedRange algorithmName="SHA-512" hashValue="tJ07WnsgJyyGiJEBfxwI7d1pcgV+ZuMfIB9UYhTCZc0ENq8/viNCEdFfWwx30SyaeoBHdFg2pbga5+S7D3rYKA==" saltValue="BT7WbpsH4vhuWkptaEq9pA==" spinCount="100000" sqref="D5 X3:X4 AR3:AR4 BL3:BL4 CF3:CF4 CZ3:CZ4 D3:E3 D22:D23 X22:X23 AR22:AR23 BL22:BL23 CF22:CF23 CZ22:CZ23 B22:C24 B25:B31 B3:C8 B9:B20" name="Range1_1"/>
    <protectedRange algorithmName="SHA-512" hashValue="NmN9tiW5US+EDfCjnYkTgZBDD7I1s5NUh1F96KNwVdhFLIwl6AFq00z57smkVzYrUFltG9JznLfkAswzc7EPVw==" saltValue="7mOsyDnSZAAmoYChL3kvfQ==" spinCount="100000" sqref="C9:C10 C25" name="Range1_1_1"/>
    <protectedRange algorithmName="SHA-512" hashValue="qWEaPBMhAZIjvUsZEEFaqPbxbK/7dHzr++XHjlYsvCqqmfKvVM+CxRCEK/G9LuhjNYs5N2l4td1WuNiistWgQg==" saltValue="OOG5WURMhGg0Luxnq6CFBQ==" spinCount="100000" sqref="C31 C13:C15" name="Range1_2"/>
    <protectedRange algorithmName="SHA-512" hashValue="+rM9cOhDQIUCA/0wgEmkMyg8kgdMqBjfDdw0T4oS8aqmolN9KCspcf4dwzTDLTJDMnI231gcGZQy+R9dkeIZ3w==" saltValue="g9/SIj7GlndbIcIoQJPbyA==" spinCount="100000" sqref="C16:C20" name="Range1_3"/>
    <protectedRange algorithmName="SHA-512" hashValue="NmN9tiW5US+EDfCjnYkTgZBDD7I1s5NUh1F96KNwVdhFLIwl6AFq00z57smkVzYrUFltG9JznLfkAswzc7EPVw==" saltValue="7mOsyDnSZAAmoYChL3kvfQ==" spinCount="100000" sqref="AR24:BK24 C11 CF11:XFD11" name="Range1_1_2"/>
  </protectedRanges>
  <mergeCells count="18">
    <mergeCell ref="C3:C4"/>
    <mergeCell ref="B3:B4"/>
    <mergeCell ref="A3:A4"/>
    <mergeCell ref="A22:A23"/>
    <mergeCell ref="B22:B23"/>
    <mergeCell ref="C22:C23"/>
    <mergeCell ref="CZ22:DS22"/>
    <mergeCell ref="D3:D4"/>
    <mergeCell ref="E3:E4"/>
    <mergeCell ref="F3:F4"/>
    <mergeCell ref="G3:G4"/>
    <mergeCell ref="H3:H4"/>
    <mergeCell ref="I3:I4"/>
    <mergeCell ref="D22:W22"/>
    <mergeCell ref="X22:AQ22"/>
    <mergeCell ref="AR22:BK22"/>
    <mergeCell ref="BL22:CE22"/>
    <mergeCell ref="CF22:CY22"/>
  </mergeCells>
  <phoneticPr fontId="15" type="noConversion"/>
  <hyperlinks>
    <hyperlink ref="A2" r:id="rId1" display="../../../../../../:x:/r/sites/CGIARTransitionandInception-Generaldocsandinfo/Shared Documents/Inception Phase templates/Prioritisation template and resources/Projected Benefits Data (Nov 2024) - With Analysis.xlsx?d=w7936eb4a6e9c499ca7a8759f3077695a&amp;csf=1&amp;web=1&amp;e=OJdygz" xr:uid="{0B5A1B6B-F34D-47D8-B4E0-C4E7B12E83C2}"/>
    <hyperlink ref="A1" r:id="rId2" display="../../../../../../:x:/s/CGIARTransitionandInception-Generaldocsandinfo/ES0wPZ9b6VFBpOBI6M1voBwBTuh_RNQ1Iu8iQhUceODEjA?e=SmqxFU" xr:uid="{A42AA460-F778-46A6-AC0B-AF807EBC1245}"/>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E2E4A-83D1-4AAD-B2BB-E2160EF2F3EB}">
  <dimension ref="A1:O44"/>
  <sheetViews>
    <sheetView workbookViewId="0">
      <pane xSplit="3" ySplit="10" topLeftCell="D22" activePane="bottomRight" state="frozen"/>
      <selection pane="bottomRight" activeCell="C28" sqref="C28"/>
      <selection pane="bottomLeft" activeCell="A11" sqref="A11"/>
      <selection pane="topRight" activeCell="D1" sqref="D1"/>
    </sheetView>
  </sheetViews>
  <sheetFormatPr defaultColWidth="8.85546875" defaultRowHeight="15"/>
  <cols>
    <col min="1" max="1" width="10" style="25" bestFit="1" customWidth="1"/>
    <col min="2" max="2" width="8.85546875" style="25"/>
    <col min="3" max="3" width="30.140625" style="25" customWidth="1"/>
    <col min="4" max="9" width="8.85546875" style="27"/>
    <col min="10" max="10" width="8.85546875" style="25"/>
    <col min="11" max="15" width="17.85546875" style="25" customWidth="1"/>
    <col min="16" max="16384" width="8.85546875" style="25"/>
  </cols>
  <sheetData>
    <row r="1" spans="1:15" s="19" customFormat="1" ht="15.95" thickBot="1">
      <c r="C1" s="20" t="s">
        <v>172</v>
      </c>
    </row>
    <row r="2" spans="1:15" customFormat="1" ht="15.95" thickBot="1">
      <c r="A2" s="9" t="s">
        <v>71</v>
      </c>
      <c r="B2" s="2">
        <v>5</v>
      </c>
      <c r="D2" s="6" t="s">
        <v>9</v>
      </c>
      <c r="E2" s="7" t="s">
        <v>10</v>
      </c>
      <c r="F2" s="7" t="s">
        <v>11</v>
      </c>
      <c r="G2" s="7" t="s">
        <v>12</v>
      </c>
      <c r="H2" s="7" t="s">
        <v>13</v>
      </c>
      <c r="I2" s="8" t="s">
        <v>14</v>
      </c>
    </row>
    <row r="3" spans="1:15" customFormat="1">
      <c r="A3" s="10" t="s">
        <v>72</v>
      </c>
      <c r="B3" s="3">
        <v>4</v>
      </c>
      <c r="C3" t="s">
        <v>173</v>
      </c>
      <c r="D3">
        <f>SUM(D11:D61)</f>
        <v>104</v>
      </c>
      <c r="E3">
        <f t="shared" ref="E3:I3" si="0">SUM(E11:E61)</f>
        <v>104</v>
      </c>
      <c r="F3">
        <f t="shared" si="0"/>
        <v>104</v>
      </c>
      <c r="G3">
        <f t="shared" si="0"/>
        <v>104</v>
      </c>
      <c r="H3">
        <f t="shared" si="0"/>
        <v>104</v>
      </c>
      <c r="I3">
        <f t="shared" si="0"/>
        <v>104</v>
      </c>
    </row>
    <row r="4" spans="1:15" customFormat="1">
      <c r="A4" s="11" t="s">
        <v>73</v>
      </c>
      <c r="B4" s="3">
        <v>3</v>
      </c>
      <c r="C4" t="s">
        <v>174</v>
      </c>
      <c r="D4">
        <f>COUNTIF(D$11:D$61, 5)</f>
        <v>5</v>
      </c>
      <c r="E4">
        <f t="shared" ref="E4:I4" si="1">COUNTIF(E$11:E$61, 5)</f>
        <v>7</v>
      </c>
      <c r="F4">
        <f t="shared" si="1"/>
        <v>5</v>
      </c>
      <c r="G4">
        <f t="shared" si="1"/>
        <v>7</v>
      </c>
      <c r="H4">
        <f t="shared" si="1"/>
        <v>4</v>
      </c>
      <c r="I4">
        <f t="shared" si="1"/>
        <v>6</v>
      </c>
    </row>
    <row r="5" spans="1:15" customFormat="1">
      <c r="A5" s="12" t="s">
        <v>74</v>
      </c>
      <c r="B5" s="3">
        <v>2</v>
      </c>
      <c r="C5" t="s">
        <v>175</v>
      </c>
      <c r="D5">
        <f>COUNTIF(D$11:D$61, 4)</f>
        <v>10</v>
      </c>
      <c r="E5">
        <f t="shared" ref="E5:I5" si="2">COUNTIF(E$11:E$61, 4)</f>
        <v>7</v>
      </c>
      <c r="F5">
        <f t="shared" si="2"/>
        <v>7</v>
      </c>
      <c r="G5">
        <f t="shared" si="2"/>
        <v>8</v>
      </c>
      <c r="H5">
        <f t="shared" si="2"/>
        <v>12</v>
      </c>
      <c r="I5">
        <f t="shared" si="2"/>
        <v>9</v>
      </c>
    </row>
    <row r="6" spans="1:15" customFormat="1" ht="15.95" thickBot="1">
      <c r="A6" s="13" t="s">
        <v>75</v>
      </c>
      <c r="B6" s="4">
        <v>1</v>
      </c>
      <c r="C6" t="s">
        <v>176</v>
      </c>
      <c r="D6">
        <f>COUNTIF(D$11:D$61, 3)</f>
        <v>6</v>
      </c>
      <c r="E6">
        <f t="shared" ref="E6:I6" si="3">COUNTIF(E$11:E$61, 3)</f>
        <v>5</v>
      </c>
      <c r="F6">
        <f t="shared" si="3"/>
        <v>10</v>
      </c>
      <c r="G6">
        <f t="shared" si="3"/>
        <v>6</v>
      </c>
      <c r="H6">
        <f t="shared" si="3"/>
        <v>4</v>
      </c>
      <c r="I6">
        <f t="shared" si="3"/>
        <v>5</v>
      </c>
    </row>
    <row r="7" spans="1:15" customFormat="1">
      <c r="C7" t="s">
        <v>177</v>
      </c>
      <c r="D7">
        <f>COUNTIF(D$11:D$61, 2)</f>
        <v>8</v>
      </c>
      <c r="E7">
        <f t="shared" ref="E7:I7" si="4">COUNTIF(E$11:E$61, 2)</f>
        <v>11</v>
      </c>
      <c r="F7">
        <f t="shared" si="4"/>
        <v>9</v>
      </c>
      <c r="G7">
        <f t="shared" si="4"/>
        <v>6</v>
      </c>
      <c r="H7">
        <f t="shared" si="4"/>
        <v>10</v>
      </c>
      <c r="I7">
        <f t="shared" si="4"/>
        <v>9</v>
      </c>
    </row>
    <row r="8" spans="1:15" customFormat="1">
      <c r="C8" t="s">
        <v>178</v>
      </c>
      <c r="D8">
        <f>COUNTIF(D$11:D$61, 1)</f>
        <v>5</v>
      </c>
      <c r="E8">
        <f t="shared" ref="E8:I8" si="5">COUNTIF(E$11:E$61, 1)</f>
        <v>4</v>
      </c>
      <c r="F8">
        <f t="shared" si="5"/>
        <v>3</v>
      </c>
      <c r="G8">
        <f t="shared" si="5"/>
        <v>7</v>
      </c>
      <c r="H8">
        <f t="shared" si="5"/>
        <v>4</v>
      </c>
      <c r="I8">
        <f t="shared" si="5"/>
        <v>5</v>
      </c>
      <c r="K8" s="86" t="s">
        <v>179</v>
      </c>
      <c r="L8" s="86" t="s">
        <v>180</v>
      </c>
      <c r="M8" s="86" t="s">
        <v>181</v>
      </c>
      <c r="N8" s="86" t="s">
        <v>182</v>
      </c>
      <c r="O8" s="86" t="s">
        <v>183</v>
      </c>
    </row>
    <row r="9" spans="1:15" customFormat="1" ht="15.95" thickBot="1">
      <c r="K9" s="86"/>
      <c r="L9" s="86"/>
      <c r="M9" s="86"/>
      <c r="N9" s="86"/>
      <c r="O9" s="86"/>
    </row>
    <row r="10" spans="1:15" ht="15.95" thickBot="1">
      <c r="C10" s="26" t="s">
        <v>184</v>
      </c>
      <c r="D10" s="22" t="s">
        <v>9</v>
      </c>
      <c r="E10" s="23" t="s">
        <v>10</v>
      </c>
      <c r="F10" s="23" t="s">
        <v>11</v>
      </c>
      <c r="G10" s="23" t="s">
        <v>12</v>
      </c>
      <c r="H10" s="23" t="s">
        <v>13</v>
      </c>
      <c r="I10" s="24" t="s">
        <v>14</v>
      </c>
      <c r="K10" s="86"/>
      <c r="L10" s="86"/>
      <c r="M10" s="86"/>
      <c r="N10" s="86"/>
      <c r="O10" s="86"/>
    </row>
    <row r="11" spans="1:15">
      <c r="A11" t="s">
        <v>78</v>
      </c>
      <c r="B11" s="30">
        <f>COUNTA(C11:C61)</f>
        <v>34</v>
      </c>
      <c r="C11" t="s">
        <v>79</v>
      </c>
      <c r="D11">
        <v>4</v>
      </c>
      <c r="E11">
        <v>4</v>
      </c>
      <c r="F11">
        <v>3</v>
      </c>
      <c r="G11">
        <v>3</v>
      </c>
      <c r="H11">
        <v>4</v>
      </c>
      <c r="I11">
        <v>4</v>
      </c>
      <c r="K11" t="s">
        <v>185</v>
      </c>
      <c r="L11" t="s">
        <v>186</v>
      </c>
      <c r="M11" t="s">
        <v>187</v>
      </c>
      <c r="N11" t="s">
        <v>188</v>
      </c>
      <c r="O11" t="s">
        <v>189</v>
      </c>
    </row>
    <row r="12" spans="1:15">
      <c r="A12" t="s">
        <v>80</v>
      </c>
      <c r="B12" s="31">
        <f>_xlfn.FLOOR.MATH(B11/5)</f>
        <v>6</v>
      </c>
      <c r="C12" t="s">
        <v>81</v>
      </c>
      <c r="D12">
        <v>4</v>
      </c>
      <c r="E12">
        <v>4</v>
      </c>
      <c r="F12">
        <v>3</v>
      </c>
      <c r="G12">
        <v>3</v>
      </c>
      <c r="H12">
        <v>4</v>
      </c>
      <c r="I12">
        <v>4</v>
      </c>
      <c r="K12" t="s">
        <v>190</v>
      </c>
      <c r="L12" t="s">
        <v>191</v>
      </c>
      <c r="M12" t="s">
        <v>192</v>
      </c>
      <c r="N12" t="s">
        <v>193</v>
      </c>
      <c r="O12" t="s">
        <v>194</v>
      </c>
    </row>
    <row r="13" spans="1:15">
      <c r="A13" t="s">
        <v>82</v>
      </c>
      <c r="B13" s="31">
        <f>MOD(B11,5)</f>
        <v>4</v>
      </c>
      <c r="C13" t="s">
        <v>83</v>
      </c>
      <c r="D13">
        <v>4</v>
      </c>
      <c r="E13">
        <v>2</v>
      </c>
      <c r="F13">
        <v>3</v>
      </c>
      <c r="G13">
        <v>3</v>
      </c>
      <c r="H13">
        <v>4</v>
      </c>
      <c r="I13">
        <v>4</v>
      </c>
      <c r="K13" t="s">
        <v>195</v>
      </c>
      <c r="L13" t="s">
        <v>196</v>
      </c>
      <c r="M13" t="s">
        <v>197</v>
      </c>
      <c r="N13" t="s">
        <v>198</v>
      </c>
      <c r="O13" t="s">
        <v>199</v>
      </c>
    </row>
    <row r="14" spans="1:15">
      <c r="A14" t="s">
        <v>84</v>
      </c>
      <c r="B14" s="30">
        <f ca="1">(B12*SUM($B$2:$B$6))+IF(B11=0,0,SUM($B$2:INDEX(B:B,$B$13+1)))</f>
        <v>104</v>
      </c>
      <c r="C14" t="s">
        <v>85</v>
      </c>
      <c r="D14">
        <v>4</v>
      </c>
      <c r="E14">
        <v>4</v>
      </c>
      <c r="F14">
        <v>3</v>
      </c>
      <c r="G14">
        <v>2</v>
      </c>
      <c r="H14">
        <v>4</v>
      </c>
      <c r="I14">
        <v>4</v>
      </c>
      <c r="K14" t="s">
        <v>200</v>
      </c>
      <c r="L14" t="s">
        <v>201</v>
      </c>
      <c r="M14" t="s">
        <v>202</v>
      </c>
      <c r="N14" t="s">
        <v>203</v>
      </c>
      <c r="O14" t="s">
        <v>204</v>
      </c>
    </row>
    <row r="15" spans="1:15" ht="17.100000000000001">
      <c r="C15" t="s">
        <v>86</v>
      </c>
      <c r="D15">
        <v>5</v>
      </c>
      <c r="E15">
        <v>5</v>
      </c>
      <c r="F15">
        <v>3</v>
      </c>
      <c r="G15">
        <v>5</v>
      </c>
      <c r="H15">
        <v>5</v>
      </c>
      <c r="I15">
        <v>5</v>
      </c>
      <c r="K15" s="70" t="s">
        <v>205</v>
      </c>
      <c r="L15" s="70" t="s">
        <v>206</v>
      </c>
      <c r="M15" s="70" t="s">
        <v>207</v>
      </c>
      <c r="N15" s="70" t="s">
        <v>208</v>
      </c>
      <c r="O15" s="70" t="s">
        <v>209</v>
      </c>
    </row>
    <row r="16" spans="1:15" ht="17.100000000000001">
      <c r="C16" t="s">
        <v>87</v>
      </c>
      <c r="D16">
        <v>5</v>
      </c>
      <c r="E16">
        <v>4</v>
      </c>
      <c r="F16">
        <v>3</v>
      </c>
      <c r="G16">
        <v>5</v>
      </c>
      <c r="H16">
        <v>5</v>
      </c>
      <c r="I16">
        <v>4</v>
      </c>
      <c r="K16" s="70" t="s">
        <v>210</v>
      </c>
      <c r="L16" s="70" t="s">
        <v>211</v>
      </c>
      <c r="M16" s="70" t="s">
        <v>212</v>
      </c>
      <c r="N16" s="70" t="s">
        <v>213</v>
      </c>
      <c r="O16" s="70" t="s">
        <v>214</v>
      </c>
    </row>
    <row r="17" spans="3:15" ht="17.100000000000001">
      <c r="C17" t="s">
        <v>88</v>
      </c>
      <c r="D17">
        <v>5</v>
      </c>
      <c r="E17">
        <v>2</v>
      </c>
      <c r="F17">
        <v>3</v>
      </c>
      <c r="G17">
        <v>3</v>
      </c>
      <c r="H17">
        <v>5</v>
      </c>
      <c r="I17">
        <v>4</v>
      </c>
      <c r="K17" s="70" t="s">
        <v>215</v>
      </c>
      <c r="L17" s="70" t="s">
        <v>216</v>
      </c>
      <c r="M17" s="70" t="s">
        <v>217</v>
      </c>
      <c r="N17" s="70" t="s">
        <v>218</v>
      </c>
      <c r="O17" s="70" t="s">
        <v>219</v>
      </c>
    </row>
    <row r="18" spans="3:15" ht="17.100000000000001">
      <c r="C18" t="s">
        <v>89</v>
      </c>
      <c r="D18">
        <v>4</v>
      </c>
      <c r="E18">
        <v>4</v>
      </c>
      <c r="F18">
        <v>2</v>
      </c>
      <c r="G18">
        <v>5</v>
      </c>
      <c r="H18">
        <v>4</v>
      </c>
      <c r="I18">
        <v>4</v>
      </c>
      <c r="K18" s="70" t="s">
        <v>220</v>
      </c>
      <c r="L18" s="70" t="s">
        <v>221</v>
      </c>
      <c r="M18" s="70" t="s">
        <v>222</v>
      </c>
      <c r="N18" s="70" t="s">
        <v>223</v>
      </c>
      <c r="O18" s="70" t="s">
        <v>224</v>
      </c>
    </row>
    <row r="19" spans="3:15">
      <c r="C19" t="s">
        <v>90</v>
      </c>
      <c r="D19">
        <v>5</v>
      </c>
      <c r="E19">
        <v>5</v>
      </c>
      <c r="F19">
        <v>2</v>
      </c>
      <c r="G19">
        <v>2</v>
      </c>
      <c r="H19">
        <v>4</v>
      </c>
      <c r="I19">
        <v>5</v>
      </c>
      <c r="K19" t="s">
        <v>225</v>
      </c>
      <c r="L19" t="s">
        <v>226</v>
      </c>
      <c r="M19" t="s">
        <v>227</v>
      </c>
      <c r="N19" t="s">
        <v>228</v>
      </c>
      <c r="O19" t="s">
        <v>229</v>
      </c>
    </row>
    <row r="20" spans="3:15">
      <c r="C20" t="s">
        <v>91</v>
      </c>
      <c r="D20">
        <v>4</v>
      </c>
      <c r="E20">
        <v>5</v>
      </c>
      <c r="F20">
        <v>2</v>
      </c>
      <c r="G20">
        <v>2</v>
      </c>
      <c r="H20">
        <v>2</v>
      </c>
      <c r="I20">
        <v>4</v>
      </c>
      <c r="K20" t="s">
        <v>230</v>
      </c>
      <c r="L20" t="s">
        <v>231</v>
      </c>
      <c r="M20" t="s">
        <v>232</v>
      </c>
      <c r="N20" t="s">
        <v>233</v>
      </c>
      <c r="O20" t="s">
        <v>234</v>
      </c>
    </row>
    <row r="21" spans="3:15">
      <c r="C21" t="s">
        <v>92</v>
      </c>
      <c r="D21">
        <v>4</v>
      </c>
      <c r="E21">
        <v>2</v>
      </c>
      <c r="F21">
        <v>2</v>
      </c>
      <c r="G21">
        <v>2</v>
      </c>
      <c r="H21">
        <v>2</v>
      </c>
      <c r="I21">
        <v>2</v>
      </c>
      <c r="K21" t="s">
        <v>235</v>
      </c>
      <c r="L21" t="s">
        <v>236</v>
      </c>
      <c r="M21" t="s">
        <v>237</v>
      </c>
      <c r="N21" t="s">
        <v>238</v>
      </c>
      <c r="O21" t="s">
        <v>239</v>
      </c>
    </row>
    <row r="22" spans="3:15">
      <c r="C22" t="s">
        <v>93</v>
      </c>
      <c r="D22">
        <v>4</v>
      </c>
      <c r="E22">
        <v>2</v>
      </c>
      <c r="F22">
        <v>2</v>
      </c>
      <c r="G22">
        <v>2</v>
      </c>
      <c r="H22">
        <v>2</v>
      </c>
      <c r="I22">
        <v>2</v>
      </c>
      <c r="K22" t="s">
        <v>240</v>
      </c>
      <c r="L22" t="s">
        <v>241</v>
      </c>
      <c r="M22" t="s">
        <v>242</v>
      </c>
      <c r="N22" t="s">
        <v>243</v>
      </c>
      <c r="O22" t="s">
        <v>244</v>
      </c>
    </row>
    <row r="23" spans="3:15">
      <c r="C23" t="s">
        <v>94</v>
      </c>
      <c r="D23">
        <v>2</v>
      </c>
      <c r="E23">
        <v>2</v>
      </c>
      <c r="F23">
        <v>2</v>
      </c>
      <c r="G23">
        <v>2</v>
      </c>
      <c r="H23">
        <v>2</v>
      </c>
      <c r="I23">
        <v>4</v>
      </c>
      <c r="K23" t="s">
        <v>245</v>
      </c>
      <c r="L23" t="s">
        <v>246</v>
      </c>
      <c r="M23" t="s">
        <v>247</v>
      </c>
      <c r="N23" t="s">
        <v>248</v>
      </c>
      <c r="O23" t="s">
        <v>249</v>
      </c>
    </row>
    <row r="24" spans="3:15">
      <c r="C24" t="s">
        <v>95</v>
      </c>
      <c r="D24">
        <v>3</v>
      </c>
      <c r="E24">
        <v>3</v>
      </c>
      <c r="F24">
        <v>3</v>
      </c>
      <c r="G24">
        <v>3</v>
      </c>
      <c r="H24">
        <v>3</v>
      </c>
      <c r="I24">
        <v>3</v>
      </c>
      <c r="K24" t="s">
        <v>250</v>
      </c>
      <c r="L24" t="s">
        <v>251</v>
      </c>
      <c r="M24" t="s">
        <v>252</v>
      </c>
      <c r="N24" t="s">
        <v>253</v>
      </c>
      <c r="O24" t="s">
        <v>254</v>
      </c>
    </row>
    <row r="25" spans="3:15">
      <c r="C25" t="s">
        <v>96</v>
      </c>
      <c r="D25">
        <v>3</v>
      </c>
      <c r="E25">
        <v>2</v>
      </c>
      <c r="F25">
        <v>4</v>
      </c>
      <c r="G25">
        <v>4</v>
      </c>
      <c r="H25">
        <v>2</v>
      </c>
      <c r="I25">
        <v>3</v>
      </c>
      <c r="K25" t="s">
        <v>255</v>
      </c>
      <c r="L25" t="s">
        <v>256</v>
      </c>
      <c r="M25" t="s">
        <v>257</v>
      </c>
      <c r="N25" t="s">
        <v>258</v>
      </c>
      <c r="O25" t="s">
        <v>259</v>
      </c>
    </row>
    <row r="26" spans="3:15">
      <c r="C26" t="s">
        <v>97</v>
      </c>
      <c r="D26">
        <v>4</v>
      </c>
      <c r="E26">
        <v>4</v>
      </c>
      <c r="F26">
        <v>5</v>
      </c>
      <c r="G26">
        <v>5</v>
      </c>
      <c r="H26">
        <v>4</v>
      </c>
      <c r="I26">
        <v>5</v>
      </c>
      <c r="K26" t="s">
        <v>260</v>
      </c>
      <c r="L26" t="s">
        <v>261</v>
      </c>
      <c r="M26" t="s">
        <v>262</v>
      </c>
      <c r="N26" t="s">
        <v>263</v>
      </c>
      <c r="O26" t="s">
        <v>264</v>
      </c>
    </row>
    <row r="27" spans="3:15">
      <c r="C27" t="s">
        <v>98</v>
      </c>
      <c r="D27">
        <v>3</v>
      </c>
      <c r="E27">
        <v>2</v>
      </c>
      <c r="F27">
        <v>4</v>
      </c>
      <c r="G27">
        <v>4</v>
      </c>
      <c r="H27">
        <v>2</v>
      </c>
      <c r="I27">
        <v>2</v>
      </c>
      <c r="K27" t="s">
        <v>265</v>
      </c>
      <c r="L27" t="s">
        <v>266</v>
      </c>
      <c r="M27" t="s">
        <v>267</v>
      </c>
      <c r="N27" t="s">
        <v>268</v>
      </c>
      <c r="O27" t="s">
        <v>269</v>
      </c>
    </row>
    <row r="28" spans="3:15">
      <c r="C28" t="s">
        <v>99</v>
      </c>
      <c r="D28">
        <v>5</v>
      </c>
      <c r="E28">
        <v>5</v>
      </c>
      <c r="F28">
        <v>2</v>
      </c>
      <c r="G28">
        <v>5</v>
      </c>
      <c r="H28">
        <v>5</v>
      </c>
      <c r="I28">
        <v>5</v>
      </c>
      <c r="K28" t="s">
        <v>270</v>
      </c>
      <c r="L28" t="s">
        <v>271</v>
      </c>
      <c r="M28" t="s">
        <v>272</v>
      </c>
      <c r="N28" t="s">
        <v>273</v>
      </c>
      <c r="O28" t="s">
        <v>274</v>
      </c>
    </row>
    <row r="29" spans="3:15">
      <c r="C29" t="s">
        <v>100</v>
      </c>
      <c r="D29">
        <v>2</v>
      </c>
      <c r="E29">
        <v>5</v>
      </c>
      <c r="F29">
        <v>2</v>
      </c>
      <c r="G29">
        <v>5</v>
      </c>
      <c r="H29">
        <v>4</v>
      </c>
      <c r="I29">
        <v>2</v>
      </c>
      <c r="K29" t="s">
        <v>275</v>
      </c>
      <c r="L29" t="s">
        <v>276</v>
      </c>
      <c r="M29" t="s">
        <v>277</v>
      </c>
      <c r="N29" t="s">
        <v>278</v>
      </c>
      <c r="O29" t="s">
        <v>279</v>
      </c>
    </row>
    <row r="30" spans="3:15">
      <c r="C30" t="s">
        <v>101</v>
      </c>
      <c r="D30">
        <v>2</v>
      </c>
      <c r="E30">
        <v>5</v>
      </c>
      <c r="F30">
        <v>5</v>
      </c>
      <c r="G30">
        <v>1</v>
      </c>
      <c r="H30">
        <v>4</v>
      </c>
      <c r="I30">
        <v>2</v>
      </c>
      <c r="K30" t="s">
        <v>280</v>
      </c>
      <c r="L30" t="s">
        <v>281</v>
      </c>
      <c r="M30" t="s">
        <v>282</v>
      </c>
      <c r="N30" t="s">
        <v>283</v>
      </c>
      <c r="O30" t="s">
        <v>284</v>
      </c>
    </row>
    <row r="31" spans="3:15">
      <c r="C31" t="s">
        <v>102</v>
      </c>
      <c r="D31">
        <v>2</v>
      </c>
      <c r="E31">
        <v>5</v>
      </c>
      <c r="F31">
        <v>5</v>
      </c>
      <c r="G31">
        <v>1</v>
      </c>
      <c r="H31">
        <v>4</v>
      </c>
      <c r="I31">
        <v>2</v>
      </c>
      <c r="K31" t="s">
        <v>285</v>
      </c>
      <c r="L31" t="s">
        <v>286</v>
      </c>
      <c r="M31" t="s">
        <v>287</v>
      </c>
      <c r="N31" t="s">
        <v>288</v>
      </c>
      <c r="O31" t="s">
        <v>289</v>
      </c>
    </row>
    <row r="32" spans="3:15">
      <c r="C32" t="s">
        <v>103</v>
      </c>
      <c r="D32">
        <v>1</v>
      </c>
      <c r="E32">
        <v>1</v>
      </c>
      <c r="F32">
        <v>4</v>
      </c>
      <c r="G32">
        <v>4</v>
      </c>
      <c r="H32">
        <v>1</v>
      </c>
      <c r="I32">
        <v>1</v>
      </c>
      <c r="K32" t="s">
        <v>290</v>
      </c>
      <c r="L32" t="s">
        <v>291</v>
      </c>
      <c r="M32" t="s">
        <v>292</v>
      </c>
      <c r="N32" t="s">
        <v>293</v>
      </c>
      <c r="O32" t="s">
        <v>294</v>
      </c>
    </row>
    <row r="33" spans="3:15">
      <c r="C33" t="s">
        <v>104</v>
      </c>
      <c r="D33">
        <v>4</v>
      </c>
      <c r="E33">
        <v>3</v>
      </c>
      <c r="F33">
        <v>4</v>
      </c>
      <c r="G33">
        <v>4</v>
      </c>
      <c r="H33">
        <v>1</v>
      </c>
      <c r="I33">
        <v>5</v>
      </c>
      <c r="K33" t="s">
        <v>295</v>
      </c>
      <c r="L33" t="s">
        <v>296</v>
      </c>
      <c r="M33" t="s">
        <v>297</v>
      </c>
      <c r="N33" t="s">
        <v>298</v>
      </c>
      <c r="O33" t="s">
        <v>299</v>
      </c>
    </row>
    <row r="34" spans="3:15">
      <c r="C34" t="s">
        <v>105</v>
      </c>
      <c r="D34">
        <v>1</v>
      </c>
      <c r="E34">
        <v>1</v>
      </c>
      <c r="F34">
        <v>3</v>
      </c>
      <c r="G34">
        <v>3</v>
      </c>
      <c r="H34">
        <v>1</v>
      </c>
      <c r="I34">
        <v>1</v>
      </c>
      <c r="K34" t="s">
        <v>300</v>
      </c>
      <c r="L34" t="s">
        <v>301</v>
      </c>
      <c r="M34" t="s">
        <v>302</v>
      </c>
      <c r="N34" t="s">
        <v>303</v>
      </c>
      <c r="O34" t="s">
        <v>304</v>
      </c>
    </row>
    <row r="35" spans="3:15">
      <c r="C35" t="s">
        <v>106</v>
      </c>
      <c r="D35">
        <v>1</v>
      </c>
      <c r="E35">
        <v>1</v>
      </c>
      <c r="F35">
        <v>4</v>
      </c>
      <c r="G35">
        <v>4</v>
      </c>
      <c r="H35">
        <v>3</v>
      </c>
      <c r="I35">
        <v>1</v>
      </c>
      <c r="K35" t="s">
        <v>305</v>
      </c>
      <c r="L35" t="s">
        <v>306</v>
      </c>
      <c r="M35" t="s">
        <v>307</v>
      </c>
      <c r="N35" t="s">
        <v>308</v>
      </c>
      <c r="O35" t="s">
        <v>309</v>
      </c>
    </row>
    <row r="36" spans="3:15">
      <c r="C36" t="s">
        <v>107</v>
      </c>
      <c r="D36">
        <v>1</v>
      </c>
      <c r="E36">
        <v>4</v>
      </c>
      <c r="F36">
        <v>5</v>
      </c>
      <c r="G36">
        <v>5</v>
      </c>
      <c r="H36">
        <v>4</v>
      </c>
      <c r="I36">
        <v>1</v>
      </c>
      <c r="K36" t="s">
        <v>310</v>
      </c>
      <c r="L36" t="s">
        <v>311</v>
      </c>
      <c r="M36" t="s">
        <v>312</v>
      </c>
      <c r="N36" t="s">
        <v>313</v>
      </c>
      <c r="O36" t="s">
        <v>314</v>
      </c>
    </row>
    <row r="37" spans="3:15">
      <c r="C37" t="s">
        <v>108</v>
      </c>
      <c r="D37">
        <v>3</v>
      </c>
      <c r="E37">
        <v>3</v>
      </c>
      <c r="F37">
        <v>5</v>
      </c>
      <c r="G37">
        <v>4</v>
      </c>
      <c r="H37">
        <v>4</v>
      </c>
      <c r="I37">
        <v>5</v>
      </c>
      <c r="K37" t="s">
        <v>315</v>
      </c>
      <c r="L37" t="s">
        <v>316</v>
      </c>
      <c r="M37" t="s">
        <v>317</v>
      </c>
      <c r="N37" t="s">
        <v>318</v>
      </c>
      <c r="O37" t="s">
        <v>319</v>
      </c>
    </row>
    <row r="38" spans="3:15">
      <c r="C38" t="s">
        <v>109</v>
      </c>
      <c r="D38">
        <v>3</v>
      </c>
      <c r="E38">
        <v>3</v>
      </c>
      <c r="F38">
        <v>4</v>
      </c>
      <c r="G38">
        <v>4</v>
      </c>
      <c r="H38">
        <v>3</v>
      </c>
      <c r="I38">
        <v>3</v>
      </c>
      <c r="K38" t="s">
        <v>320</v>
      </c>
      <c r="L38" t="s">
        <v>321</v>
      </c>
      <c r="M38" t="s">
        <v>322</v>
      </c>
      <c r="N38" t="s">
        <v>323</v>
      </c>
      <c r="O38" t="s">
        <v>324</v>
      </c>
    </row>
    <row r="39" spans="3:15">
      <c r="C39" t="s">
        <v>110</v>
      </c>
      <c r="D39">
        <v>3</v>
      </c>
      <c r="E39">
        <v>3</v>
      </c>
      <c r="F39">
        <v>4</v>
      </c>
      <c r="G39">
        <v>4</v>
      </c>
      <c r="H39">
        <v>3</v>
      </c>
      <c r="I39">
        <v>3</v>
      </c>
      <c r="K39" t="s">
        <v>325</v>
      </c>
      <c r="L39" t="s">
        <v>326</v>
      </c>
      <c r="M39" t="s">
        <v>327</v>
      </c>
      <c r="N39" t="s">
        <v>328</v>
      </c>
      <c r="O39" t="s">
        <v>329</v>
      </c>
    </row>
    <row r="40" spans="3:15">
      <c r="C40" t="s">
        <v>111</v>
      </c>
      <c r="D40">
        <v>2</v>
      </c>
      <c r="E40">
        <v>2</v>
      </c>
      <c r="F40">
        <v>3</v>
      </c>
      <c r="G40">
        <v>1</v>
      </c>
      <c r="H40">
        <v>2</v>
      </c>
      <c r="I40">
        <v>3</v>
      </c>
      <c r="K40" t="s">
        <v>330</v>
      </c>
      <c r="L40" t="s">
        <v>331</v>
      </c>
      <c r="M40" t="s">
        <v>332</v>
      </c>
      <c r="N40" t="s">
        <v>333</v>
      </c>
      <c r="O40" t="s">
        <v>334</v>
      </c>
    </row>
    <row r="41" spans="3:15">
      <c r="C41" t="s">
        <v>112</v>
      </c>
      <c r="D41">
        <v>2</v>
      </c>
      <c r="E41">
        <v>2</v>
      </c>
      <c r="F41">
        <v>2</v>
      </c>
      <c r="G41">
        <v>1</v>
      </c>
      <c r="H41">
        <v>2</v>
      </c>
      <c r="I41">
        <v>2</v>
      </c>
      <c r="K41" t="s">
        <v>335</v>
      </c>
      <c r="L41" t="s">
        <v>336</v>
      </c>
      <c r="M41" t="s">
        <v>337</v>
      </c>
      <c r="N41" t="s">
        <v>338</v>
      </c>
      <c r="O41" t="s">
        <v>339</v>
      </c>
    </row>
    <row r="42" spans="3:15">
      <c r="C42" t="s">
        <v>113</v>
      </c>
      <c r="D42">
        <v>1</v>
      </c>
      <c r="E42">
        <v>1</v>
      </c>
      <c r="F42">
        <v>1</v>
      </c>
      <c r="G42">
        <v>1</v>
      </c>
      <c r="H42">
        <v>1</v>
      </c>
      <c r="I42">
        <v>1</v>
      </c>
      <c r="K42" t="s">
        <v>340</v>
      </c>
      <c r="L42" t="s">
        <v>341</v>
      </c>
      <c r="M42" t="s">
        <v>342</v>
      </c>
      <c r="N42" t="s">
        <v>343</v>
      </c>
      <c r="O42" t="s">
        <v>344</v>
      </c>
    </row>
    <row r="43" spans="3:15">
      <c r="C43" t="s">
        <v>114</v>
      </c>
      <c r="D43">
        <v>2</v>
      </c>
      <c r="E43">
        <v>2</v>
      </c>
      <c r="F43">
        <v>1</v>
      </c>
      <c r="G43">
        <v>1</v>
      </c>
      <c r="H43">
        <v>2</v>
      </c>
      <c r="I43">
        <v>2</v>
      </c>
      <c r="K43" t="s">
        <v>345</v>
      </c>
      <c r="L43" t="s">
        <v>346</v>
      </c>
      <c r="M43" t="s">
        <v>347</v>
      </c>
      <c r="N43" t="s">
        <v>348</v>
      </c>
      <c r="O43" t="s">
        <v>349</v>
      </c>
    </row>
    <row r="44" spans="3:15">
      <c r="C44" t="s">
        <v>115</v>
      </c>
      <c r="D44">
        <v>2</v>
      </c>
      <c r="E44">
        <v>2</v>
      </c>
      <c r="F44">
        <v>1</v>
      </c>
      <c r="G44">
        <v>1</v>
      </c>
      <c r="H44">
        <v>2</v>
      </c>
      <c r="I44">
        <v>2</v>
      </c>
      <c r="K44" t="s">
        <v>350</v>
      </c>
      <c r="L44" t="s">
        <v>351</v>
      </c>
      <c r="M44" t="s">
        <v>352</v>
      </c>
      <c r="N44" t="s">
        <v>353</v>
      </c>
      <c r="O44" t="s">
        <v>354</v>
      </c>
    </row>
  </sheetData>
  <mergeCells count="5">
    <mergeCell ref="N8:N10"/>
    <mergeCell ref="M8:M10"/>
    <mergeCell ref="O8:O10"/>
    <mergeCell ref="K8:K10"/>
    <mergeCell ref="L8:L10"/>
  </mergeCells>
  <conditionalFormatting sqref="D3:I3">
    <cfRule type="cellIs" dxfId="4" priority="5" operator="greaterThan">
      <formula>$B$14</formula>
    </cfRule>
  </conditionalFormatting>
  <conditionalFormatting sqref="D11:I34">
    <cfRule type="colorScale" priority="2">
      <colorScale>
        <cfvo type="min"/>
        <cfvo type="percentile" val="50"/>
        <cfvo type="max"/>
        <color rgb="FFF8696B"/>
        <color rgb="FFFFEB84"/>
        <color rgb="FF63BE7B"/>
      </colorScale>
    </cfRule>
  </conditionalFormatting>
  <conditionalFormatting sqref="D35:I44">
    <cfRule type="colorScale" priority="1">
      <colorScale>
        <cfvo type="min"/>
        <cfvo type="percentile" val="50"/>
        <cfvo type="max"/>
        <color rgb="FFF8696B"/>
        <color rgb="FFFFEB84"/>
        <color rgb="FF63BE7B"/>
      </colorScale>
    </cfRule>
  </conditionalFormatting>
  <dataValidations count="1">
    <dataValidation type="whole" allowBlank="1" showInputMessage="1" showErrorMessage="1" sqref="D11:I34" xr:uid="{AAE441F7-AF4E-4A2E-BE1F-21639CFE1F36}">
      <formula1>1</formula1>
      <formula2>5</formula2>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0485-44AA-477A-900A-3D50FD282793}">
  <dimension ref="A1:O44"/>
  <sheetViews>
    <sheetView topLeftCell="A2" workbookViewId="0">
      <selection activeCell="D38" sqref="D38"/>
    </sheetView>
  </sheetViews>
  <sheetFormatPr defaultColWidth="8.85546875" defaultRowHeight="15"/>
  <cols>
    <col min="1" max="1" width="10" bestFit="1" customWidth="1"/>
    <col min="3" max="3" width="30.140625" customWidth="1"/>
    <col min="11" max="15" width="17.85546875" style="25" customWidth="1"/>
  </cols>
  <sheetData>
    <row r="1" spans="1:15" s="19" customFormat="1" ht="15.95" thickBot="1">
      <c r="C1" s="20" t="s">
        <v>355</v>
      </c>
    </row>
    <row r="2" spans="1:15" ht="15.95" thickBot="1">
      <c r="A2" s="9" t="s">
        <v>71</v>
      </c>
      <c r="B2" s="2">
        <v>5</v>
      </c>
      <c r="D2" s="6" t="s">
        <v>9</v>
      </c>
      <c r="E2" s="7" t="s">
        <v>10</v>
      </c>
      <c r="F2" s="7" t="s">
        <v>11</v>
      </c>
      <c r="G2" s="7" t="s">
        <v>12</v>
      </c>
      <c r="H2" s="7" t="s">
        <v>13</v>
      </c>
      <c r="I2" s="8" t="s">
        <v>14</v>
      </c>
      <c r="K2"/>
      <c r="L2"/>
      <c r="M2"/>
      <c r="N2"/>
      <c r="O2"/>
    </row>
    <row r="3" spans="1:15">
      <c r="A3" s="10" t="s">
        <v>72</v>
      </c>
      <c r="B3" s="3">
        <v>4</v>
      </c>
      <c r="C3" t="s">
        <v>356</v>
      </c>
      <c r="D3">
        <f t="shared" ref="D3:H3" si="0">SUM(D11:D61)</f>
        <v>104</v>
      </c>
      <c r="E3">
        <f t="shared" si="0"/>
        <v>104</v>
      </c>
      <c r="F3">
        <f t="shared" si="0"/>
        <v>104</v>
      </c>
      <c r="G3">
        <f t="shared" si="0"/>
        <v>104</v>
      </c>
      <c r="H3">
        <f t="shared" si="0"/>
        <v>104</v>
      </c>
      <c r="I3">
        <f>SUM(I11:I61)</f>
        <v>103</v>
      </c>
      <c r="K3"/>
      <c r="L3"/>
      <c r="M3"/>
      <c r="N3"/>
      <c r="O3"/>
    </row>
    <row r="4" spans="1:15">
      <c r="A4" s="11" t="s">
        <v>73</v>
      </c>
      <c r="B4" s="3">
        <v>3</v>
      </c>
      <c r="C4" t="s">
        <v>174</v>
      </c>
      <c r="D4">
        <f>COUNTIF(D$11:D$61, 5)</f>
        <v>6</v>
      </c>
      <c r="E4">
        <f t="shared" ref="E4:I4" si="1">COUNTIF(E$11:E$61, 5)</f>
        <v>5</v>
      </c>
      <c r="F4">
        <f t="shared" si="1"/>
        <v>5</v>
      </c>
      <c r="G4">
        <f t="shared" si="1"/>
        <v>7</v>
      </c>
      <c r="H4">
        <f t="shared" si="1"/>
        <v>3</v>
      </c>
      <c r="I4">
        <f t="shared" si="1"/>
        <v>7</v>
      </c>
      <c r="K4"/>
      <c r="L4"/>
      <c r="M4"/>
      <c r="N4"/>
      <c r="O4"/>
    </row>
    <row r="5" spans="1:15">
      <c r="A5" s="12" t="s">
        <v>74</v>
      </c>
      <c r="B5" s="3">
        <v>2</v>
      </c>
      <c r="C5" t="s">
        <v>175</v>
      </c>
      <c r="D5">
        <f>COUNTIF(D$11:D$61, 4)</f>
        <v>9</v>
      </c>
      <c r="E5">
        <f t="shared" ref="E5:I5" si="2">COUNTIF(E$11:E$61, 4)</f>
        <v>11</v>
      </c>
      <c r="F5">
        <f t="shared" si="2"/>
        <v>9</v>
      </c>
      <c r="G5">
        <f t="shared" si="2"/>
        <v>5</v>
      </c>
      <c r="H5">
        <f t="shared" si="2"/>
        <v>13</v>
      </c>
      <c r="I5">
        <f t="shared" si="2"/>
        <v>7</v>
      </c>
      <c r="K5"/>
      <c r="L5"/>
      <c r="M5"/>
      <c r="N5"/>
      <c r="O5"/>
    </row>
    <row r="6" spans="1:15" ht="15.95" thickBot="1">
      <c r="A6" s="13" t="s">
        <v>75</v>
      </c>
      <c r="B6" s="4">
        <v>1</v>
      </c>
      <c r="C6" t="s">
        <v>176</v>
      </c>
      <c r="D6">
        <f>COUNTIF(D$11:D$61, 3)</f>
        <v>5</v>
      </c>
      <c r="E6">
        <f t="shared" ref="E6:I6" si="3">COUNTIF(E$11:E$61, 3)</f>
        <v>3</v>
      </c>
      <c r="F6">
        <f t="shared" si="3"/>
        <v>8</v>
      </c>
      <c r="G6">
        <f t="shared" si="3"/>
        <v>10</v>
      </c>
      <c r="H6">
        <f t="shared" si="3"/>
        <v>3</v>
      </c>
      <c r="I6">
        <f t="shared" si="3"/>
        <v>5</v>
      </c>
      <c r="K6"/>
      <c r="L6"/>
      <c r="M6"/>
      <c r="N6"/>
      <c r="O6"/>
    </row>
    <row r="7" spans="1:15">
      <c r="C7" t="s">
        <v>177</v>
      </c>
      <c r="D7">
        <f>COUNTIF(D$11:D$61, 2)</f>
        <v>9</v>
      </c>
      <c r="E7">
        <f t="shared" ref="E7:I7" si="4">COUNTIF(E$11:E$61, 2)</f>
        <v>11</v>
      </c>
      <c r="F7">
        <f t="shared" si="4"/>
        <v>7</v>
      </c>
      <c r="G7">
        <f t="shared" si="4"/>
        <v>7</v>
      </c>
      <c r="H7">
        <f t="shared" si="4"/>
        <v>13</v>
      </c>
      <c r="I7">
        <f t="shared" si="4"/>
        <v>10</v>
      </c>
      <c r="K7"/>
      <c r="L7"/>
      <c r="M7"/>
      <c r="N7"/>
      <c r="O7"/>
    </row>
    <row r="8" spans="1:15" ht="14.45" customHeight="1">
      <c r="C8" t="s">
        <v>178</v>
      </c>
      <c r="D8">
        <f>COUNTIF(D$11:D$61, 1)</f>
        <v>5</v>
      </c>
      <c r="E8">
        <f t="shared" ref="E8:I8" si="5">COUNTIF(E$11:E$61, 1)</f>
        <v>4</v>
      </c>
      <c r="F8">
        <f t="shared" si="5"/>
        <v>5</v>
      </c>
      <c r="G8">
        <f t="shared" si="5"/>
        <v>5</v>
      </c>
      <c r="H8">
        <f t="shared" si="5"/>
        <v>2</v>
      </c>
      <c r="I8">
        <f t="shared" si="5"/>
        <v>5</v>
      </c>
      <c r="K8" s="86" t="s">
        <v>179</v>
      </c>
      <c r="L8" s="86" t="s">
        <v>180</v>
      </c>
      <c r="M8" s="86" t="s">
        <v>181</v>
      </c>
      <c r="N8" s="86" t="s">
        <v>182</v>
      </c>
      <c r="O8" s="86" t="s">
        <v>183</v>
      </c>
    </row>
    <row r="9" spans="1:15" ht="15.95" thickBot="1">
      <c r="K9" s="86"/>
      <c r="L9" s="86"/>
      <c r="M9" s="86"/>
      <c r="N9" s="86"/>
      <c r="O9" s="86"/>
    </row>
    <row r="10" spans="1:15" ht="15.95" thickBot="1">
      <c r="C10" s="21" t="s">
        <v>184</v>
      </c>
      <c r="D10" s="6" t="s">
        <v>9</v>
      </c>
      <c r="E10" s="7" t="s">
        <v>10</v>
      </c>
      <c r="F10" s="7" t="s">
        <v>11</v>
      </c>
      <c r="G10" s="7" t="s">
        <v>12</v>
      </c>
      <c r="H10" s="7" t="s">
        <v>13</v>
      </c>
      <c r="I10" s="8" t="s">
        <v>14</v>
      </c>
      <c r="K10" s="86"/>
      <c r="L10" s="86"/>
      <c r="M10" s="86"/>
      <c r="N10" s="86"/>
      <c r="O10" s="86"/>
    </row>
    <row r="11" spans="1:15">
      <c r="A11" t="s">
        <v>78</v>
      </c>
      <c r="B11" s="1">
        <f>COUNTA(C11:C61)</f>
        <v>34</v>
      </c>
      <c r="C11" t="s">
        <v>79</v>
      </c>
      <c r="D11">
        <v>4</v>
      </c>
      <c r="E11">
        <v>4</v>
      </c>
      <c r="F11">
        <v>3</v>
      </c>
      <c r="G11">
        <v>3</v>
      </c>
      <c r="H11">
        <v>4</v>
      </c>
      <c r="I11">
        <v>4</v>
      </c>
      <c r="K11" t="s">
        <v>357</v>
      </c>
      <c r="L11" t="s">
        <v>358</v>
      </c>
      <c r="M11" t="s">
        <v>359</v>
      </c>
      <c r="N11" t="s">
        <v>360</v>
      </c>
      <c r="O11" t="s">
        <v>361</v>
      </c>
    </row>
    <row r="12" spans="1:15">
      <c r="A12" t="s">
        <v>80</v>
      </c>
      <c r="B12">
        <f>_xlfn.FLOOR.MATH(B11/5)</f>
        <v>6</v>
      </c>
      <c r="C12" t="s">
        <v>81</v>
      </c>
      <c r="D12">
        <v>4</v>
      </c>
      <c r="E12">
        <v>4</v>
      </c>
      <c r="F12">
        <v>3</v>
      </c>
      <c r="G12">
        <v>3</v>
      </c>
      <c r="H12">
        <v>4</v>
      </c>
      <c r="I12">
        <v>5</v>
      </c>
      <c r="K12" t="s">
        <v>362</v>
      </c>
      <c r="L12" t="s">
        <v>363</v>
      </c>
      <c r="M12" t="s">
        <v>364</v>
      </c>
      <c r="N12" t="s">
        <v>365</v>
      </c>
      <c r="O12" t="s">
        <v>366</v>
      </c>
    </row>
    <row r="13" spans="1:15">
      <c r="A13" t="s">
        <v>82</v>
      </c>
      <c r="B13">
        <f>MOD(B11,5)</f>
        <v>4</v>
      </c>
      <c r="C13" t="s">
        <v>83</v>
      </c>
      <c r="D13">
        <v>4</v>
      </c>
      <c r="E13">
        <v>4</v>
      </c>
      <c r="F13">
        <v>3</v>
      </c>
      <c r="G13">
        <v>3</v>
      </c>
      <c r="H13">
        <v>4</v>
      </c>
      <c r="I13">
        <v>4</v>
      </c>
      <c r="K13" t="s">
        <v>367</v>
      </c>
      <c r="L13" t="s">
        <v>368</v>
      </c>
      <c r="M13" t="s">
        <v>369</v>
      </c>
      <c r="N13" t="s">
        <v>370</v>
      </c>
      <c r="O13" t="s">
        <v>371</v>
      </c>
    </row>
    <row r="14" spans="1:15">
      <c r="A14" t="s">
        <v>84</v>
      </c>
      <c r="B14" s="30">
        <f ca="1">(B12*SUM($B$2:$B$6))+IF(B11=0,0,SUM($B$2:INDEX(B:B,$B$13+1)))</f>
        <v>104</v>
      </c>
      <c r="C14" t="s">
        <v>85</v>
      </c>
      <c r="D14">
        <v>4</v>
      </c>
      <c r="E14">
        <v>4</v>
      </c>
      <c r="F14">
        <v>3</v>
      </c>
      <c r="G14">
        <v>3</v>
      </c>
      <c r="H14">
        <v>4</v>
      </c>
      <c r="I14">
        <v>4</v>
      </c>
      <c r="K14" t="s">
        <v>372</v>
      </c>
      <c r="L14" t="s">
        <v>373</v>
      </c>
      <c r="M14" t="s">
        <v>374</v>
      </c>
      <c r="N14" t="s">
        <v>375</v>
      </c>
      <c r="O14" t="s">
        <v>376</v>
      </c>
    </row>
    <row r="15" spans="1:15">
      <c r="C15" t="s">
        <v>86</v>
      </c>
      <c r="D15">
        <v>5</v>
      </c>
      <c r="E15">
        <v>5</v>
      </c>
      <c r="F15">
        <v>5</v>
      </c>
      <c r="G15">
        <v>3</v>
      </c>
      <c r="H15">
        <v>5</v>
      </c>
      <c r="I15">
        <v>5</v>
      </c>
      <c r="K15" t="s">
        <v>377</v>
      </c>
      <c r="L15" t="s">
        <v>378</v>
      </c>
      <c r="M15" t="s">
        <v>379</v>
      </c>
      <c r="N15" t="s">
        <v>380</v>
      </c>
      <c r="O15" t="s">
        <v>381</v>
      </c>
    </row>
    <row r="16" spans="1:15">
      <c r="C16" t="s">
        <v>87</v>
      </c>
      <c r="D16">
        <v>5</v>
      </c>
      <c r="E16">
        <v>4</v>
      </c>
      <c r="F16">
        <v>3</v>
      </c>
      <c r="G16">
        <v>3</v>
      </c>
      <c r="H16">
        <v>5</v>
      </c>
      <c r="I16">
        <v>2</v>
      </c>
      <c r="K16" t="s">
        <v>382</v>
      </c>
      <c r="L16" t="s">
        <v>383</v>
      </c>
      <c r="M16" t="s">
        <v>384</v>
      </c>
      <c r="N16" t="s">
        <v>385</v>
      </c>
      <c r="O16" t="s">
        <v>386</v>
      </c>
    </row>
    <row r="17" spans="3:15">
      <c r="C17" t="s">
        <v>88</v>
      </c>
      <c r="D17">
        <v>5</v>
      </c>
      <c r="E17">
        <v>5</v>
      </c>
      <c r="F17">
        <v>3</v>
      </c>
      <c r="G17">
        <v>3</v>
      </c>
      <c r="H17">
        <v>5</v>
      </c>
      <c r="I17">
        <v>4</v>
      </c>
      <c r="K17" t="s">
        <v>387</v>
      </c>
      <c r="L17" t="s">
        <v>388</v>
      </c>
      <c r="M17" t="s">
        <v>389</v>
      </c>
      <c r="N17" t="s">
        <v>390</v>
      </c>
      <c r="O17" t="s">
        <v>391</v>
      </c>
    </row>
    <row r="18" spans="3:15">
      <c r="C18" t="s">
        <v>89</v>
      </c>
      <c r="D18">
        <v>4</v>
      </c>
      <c r="E18">
        <v>4</v>
      </c>
      <c r="F18">
        <v>2</v>
      </c>
      <c r="G18">
        <v>2</v>
      </c>
      <c r="H18">
        <v>2</v>
      </c>
      <c r="I18">
        <v>2</v>
      </c>
      <c r="K18" t="s">
        <v>392</v>
      </c>
      <c r="L18" t="s">
        <v>393</v>
      </c>
      <c r="M18" t="s">
        <v>394</v>
      </c>
      <c r="N18" t="s">
        <v>395</v>
      </c>
      <c r="O18" t="s">
        <v>396</v>
      </c>
    </row>
    <row r="19" spans="3:15">
      <c r="C19" t="s">
        <v>90</v>
      </c>
      <c r="D19">
        <v>5</v>
      </c>
      <c r="E19">
        <v>5</v>
      </c>
      <c r="F19">
        <v>2</v>
      </c>
      <c r="G19">
        <v>2</v>
      </c>
      <c r="H19">
        <v>2</v>
      </c>
      <c r="I19">
        <v>5</v>
      </c>
      <c r="K19" t="s">
        <v>397</v>
      </c>
      <c r="L19" t="s">
        <v>398</v>
      </c>
      <c r="M19" t="s">
        <v>399</v>
      </c>
      <c r="N19" t="s">
        <v>400</v>
      </c>
      <c r="O19" t="s">
        <v>401</v>
      </c>
    </row>
    <row r="20" spans="3:15">
      <c r="C20" t="s">
        <v>91</v>
      </c>
      <c r="D20">
        <v>4</v>
      </c>
      <c r="E20">
        <v>2</v>
      </c>
      <c r="F20">
        <v>2</v>
      </c>
      <c r="G20">
        <v>2</v>
      </c>
      <c r="H20">
        <v>2</v>
      </c>
      <c r="I20">
        <v>2</v>
      </c>
      <c r="K20" t="s">
        <v>402</v>
      </c>
      <c r="L20" t="s">
        <v>403</v>
      </c>
      <c r="M20" t="s">
        <v>404</v>
      </c>
      <c r="N20" t="s">
        <v>405</v>
      </c>
      <c r="O20" t="s">
        <v>406</v>
      </c>
    </row>
    <row r="21" spans="3:15">
      <c r="C21" t="s">
        <v>92</v>
      </c>
      <c r="D21">
        <v>4</v>
      </c>
      <c r="E21">
        <v>2</v>
      </c>
      <c r="F21">
        <v>2</v>
      </c>
      <c r="G21">
        <v>2</v>
      </c>
      <c r="H21">
        <v>2</v>
      </c>
      <c r="I21">
        <v>2</v>
      </c>
      <c r="K21" t="s">
        <v>407</v>
      </c>
      <c r="L21" t="s">
        <v>408</v>
      </c>
      <c r="M21" t="s">
        <v>409</v>
      </c>
      <c r="N21" t="s">
        <v>410</v>
      </c>
      <c r="O21" t="s">
        <v>411</v>
      </c>
    </row>
    <row r="22" spans="3:15">
      <c r="C22" t="s">
        <v>93</v>
      </c>
      <c r="D22">
        <v>4</v>
      </c>
      <c r="E22">
        <v>2</v>
      </c>
      <c r="F22">
        <v>2</v>
      </c>
      <c r="G22">
        <v>2</v>
      </c>
      <c r="H22">
        <v>2</v>
      </c>
      <c r="I22">
        <v>2</v>
      </c>
      <c r="K22" t="s">
        <v>412</v>
      </c>
      <c r="L22" t="s">
        <v>413</v>
      </c>
      <c r="M22" t="s">
        <v>414</v>
      </c>
      <c r="N22" t="s">
        <v>415</v>
      </c>
      <c r="O22" t="s">
        <v>416</v>
      </c>
    </row>
    <row r="23" spans="3:15">
      <c r="C23" t="s">
        <v>94</v>
      </c>
      <c r="D23">
        <v>2</v>
      </c>
      <c r="E23">
        <v>2</v>
      </c>
      <c r="F23">
        <v>2</v>
      </c>
      <c r="G23">
        <v>2</v>
      </c>
      <c r="H23">
        <v>2</v>
      </c>
      <c r="I23">
        <v>4</v>
      </c>
      <c r="K23" t="s">
        <v>417</v>
      </c>
      <c r="L23" t="s">
        <v>418</v>
      </c>
      <c r="M23" t="s">
        <v>419</v>
      </c>
      <c r="N23" t="s">
        <v>420</v>
      </c>
      <c r="O23" t="s">
        <v>421</v>
      </c>
    </row>
    <row r="24" spans="3:15">
      <c r="C24" t="s">
        <v>95</v>
      </c>
      <c r="D24">
        <v>3</v>
      </c>
      <c r="E24">
        <v>3</v>
      </c>
      <c r="F24">
        <v>3</v>
      </c>
      <c r="G24">
        <v>3</v>
      </c>
      <c r="H24">
        <v>3</v>
      </c>
      <c r="I24">
        <v>3</v>
      </c>
      <c r="K24" t="s">
        <v>422</v>
      </c>
      <c r="L24" t="s">
        <v>423</v>
      </c>
      <c r="M24" t="s">
        <v>424</v>
      </c>
      <c r="N24" t="s">
        <v>425</v>
      </c>
      <c r="O24" t="s">
        <v>426</v>
      </c>
    </row>
    <row r="25" spans="3:15">
      <c r="C25" t="s">
        <v>96</v>
      </c>
      <c r="D25">
        <v>3</v>
      </c>
      <c r="E25">
        <v>2</v>
      </c>
      <c r="F25">
        <v>4</v>
      </c>
      <c r="G25">
        <v>4</v>
      </c>
      <c r="H25">
        <v>2</v>
      </c>
      <c r="I25">
        <v>3</v>
      </c>
      <c r="K25" t="s">
        <v>427</v>
      </c>
      <c r="L25" t="s">
        <v>428</v>
      </c>
      <c r="M25" t="s">
        <v>429</v>
      </c>
      <c r="N25" t="s">
        <v>430</v>
      </c>
      <c r="O25" t="s">
        <v>431</v>
      </c>
    </row>
    <row r="26" spans="3:15">
      <c r="C26" t="s">
        <v>97</v>
      </c>
      <c r="D26">
        <v>4</v>
      </c>
      <c r="E26">
        <v>4</v>
      </c>
      <c r="F26">
        <v>5</v>
      </c>
      <c r="G26">
        <v>5</v>
      </c>
      <c r="H26">
        <v>4</v>
      </c>
      <c r="I26">
        <v>5</v>
      </c>
      <c r="K26" t="s">
        <v>432</v>
      </c>
      <c r="L26" t="s">
        <v>433</v>
      </c>
      <c r="M26" t="s">
        <v>434</v>
      </c>
      <c r="N26" t="s">
        <v>435</v>
      </c>
      <c r="O26" t="s">
        <v>436</v>
      </c>
    </row>
    <row r="27" spans="3:15">
      <c r="C27" t="s">
        <v>98</v>
      </c>
      <c r="D27">
        <v>3</v>
      </c>
      <c r="E27">
        <v>2</v>
      </c>
      <c r="F27">
        <v>4</v>
      </c>
      <c r="G27">
        <v>4</v>
      </c>
      <c r="H27">
        <v>2</v>
      </c>
      <c r="I27">
        <v>2</v>
      </c>
      <c r="K27" t="s">
        <v>437</v>
      </c>
      <c r="L27" t="s">
        <v>438</v>
      </c>
      <c r="M27" t="s">
        <v>439</v>
      </c>
      <c r="N27" t="s">
        <v>440</v>
      </c>
      <c r="O27" t="s">
        <v>441</v>
      </c>
    </row>
    <row r="28" spans="3:15">
      <c r="C28" t="s">
        <v>99</v>
      </c>
      <c r="D28">
        <v>5</v>
      </c>
      <c r="E28">
        <v>5</v>
      </c>
      <c r="F28">
        <v>2</v>
      </c>
      <c r="G28">
        <v>5</v>
      </c>
      <c r="H28">
        <v>4</v>
      </c>
      <c r="I28">
        <v>5</v>
      </c>
      <c r="K28" t="s">
        <v>442</v>
      </c>
      <c r="L28" t="s">
        <v>443</v>
      </c>
      <c r="M28" t="s">
        <v>444</v>
      </c>
      <c r="N28" t="s">
        <v>445</v>
      </c>
      <c r="O28" t="s">
        <v>446</v>
      </c>
    </row>
    <row r="29" spans="3:15">
      <c r="C29" t="s">
        <v>100</v>
      </c>
      <c r="D29">
        <v>2</v>
      </c>
      <c r="E29">
        <v>4</v>
      </c>
      <c r="F29">
        <v>1</v>
      </c>
      <c r="G29">
        <v>5</v>
      </c>
      <c r="H29">
        <v>4</v>
      </c>
      <c r="I29">
        <v>1</v>
      </c>
      <c r="K29" t="s">
        <v>447</v>
      </c>
      <c r="L29" t="s">
        <v>448</v>
      </c>
      <c r="M29" t="s">
        <v>449</v>
      </c>
      <c r="N29" t="s">
        <v>450</v>
      </c>
      <c r="O29" t="s">
        <v>451</v>
      </c>
    </row>
    <row r="30" spans="3:15">
      <c r="C30" t="s">
        <v>101</v>
      </c>
      <c r="D30">
        <v>2</v>
      </c>
      <c r="E30">
        <v>4</v>
      </c>
      <c r="F30">
        <v>1</v>
      </c>
      <c r="G30">
        <v>1</v>
      </c>
      <c r="H30">
        <v>4</v>
      </c>
      <c r="I30">
        <v>1</v>
      </c>
      <c r="K30" t="s">
        <v>452</v>
      </c>
      <c r="L30" t="s">
        <v>453</v>
      </c>
      <c r="M30" t="s">
        <v>454</v>
      </c>
      <c r="N30" t="s">
        <v>455</v>
      </c>
      <c r="O30" t="s">
        <v>391</v>
      </c>
    </row>
    <row r="31" spans="3:15">
      <c r="C31" t="s">
        <v>102</v>
      </c>
      <c r="D31">
        <v>2</v>
      </c>
      <c r="E31">
        <v>5</v>
      </c>
      <c r="F31">
        <v>1</v>
      </c>
      <c r="G31">
        <v>1</v>
      </c>
      <c r="H31">
        <v>4</v>
      </c>
      <c r="I31">
        <v>1</v>
      </c>
      <c r="K31" t="s">
        <v>456</v>
      </c>
      <c r="L31" t="s">
        <v>457</v>
      </c>
      <c r="M31" t="s">
        <v>458</v>
      </c>
      <c r="N31" t="s">
        <v>459</v>
      </c>
      <c r="O31" t="s">
        <v>460</v>
      </c>
    </row>
    <row r="32" spans="3:15">
      <c r="C32" t="s">
        <v>103</v>
      </c>
      <c r="D32">
        <v>1</v>
      </c>
      <c r="E32">
        <v>1</v>
      </c>
      <c r="F32">
        <v>1</v>
      </c>
      <c r="G32">
        <v>5</v>
      </c>
      <c r="H32">
        <v>4</v>
      </c>
      <c r="I32">
        <v>4</v>
      </c>
      <c r="K32" t="s">
        <v>461</v>
      </c>
      <c r="L32" t="s">
        <v>462</v>
      </c>
      <c r="M32" t="s">
        <v>463</v>
      </c>
      <c r="N32" t="s">
        <v>464</v>
      </c>
      <c r="O32" t="s">
        <v>465</v>
      </c>
    </row>
    <row r="33" spans="3:15">
      <c r="C33" t="s">
        <v>104</v>
      </c>
      <c r="D33">
        <v>5</v>
      </c>
      <c r="E33">
        <v>4</v>
      </c>
      <c r="F33">
        <v>1</v>
      </c>
      <c r="G33">
        <v>5</v>
      </c>
      <c r="H33">
        <v>4</v>
      </c>
      <c r="I33">
        <v>5</v>
      </c>
      <c r="K33" t="s">
        <v>466</v>
      </c>
      <c r="L33" t="s">
        <v>467</v>
      </c>
      <c r="M33" t="s">
        <v>468</v>
      </c>
      <c r="N33" t="s">
        <v>469</v>
      </c>
      <c r="O33" t="s">
        <v>470</v>
      </c>
    </row>
    <row r="34" spans="3:15">
      <c r="C34" t="s">
        <v>105</v>
      </c>
      <c r="D34">
        <v>1</v>
      </c>
      <c r="E34">
        <v>1</v>
      </c>
      <c r="F34">
        <v>5</v>
      </c>
      <c r="G34">
        <v>5</v>
      </c>
      <c r="H34">
        <v>1</v>
      </c>
      <c r="I34">
        <v>4</v>
      </c>
      <c r="K34" t="s">
        <v>471</v>
      </c>
      <c r="L34" t="s">
        <v>472</v>
      </c>
      <c r="M34" t="s">
        <v>473</v>
      </c>
      <c r="N34" t="s">
        <v>474</v>
      </c>
      <c r="O34" t="s">
        <v>475</v>
      </c>
    </row>
    <row r="35" spans="3:15">
      <c r="C35" t="s">
        <v>106</v>
      </c>
      <c r="D35">
        <v>1</v>
      </c>
      <c r="E35">
        <v>1</v>
      </c>
      <c r="F35">
        <v>4</v>
      </c>
      <c r="G35">
        <v>4</v>
      </c>
      <c r="H35">
        <v>1</v>
      </c>
      <c r="I35">
        <v>1</v>
      </c>
      <c r="K35" t="s">
        <v>476</v>
      </c>
      <c r="L35" t="s">
        <v>477</v>
      </c>
      <c r="M35" t="s">
        <v>478</v>
      </c>
      <c r="N35" t="s">
        <v>479</v>
      </c>
      <c r="O35" t="s">
        <v>480</v>
      </c>
    </row>
    <row r="36" spans="3:15">
      <c r="C36" t="s">
        <v>107</v>
      </c>
      <c r="D36">
        <v>1</v>
      </c>
      <c r="E36">
        <v>4</v>
      </c>
      <c r="F36">
        <v>5</v>
      </c>
      <c r="G36">
        <v>5</v>
      </c>
      <c r="H36">
        <v>4</v>
      </c>
      <c r="I36">
        <v>1</v>
      </c>
      <c r="K36" t="s">
        <v>481</v>
      </c>
      <c r="L36" t="s">
        <v>482</v>
      </c>
      <c r="M36" t="s">
        <v>483</v>
      </c>
      <c r="N36" t="s">
        <v>484</v>
      </c>
      <c r="O36" t="s">
        <v>485</v>
      </c>
    </row>
    <row r="37" spans="3:15">
      <c r="C37" t="s">
        <v>108</v>
      </c>
      <c r="D37">
        <v>1</v>
      </c>
      <c r="E37">
        <v>1</v>
      </c>
      <c r="F37">
        <v>5</v>
      </c>
      <c r="G37">
        <v>1</v>
      </c>
      <c r="H37">
        <v>4</v>
      </c>
      <c r="I37">
        <v>5</v>
      </c>
      <c r="K37" t="s">
        <v>486</v>
      </c>
      <c r="L37" t="s">
        <v>487</v>
      </c>
      <c r="M37" t="s">
        <v>488</v>
      </c>
      <c r="N37" t="s">
        <v>489</v>
      </c>
      <c r="O37" t="s">
        <v>490</v>
      </c>
    </row>
    <row r="38" spans="3:15">
      <c r="C38" t="s">
        <v>109</v>
      </c>
      <c r="D38">
        <v>3</v>
      </c>
      <c r="E38">
        <v>3</v>
      </c>
      <c r="F38">
        <v>4</v>
      </c>
      <c r="G38">
        <v>4</v>
      </c>
      <c r="H38">
        <v>3</v>
      </c>
      <c r="I38">
        <v>3</v>
      </c>
      <c r="K38" t="s">
        <v>491</v>
      </c>
      <c r="L38" t="s">
        <v>492</v>
      </c>
      <c r="M38" t="s">
        <v>493</v>
      </c>
      <c r="N38" t="s">
        <v>494</v>
      </c>
      <c r="O38" t="s">
        <v>495</v>
      </c>
    </row>
    <row r="39" spans="3:15">
      <c r="C39" t="s">
        <v>110</v>
      </c>
      <c r="D39">
        <v>3</v>
      </c>
      <c r="E39">
        <v>3</v>
      </c>
      <c r="F39">
        <v>4</v>
      </c>
      <c r="G39">
        <v>4</v>
      </c>
      <c r="H39">
        <v>3</v>
      </c>
      <c r="I39">
        <v>3</v>
      </c>
      <c r="K39" t="s">
        <v>496</v>
      </c>
      <c r="L39" t="s">
        <v>497</v>
      </c>
      <c r="M39" t="s">
        <v>498</v>
      </c>
      <c r="N39" t="s">
        <v>499</v>
      </c>
      <c r="O39" t="s">
        <v>460</v>
      </c>
    </row>
    <row r="40" spans="3:15">
      <c r="C40" t="s">
        <v>111</v>
      </c>
      <c r="D40">
        <v>2</v>
      </c>
      <c r="E40">
        <v>2</v>
      </c>
      <c r="F40">
        <v>3</v>
      </c>
      <c r="G40">
        <v>3</v>
      </c>
      <c r="H40">
        <v>2</v>
      </c>
      <c r="I40">
        <v>2</v>
      </c>
      <c r="K40" t="s">
        <v>500</v>
      </c>
      <c r="L40" t="s">
        <v>501</v>
      </c>
      <c r="M40" t="s">
        <v>502</v>
      </c>
      <c r="N40" t="s">
        <v>503</v>
      </c>
      <c r="O40" t="s">
        <v>504</v>
      </c>
    </row>
    <row r="41" spans="3:15">
      <c r="C41" t="s">
        <v>112</v>
      </c>
      <c r="D41">
        <v>2</v>
      </c>
      <c r="E41">
        <v>2</v>
      </c>
      <c r="F41">
        <v>4</v>
      </c>
      <c r="G41">
        <v>3</v>
      </c>
      <c r="H41">
        <v>2</v>
      </c>
      <c r="I41">
        <v>2</v>
      </c>
      <c r="K41" t="s">
        <v>505</v>
      </c>
      <c r="L41" t="s">
        <v>506</v>
      </c>
      <c r="M41" t="s">
        <v>507</v>
      </c>
      <c r="N41" t="s">
        <v>508</v>
      </c>
      <c r="O41" t="s">
        <v>509</v>
      </c>
    </row>
    <row r="42" spans="3:15">
      <c r="C42" t="s">
        <v>113</v>
      </c>
      <c r="D42">
        <v>2</v>
      </c>
      <c r="E42">
        <v>2</v>
      </c>
      <c r="F42">
        <v>4</v>
      </c>
      <c r="G42">
        <v>2</v>
      </c>
      <c r="H42">
        <v>2</v>
      </c>
      <c r="I42">
        <v>3</v>
      </c>
      <c r="K42" t="s">
        <v>510</v>
      </c>
      <c r="L42" t="s">
        <v>511</v>
      </c>
      <c r="M42" t="s">
        <v>512</v>
      </c>
      <c r="N42" t="s">
        <v>513</v>
      </c>
      <c r="O42" t="s">
        <v>514</v>
      </c>
    </row>
    <row r="43" spans="3:15">
      <c r="C43" t="s">
        <v>114</v>
      </c>
      <c r="D43">
        <v>2</v>
      </c>
      <c r="E43">
        <v>2</v>
      </c>
      <c r="F43">
        <v>4</v>
      </c>
      <c r="G43">
        <v>1</v>
      </c>
      <c r="H43">
        <v>2</v>
      </c>
      <c r="I43">
        <v>2</v>
      </c>
      <c r="K43" t="s">
        <v>515</v>
      </c>
      <c r="L43" t="s">
        <v>516</v>
      </c>
      <c r="M43" t="s">
        <v>517</v>
      </c>
      <c r="N43" t="s">
        <v>518</v>
      </c>
      <c r="O43" t="s">
        <v>519</v>
      </c>
    </row>
    <row r="44" spans="3:15">
      <c r="C44" t="s">
        <v>115</v>
      </c>
      <c r="D44">
        <v>2</v>
      </c>
      <c r="E44">
        <v>2</v>
      </c>
      <c r="F44">
        <v>4</v>
      </c>
      <c r="G44">
        <v>1</v>
      </c>
      <c r="H44">
        <v>2</v>
      </c>
      <c r="I44">
        <v>2</v>
      </c>
      <c r="K44" t="s">
        <v>520</v>
      </c>
      <c r="L44" t="s">
        <v>521</v>
      </c>
      <c r="M44" t="s">
        <v>522</v>
      </c>
      <c r="N44" t="s">
        <v>523</v>
      </c>
      <c r="O44" t="s">
        <v>460</v>
      </c>
    </row>
  </sheetData>
  <mergeCells count="5">
    <mergeCell ref="K8:K10"/>
    <mergeCell ref="L8:L10"/>
    <mergeCell ref="M8:M10"/>
    <mergeCell ref="N8:N10"/>
    <mergeCell ref="O8:O10"/>
  </mergeCells>
  <conditionalFormatting sqref="D3:I3">
    <cfRule type="cellIs" dxfId="3" priority="6" operator="greaterThan">
      <formula>$B$14</formula>
    </cfRule>
  </conditionalFormatting>
  <conditionalFormatting sqref="D11:I34">
    <cfRule type="colorScale" priority="2">
      <colorScale>
        <cfvo type="min"/>
        <cfvo type="percentile" val="50"/>
        <cfvo type="max"/>
        <color rgb="FFF8696B"/>
        <color rgb="FFFFEB84"/>
        <color rgb="FF63BE7B"/>
      </colorScale>
    </cfRule>
  </conditionalFormatting>
  <conditionalFormatting sqref="D35:I44">
    <cfRule type="colorScale" priority="1">
      <colorScale>
        <cfvo type="min"/>
        <cfvo type="percentile" val="50"/>
        <cfvo type="max"/>
        <color rgb="FFF8696B"/>
        <color rgb="FFFFEB84"/>
        <color rgb="FF63BE7B"/>
      </colorScale>
    </cfRule>
  </conditionalFormatting>
  <dataValidations count="1">
    <dataValidation type="whole" allowBlank="1" showInputMessage="1" showErrorMessage="1" sqref="D11:I34" xr:uid="{D6211E95-9C90-E54B-9A82-5A6AD78E7262}">
      <formula1>1</formula1>
      <formula2>5</formula2>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630F7-BA6C-430F-B96A-5F7FFAE40D75}">
  <dimension ref="A1:O44"/>
  <sheetViews>
    <sheetView topLeftCell="C7" workbookViewId="0">
      <selection activeCell="D11" sqref="D11"/>
    </sheetView>
  </sheetViews>
  <sheetFormatPr defaultColWidth="8.85546875" defaultRowHeight="15"/>
  <cols>
    <col min="1" max="1" width="10" bestFit="1" customWidth="1"/>
    <col min="3" max="3" width="30.140625" customWidth="1"/>
    <col min="11" max="15" width="17.85546875" style="25" customWidth="1"/>
  </cols>
  <sheetData>
    <row r="1" spans="1:15" s="19" customFormat="1" ht="15.95" thickBot="1">
      <c r="C1" s="20" t="s">
        <v>524</v>
      </c>
    </row>
    <row r="2" spans="1:15" ht="15.95" thickBot="1">
      <c r="A2" s="9" t="s">
        <v>71</v>
      </c>
      <c r="B2" s="2">
        <v>5</v>
      </c>
      <c r="D2" s="6" t="s">
        <v>9</v>
      </c>
      <c r="E2" s="7" t="s">
        <v>10</v>
      </c>
      <c r="F2" s="7" t="s">
        <v>11</v>
      </c>
      <c r="G2" s="7" t="s">
        <v>12</v>
      </c>
      <c r="H2" s="7" t="s">
        <v>13</v>
      </c>
      <c r="I2" s="8" t="s">
        <v>14</v>
      </c>
      <c r="K2"/>
      <c r="L2"/>
      <c r="M2"/>
      <c r="N2"/>
      <c r="O2"/>
    </row>
    <row r="3" spans="1:15">
      <c r="A3" s="10" t="s">
        <v>72</v>
      </c>
      <c r="B3" s="3">
        <v>4</v>
      </c>
      <c r="C3" t="s">
        <v>173</v>
      </c>
      <c r="D3">
        <f t="shared" ref="D3:I3" si="0">SUM(D11:D61)</f>
        <v>104</v>
      </c>
      <c r="E3">
        <f t="shared" si="0"/>
        <v>104</v>
      </c>
      <c r="F3">
        <f t="shared" si="0"/>
        <v>104</v>
      </c>
      <c r="G3">
        <f t="shared" si="0"/>
        <v>104</v>
      </c>
      <c r="H3">
        <f t="shared" si="0"/>
        <v>104</v>
      </c>
      <c r="I3">
        <f t="shared" si="0"/>
        <v>104</v>
      </c>
      <c r="K3"/>
      <c r="L3"/>
      <c r="M3"/>
      <c r="N3"/>
      <c r="O3"/>
    </row>
    <row r="4" spans="1:15">
      <c r="A4" s="11" t="s">
        <v>73</v>
      </c>
      <c r="B4" s="3">
        <v>3</v>
      </c>
      <c r="C4" t="s">
        <v>174</v>
      </c>
      <c r="D4">
        <f>COUNTIF(D$11:D$61, 5)</f>
        <v>5</v>
      </c>
      <c r="E4">
        <f t="shared" ref="E4:I4" si="1">COUNTIF(E$11:E$61, 5)</f>
        <v>3</v>
      </c>
      <c r="F4">
        <f t="shared" si="1"/>
        <v>3</v>
      </c>
      <c r="G4">
        <f t="shared" si="1"/>
        <v>4</v>
      </c>
      <c r="H4">
        <f t="shared" si="1"/>
        <v>7</v>
      </c>
      <c r="I4">
        <f t="shared" si="1"/>
        <v>8</v>
      </c>
      <c r="K4"/>
      <c r="L4"/>
      <c r="M4"/>
      <c r="N4"/>
      <c r="O4"/>
    </row>
    <row r="5" spans="1:15">
      <c r="A5" s="12" t="s">
        <v>74</v>
      </c>
      <c r="B5" s="3">
        <v>2</v>
      </c>
      <c r="C5" t="s">
        <v>175</v>
      </c>
      <c r="D5">
        <f>COUNTIF(D$11:D$61, 4)</f>
        <v>10</v>
      </c>
      <c r="E5">
        <f t="shared" ref="E5:I5" si="2">COUNTIF(E$11:E$61, 4)</f>
        <v>12</v>
      </c>
      <c r="F5">
        <f t="shared" si="2"/>
        <v>11</v>
      </c>
      <c r="G5">
        <f t="shared" si="2"/>
        <v>8</v>
      </c>
      <c r="H5">
        <f t="shared" si="2"/>
        <v>3</v>
      </c>
      <c r="I5">
        <f t="shared" si="2"/>
        <v>6</v>
      </c>
      <c r="K5"/>
      <c r="L5"/>
      <c r="M5"/>
      <c r="N5"/>
      <c r="O5"/>
    </row>
    <row r="6" spans="1:15" ht="15.95" thickBot="1">
      <c r="A6" s="13" t="s">
        <v>75</v>
      </c>
      <c r="B6" s="4">
        <v>1</v>
      </c>
      <c r="C6" t="s">
        <v>176</v>
      </c>
      <c r="D6">
        <f>COUNTIF(D$11:D$61, 3)</f>
        <v>6</v>
      </c>
      <c r="E6">
        <f t="shared" ref="E6:I6" si="3">COUNTIF(E$11:E$61, 3)</f>
        <v>5</v>
      </c>
      <c r="F6">
        <f t="shared" si="3"/>
        <v>11</v>
      </c>
      <c r="G6">
        <f t="shared" si="3"/>
        <v>14</v>
      </c>
      <c r="H6">
        <f t="shared" si="3"/>
        <v>13</v>
      </c>
      <c r="I6">
        <f t="shared" si="3"/>
        <v>5</v>
      </c>
      <c r="K6"/>
      <c r="L6"/>
      <c r="M6"/>
      <c r="N6"/>
      <c r="O6"/>
    </row>
    <row r="7" spans="1:15">
      <c r="C7" t="s">
        <v>177</v>
      </c>
      <c r="D7">
        <f>COUNTIF(D$11:D$61, 2)</f>
        <v>8</v>
      </c>
      <c r="E7">
        <f t="shared" ref="E7:I7" si="4">COUNTIF(E$11:E$61, 2)</f>
        <v>12</v>
      </c>
      <c r="F7">
        <f t="shared" si="4"/>
        <v>3</v>
      </c>
      <c r="G7">
        <f t="shared" si="4"/>
        <v>2</v>
      </c>
      <c r="H7">
        <f t="shared" si="4"/>
        <v>7</v>
      </c>
      <c r="I7">
        <f t="shared" si="4"/>
        <v>10</v>
      </c>
      <c r="K7"/>
      <c r="L7"/>
      <c r="M7"/>
      <c r="N7"/>
      <c r="O7"/>
    </row>
    <row r="8" spans="1:15" ht="14.45" customHeight="1">
      <c r="C8" t="s">
        <v>178</v>
      </c>
      <c r="D8">
        <f>COUNTIF(D$11:D$61, 1)</f>
        <v>5</v>
      </c>
      <c r="E8">
        <f t="shared" ref="E8:I8" si="5">COUNTIF(E$11:E$61, 1)</f>
        <v>2</v>
      </c>
      <c r="F8">
        <f t="shared" si="5"/>
        <v>6</v>
      </c>
      <c r="G8">
        <f t="shared" si="5"/>
        <v>6</v>
      </c>
      <c r="H8">
        <f t="shared" si="5"/>
        <v>4</v>
      </c>
      <c r="I8">
        <f t="shared" si="5"/>
        <v>5</v>
      </c>
      <c r="K8" s="86" t="s">
        <v>179</v>
      </c>
      <c r="L8" s="86" t="s">
        <v>180</v>
      </c>
      <c r="M8" s="86" t="s">
        <v>181</v>
      </c>
      <c r="N8" s="86" t="s">
        <v>182</v>
      </c>
      <c r="O8" s="86" t="s">
        <v>183</v>
      </c>
    </row>
    <row r="9" spans="1:15" ht="15.95" thickBot="1">
      <c r="K9" s="86"/>
      <c r="L9" s="86"/>
      <c r="M9" s="86"/>
      <c r="N9" s="86"/>
      <c r="O9" s="86"/>
    </row>
    <row r="10" spans="1:15" ht="15.95" thickBot="1">
      <c r="C10" s="21" t="s">
        <v>184</v>
      </c>
      <c r="D10" s="6" t="s">
        <v>9</v>
      </c>
      <c r="E10" s="7" t="s">
        <v>10</v>
      </c>
      <c r="F10" s="7" t="s">
        <v>11</v>
      </c>
      <c r="G10" s="7" t="s">
        <v>12</v>
      </c>
      <c r="H10" s="7" t="s">
        <v>13</v>
      </c>
      <c r="I10" s="8" t="s">
        <v>14</v>
      </c>
      <c r="K10" s="86"/>
      <c r="L10" s="86"/>
      <c r="M10" s="86"/>
      <c r="N10" s="86"/>
      <c r="O10" s="86"/>
    </row>
    <row r="11" spans="1:15">
      <c r="A11" t="s">
        <v>78</v>
      </c>
      <c r="B11" s="1">
        <f>COUNTA(C11:C61)</f>
        <v>34</v>
      </c>
      <c r="C11" t="s">
        <v>79</v>
      </c>
      <c r="D11">
        <v>4</v>
      </c>
      <c r="E11">
        <v>4</v>
      </c>
      <c r="F11">
        <v>4</v>
      </c>
      <c r="G11">
        <v>4</v>
      </c>
      <c r="H11">
        <v>3</v>
      </c>
      <c r="I11">
        <v>4</v>
      </c>
      <c r="K11" t="s">
        <v>525</v>
      </c>
      <c r="L11" t="s">
        <v>526</v>
      </c>
      <c r="M11" t="s">
        <v>527</v>
      </c>
      <c r="N11" t="s">
        <v>528</v>
      </c>
      <c r="O11" t="s">
        <v>529</v>
      </c>
    </row>
    <row r="12" spans="1:15">
      <c r="A12" t="s">
        <v>80</v>
      </c>
      <c r="B12">
        <f>_xlfn.FLOOR.MATH(B11/5)</f>
        <v>6</v>
      </c>
      <c r="C12" t="s">
        <v>81</v>
      </c>
      <c r="D12">
        <v>4</v>
      </c>
      <c r="E12">
        <v>4</v>
      </c>
      <c r="F12">
        <v>4</v>
      </c>
      <c r="G12">
        <v>4</v>
      </c>
      <c r="H12">
        <v>3</v>
      </c>
      <c r="I12">
        <v>4</v>
      </c>
      <c r="K12" t="s">
        <v>530</v>
      </c>
      <c r="L12" t="s">
        <v>531</v>
      </c>
      <c r="M12" t="s">
        <v>532</v>
      </c>
      <c r="N12" t="s">
        <v>533</v>
      </c>
      <c r="O12" t="s">
        <v>534</v>
      </c>
    </row>
    <row r="13" spans="1:15">
      <c r="A13" t="s">
        <v>82</v>
      </c>
      <c r="B13">
        <f>MOD(B11,5)</f>
        <v>4</v>
      </c>
      <c r="C13" t="s">
        <v>83</v>
      </c>
      <c r="D13">
        <v>4</v>
      </c>
      <c r="E13">
        <v>4</v>
      </c>
      <c r="F13">
        <v>4</v>
      </c>
      <c r="G13">
        <v>4</v>
      </c>
      <c r="H13">
        <v>3</v>
      </c>
      <c r="I13">
        <v>4</v>
      </c>
      <c r="K13" t="s">
        <v>535</v>
      </c>
      <c r="L13" t="s">
        <v>536</v>
      </c>
      <c r="M13" t="s">
        <v>537</v>
      </c>
      <c r="N13" t="s">
        <v>538</v>
      </c>
      <c r="O13" t="s">
        <v>539</v>
      </c>
    </row>
    <row r="14" spans="1:15">
      <c r="A14" t="s">
        <v>84</v>
      </c>
      <c r="B14" s="30">
        <f ca="1">(B12*SUM($B$2:$B$6))+IF(B11=0,0,SUM($B$2:INDEX(B:B,$B$13+1)))</f>
        <v>104</v>
      </c>
      <c r="C14" t="s">
        <v>85</v>
      </c>
      <c r="D14">
        <v>4</v>
      </c>
      <c r="E14">
        <v>4</v>
      </c>
      <c r="F14">
        <v>4</v>
      </c>
      <c r="G14">
        <v>4</v>
      </c>
      <c r="H14">
        <v>3</v>
      </c>
      <c r="I14">
        <v>4</v>
      </c>
      <c r="K14" t="s">
        <v>540</v>
      </c>
      <c r="L14" t="s">
        <v>541</v>
      </c>
      <c r="M14" t="s">
        <v>542</v>
      </c>
      <c r="N14" t="s">
        <v>543</v>
      </c>
      <c r="O14" t="s">
        <v>544</v>
      </c>
    </row>
    <row r="15" spans="1:15">
      <c r="C15" t="s">
        <v>86</v>
      </c>
      <c r="D15">
        <v>5</v>
      </c>
      <c r="E15">
        <v>3</v>
      </c>
      <c r="F15">
        <v>4</v>
      </c>
      <c r="G15">
        <v>5</v>
      </c>
      <c r="H15">
        <v>5</v>
      </c>
      <c r="I15">
        <v>5</v>
      </c>
      <c r="K15" t="s">
        <v>545</v>
      </c>
      <c r="L15" t="s">
        <v>546</v>
      </c>
      <c r="M15" t="s">
        <v>547</v>
      </c>
      <c r="N15" t="s">
        <v>548</v>
      </c>
      <c r="O15" t="s">
        <v>549</v>
      </c>
    </row>
    <row r="16" spans="1:15">
      <c r="C16" t="s">
        <v>87</v>
      </c>
      <c r="D16">
        <v>5</v>
      </c>
      <c r="E16">
        <v>2</v>
      </c>
      <c r="F16">
        <v>3</v>
      </c>
      <c r="G16">
        <v>3</v>
      </c>
      <c r="H16">
        <v>3</v>
      </c>
      <c r="I16">
        <v>5</v>
      </c>
      <c r="K16" t="s">
        <v>550</v>
      </c>
      <c r="L16" t="s">
        <v>551</v>
      </c>
      <c r="M16" t="s">
        <v>552</v>
      </c>
      <c r="N16" t="s">
        <v>553</v>
      </c>
      <c r="O16" t="s">
        <v>554</v>
      </c>
    </row>
    <row r="17" spans="3:15">
      <c r="C17" t="s">
        <v>88</v>
      </c>
      <c r="D17">
        <v>5</v>
      </c>
      <c r="E17">
        <v>2</v>
      </c>
      <c r="F17">
        <v>3</v>
      </c>
      <c r="G17">
        <v>3</v>
      </c>
      <c r="H17">
        <v>2</v>
      </c>
      <c r="I17">
        <v>5</v>
      </c>
      <c r="K17" t="s">
        <v>555</v>
      </c>
      <c r="L17" t="s">
        <v>556</v>
      </c>
      <c r="M17" t="s">
        <v>557</v>
      </c>
      <c r="N17" t="s">
        <v>558</v>
      </c>
      <c r="O17" t="s">
        <v>559</v>
      </c>
    </row>
    <row r="18" spans="3:15">
      <c r="C18" t="s">
        <v>89</v>
      </c>
      <c r="D18">
        <v>4</v>
      </c>
      <c r="E18">
        <v>2</v>
      </c>
      <c r="F18">
        <v>3</v>
      </c>
      <c r="G18">
        <v>3</v>
      </c>
      <c r="H18">
        <v>2</v>
      </c>
      <c r="I18">
        <v>4</v>
      </c>
      <c r="K18" t="s">
        <v>560</v>
      </c>
      <c r="L18" t="s">
        <v>561</v>
      </c>
      <c r="M18" t="s">
        <v>562</v>
      </c>
      <c r="N18" t="s">
        <v>563</v>
      </c>
      <c r="O18" t="s">
        <v>544</v>
      </c>
    </row>
    <row r="19" spans="3:15">
      <c r="C19" t="s">
        <v>90</v>
      </c>
      <c r="D19">
        <v>5</v>
      </c>
      <c r="E19">
        <v>2</v>
      </c>
      <c r="F19">
        <v>3</v>
      </c>
      <c r="G19">
        <v>3</v>
      </c>
      <c r="H19">
        <v>5</v>
      </c>
      <c r="I19">
        <v>5</v>
      </c>
      <c r="K19" t="s">
        <v>564</v>
      </c>
      <c r="L19" t="s">
        <v>565</v>
      </c>
      <c r="M19" t="s">
        <v>566</v>
      </c>
      <c r="N19" t="s">
        <v>567</v>
      </c>
      <c r="O19" t="s">
        <v>568</v>
      </c>
    </row>
    <row r="20" spans="3:15">
      <c r="C20" t="s">
        <v>91</v>
      </c>
      <c r="D20">
        <v>4</v>
      </c>
      <c r="E20">
        <v>2</v>
      </c>
      <c r="F20">
        <v>3</v>
      </c>
      <c r="G20">
        <v>3</v>
      </c>
      <c r="H20">
        <v>2</v>
      </c>
      <c r="I20">
        <v>2</v>
      </c>
      <c r="K20" t="s">
        <v>569</v>
      </c>
      <c r="L20" t="s">
        <v>570</v>
      </c>
      <c r="M20" t="s">
        <v>571</v>
      </c>
      <c r="N20" t="s">
        <v>572</v>
      </c>
      <c r="O20" t="s">
        <v>573</v>
      </c>
    </row>
    <row r="21" spans="3:15">
      <c r="C21" t="s">
        <v>92</v>
      </c>
      <c r="D21">
        <v>4</v>
      </c>
      <c r="E21">
        <v>2</v>
      </c>
      <c r="F21">
        <v>3</v>
      </c>
      <c r="G21">
        <v>3</v>
      </c>
      <c r="H21">
        <v>2</v>
      </c>
      <c r="I21">
        <v>2</v>
      </c>
      <c r="K21" t="s">
        <v>574</v>
      </c>
      <c r="L21" t="s">
        <v>575</v>
      </c>
      <c r="M21" t="s">
        <v>576</v>
      </c>
      <c r="N21" t="s">
        <v>577</v>
      </c>
      <c r="O21" t="s">
        <v>578</v>
      </c>
    </row>
    <row r="22" spans="3:15">
      <c r="C22" t="s">
        <v>93</v>
      </c>
      <c r="D22">
        <v>4</v>
      </c>
      <c r="E22">
        <v>1</v>
      </c>
      <c r="F22">
        <v>3</v>
      </c>
      <c r="G22">
        <v>2</v>
      </c>
      <c r="H22">
        <v>2</v>
      </c>
      <c r="I22">
        <v>2</v>
      </c>
      <c r="K22" t="s">
        <v>579</v>
      </c>
      <c r="L22" t="s">
        <v>580</v>
      </c>
      <c r="M22" t="s">
        <v>581</v>
      </c>
      <c r="N22" t="s">
        <v>582</v>
      </c>
      <c r="O22" t="s">
        <v>583</v>
      </c>
    </row>
    <row r="23" spans="3:15">
      <c r="C23" t="s">
        <v>94</v>
      </c>
      <c r="D23">
        <v>4</v>
      </c>
      <c r="E23">
        <v>4</v>
      </c>
      <c r="F23">
        <v>4</v>
      </c>
      <c r="G23">
        <v>4</v>
      </c>
      <c r="H23">
        <v>3</v>
      </c>
      <c r="I23">
        <v>3</v>
      </c>
      <c r="K23" t="s">
        <v>584</v>
      </c>
      <c r="L23" t="s">
        <v>585</v>
      </c>
      <c r="M23" t="s">
        <v>586</v>
      </c>
      <c r="N23" t="s">
        <v>587</v>
      </c>
      <c r="O23" t="s">
        <v>588</v>
      </c>
    </row>
    <row r="24" spans="3:15">
      <c r="C24" t="s">
        <v>95</v>
      </c>
      <c r="D24">
        <v>3</v>
      </c>
      <c r="E24">
        <v>3</v>
      </c>
      <c r="F24">
        <v>3</v>
      </c>
      <c r="G24">
        <v>3</v>
      </c>
      <c r="H24">
        <v>3</v>
      </c>
      <c r="I24">
        <v>3</v>
      </c>
      <c r="K24" t="s">
        <v>589</v>
      </c>
      <c r="L24" t="s">
        <v>590</v>
      </c>
      <c r="M24" t="s">
        <v>552</v>
      </c>
      <c r="N24" t="s">
        <v>553</v>
      </c>
      <c r="O24" t="s">
        <v>591</v>
      </c>
    </row>
    <row r="25" spans="3:15">
      <c r="C25" t="s">
        <v>96</v>
      </c>
      <c r="D25">
        <v>3</v>
      </c>
      <c r="E25">
        <v>2</v>
      </c>
      <c r="F25">
        <v>3</v>
      </c>
      <c r="G25">
        <v>3</v>
      </c>
      <c r="H25">
        <v>2</v>
      </c>
      <c r="I25">
        <v>3</v>
      </c>
      <c r="K25" t="s">
        <v>592</v>
      </c>
      <c r="L25" t="s">
        <v>593</v>
      </c>
      <c r="M25" t="s">
        <v>594</v>
      </c>
      <c r="N25" t="s">
        <v>595</v>
      </c>
      <c r="O25" t="s">
        <v>596</v>
      </c>
    </row>
    <row r="26" spans="3:15">
      <c r="C26" t="s">
        <v>97</v>
      </c>
      <c r="D26">
        <v>4</v>
      </c>
      <c r="E26">
        <v>4</v>
      </c>
      <c r="F26">
        <v>4</v>
      </c>
      <c r="G26">
        <v>4</v>
      </c>
      <c r="H26">
        <v>3</v>
      </c>
      <c r="I26">
        <v>5</v>
      </c>
      <c r="K26" t="s">
        <v>597</v>
      </c>
      <c r="L26" t="s">
        <v>598</v>
      </c>
      <c r="M26" t="s">
        <v>599</v>
      </c>
      <c r="N26" t="s">
        <v>600</v>
      </c>
      <c r="O26" t="s">
        <v>601</v>
      </c>
    </row>
    <row r="27" spans="3:15">
      <c r="C27" t="s">
        <v>98</v>
      </c>
      <c r="D27">
        <v>3</v>
      </c>
      <c r="E27">
        <v>2</v>
      </c>
      <c r="F27">
        <v>3</v>
      </c>
      <c r="G27">
        <v>3</v>
      </c>
      <c r="H27">
        <v>2</v>
      </c>
      <c r="I27">
        <v>2</v>
      </c>
      <c r="K27" t="s">
        <v>602</v>
      </c>
      <c r="L27" t="s">
        <v>603</v>
      </c>
      <c r="M27" t="s">
        <v>604</v>
      </c>
      <c r="N27" t="s">
        <v>605</v>
      </c>
      <c r="O27" t="s">
        <v>606</v>
      </c>
    </row>
    <row r="28" spans="3:15">
      <c r="C28" t="s">
        <v>99</v>
      </c>
      <c r="D28">
        <v>5</v>
      </c>
      <c r="E28">
        <v>5</v>
      </c>
      <c r="F28">
        <v>2</v>
      </c>
      <c r="G28">
        <v>2</v>
      </c>
      <c r="H28">
        <v>5</v>
      </c>
      <c r="I28">
        <v>5</v>
      </c>
      <c r="K28" t="s">
        <v>607</v>
      </c>
      <c r="L28" t="s">
        <v>608</v>
      </c>
      <c r="M28" t="s">
        <v>609</v>
      </c>
      <c r="N28" t="s">
        <v>610</v>
      </c>
      <c r="O28" t="s">
        <v>611</v>
      </c>
    </row>
    <row r="29" spans="3:15">
      <c r="C29" t="s">
        <v>100</v>
      </c>
      <c r="D29">
        <v>2</v>
      </c>
      <c r="E29">
        <v>5</v>
      </c>
      <c r="F29">
        <v>2</v>
      </c>
      <c r="G29">
        <v>1</v>
      </c>
      <c r="H29">
        <v>1</v>
      </c>
      <c r="I29">
        <v>2</v>
      </c>
      <c r="K29" t="s">
        <v>612</v>
      </c>
      <c r="L29" t="s">
        <v>613</v>
      </c>
      <c r="M29" t="s">
        <v>614</v>
      </c>
      <c r="N29" t="s">
        <v>615</v>
      </c>
      <c r="O29" t="s">
        <v>616</v>
      </c>
    </row>
    <row r="30" spans="3:15">
      <c r="C30" t="s">
        <v>101</v>
      </c>
      <c r="D30">
        <v>2</v>
      </c>
      <c r="E30">
        <v>1</v>
      </c>
      <c r="F30">
        <v>2</v>
      </c>
      <c r="G30">
        <v>1</v>
      </c>
      <c r="H30">
        <v>1</v>
      </c>
      <c r="I30">
        <v>1</v>
      </c>
      <c r="K30" t="s">
        <v>617</v>
      </c>
      <c r="L30" t="s">
        <v>618</v>
      </c>
      <c r="M30" t="s">
        <v>619</v>
      </c>
      <c r="N30" t="s">
        <v>558</v>
      </c>
      <c r="O30" t="s">
        <v>559</v>
      </c>
    </row>
    <row r="31" spans="3:15">
      <c r="C31" t="s">
        <v>102</v>
      </c>
      <c r="D31">
        <v>2</v>
      </c>
      <c r="E31">
        <v>5</v>
      </c>
      <c r="F31">
        <v>1</v>
      </c>
      <c r="G31">
        <v>1</v>
      </c>
      <c r="H31">
        <v>5</v>
      </c>
      <c r="I31">
        <v>1</v>
      </c>
      <c r="K31" t="s">
        <v>620</v>
      </c>
      <c r="L31" t="s">
        <v>621</v>
      </c>
      <c r="M31" t="s">
        <v>622</v>
      </c>
      <c r="N31" t="s">
        <v>543</v>
      </c>
      <c r="O31" t="s">
        <v>544</v>
      </c>
    </row>
    <row r="32" spans="3:15">
      <c r="C32" t="s">
        <v>103</v>
      </c>
      <c r="D32">
        <v>1</v>
      </c>
      <c r="E32">
        <v>4</v>
      </c>
      <c r="F32">
        <v>1</v>
      </c>
      <c r="G32">
        <v>5</v>
      </c>
      <c r="H32">
        <v>5</v>
      </c>
      <c r="I32">
        <v>4</v>
      </c>
      <c r="K32" t="s">
        <v>623</v>
      </c>
      <c r="L32" t="s">
        <v>624</v>
      </c>
      <c r="M32" t="s">
        <v>625</v>
      </c>
      <c r="N32" t="s">
        <v>626</v>
      </c>
      <c r="O32" t="s">
        <v>627</v>
      </c>
    </row>
    <row r="33" spans="3:15">
      <c r="C33" t="s">
        <v>104</v>
      </c>
      <c r="D33">
        <v>3</v>
      </c>
      <c r="E33">
        <v>4</v>
      </c>
      <c r="F33">
        <v>1</v>
      </c>
      <c r="G33">
        <v>5</v>
      </c>
      <c r="H33">
        <v>4</v>
      </c>
      <c r="I33">
        <v>5</v>
      </c>
      <c r="K33" t="s">
        <v>628</v>
      </c>
      <c r="L33" t="s">
        <v>629</v>
      </c>
      <c r="M33" t="s">
        <v>630</v>
      </c>
      <c r="N33" t="s">
        <v>631</v>
      </c>
      <c r="O33" t="s">
        <v>632</v>
      </c>
    </row>
    <row r="34" spans="3:15">
      <c r="C34" t="s">
        <v>105</v>
      </c>
      <c r="D34">
        <v>1</v>
      </c>
      <c r="E34">
        <v>4</v>
      </c>
      <c r="F34">
        <v>1</v>
      </c>
      <c r="G34">
        <v>1</v>
      </c>
      <c r="H34">
        <v>1</v>
      </c>
      <c r="I34">
        <v>1</v>
      </c>
      <c r="K34" t="s">
        <v>633</v>
      </c>
      <c r="L34" t="s">
        <v>634</v>
      </c>
      <c r="M34" t="s">
        <v>635</v>
      </c>
      <c r="N34" t="s">
        <v>636</v>
      </c>
      <c r="O34" t="s">
        <v>637</v>
      </c>
    </row>
    <row r="35" spans="3:15">
      <c r="C35" t="s">
        <v>106</v>
      </c>
      <c r="D35">
        <v>1</v>
      </c>
      <c r="E35">
        <v>3</v>
      </c>
      <c r="F35">
        <v>1</v>
      </c>
      <c r="G35">
        <v>1</v>
      </c>
      <c r="H35">
        <v>5</v>
      </c>
      <c r="I35">
        <v>1</v>
      </c>
      <c r="K35" t="s">
        <v>638</v>
      </c>
      <c r="L35" t="s">
        <v>639</v>
      </c>
      <c r="M35" t="s">
        <v>640</v>
      </c>
      <c r="N35" t="s">
        <v>543</v>
      </c>
      <c r="O35" t="s">
        <v>544</v>
      </c>
    </row>
    <row r="36" spans="3:15">
      <c r="C36" t="s">
        <v>107</v>
      </c>
      <c r="D36">
        <v>1</v>
      </c>
      <c r="E36">
        <v>4</v>
      </c>
      <c r="F36">
        <v>1</v>
      </c>
      <c r="G36">
        <v>5</v>
      </c>
      <c r="H36">
        <v>1</v>
      </c>
      <c r="I36">
        <v>1</v>
      </c>
      <c r="K36" t="s">
        <v>641</v>
      </c>
      <c r="L36" t="s">
        <v>642</v>
      </c>
      <c r="M36" t="s">
        <v>643</v>
      </c>
      <c r="N36" t="s">
        <v>644</v>
      </c>
      <c r="O36" t="s">
        <v>645</v>
      </c>
    </row>
    <row r="37" spans="3:15">
      <c r="C37" t="s">
        <v>108</v>
      </c>
      <c r="D37">
        <v>1</v>
      </c>
      <c r="E37">
        <v>4</v>
      </c>
      <c r="F37">
        <v>5</v>
      </c>
      <c r="G37">
        <v>1</v>
      </c>
      <c r="H37">
        <v>4</v>
      </c>
      <c r="I37">
        <v>5</v>
      </c>
      <c r="K37" t="s">
        <v>646</v>
      </c>
      <c r="L37" t="s">
        <v>647</v>
      </c>
      <c r="M37" t="s">
        <v>648</v>
      </c>
      <c r="N37" t="s">
        <v>649</v>
      </c>
      <c r="O37" t="s">
        <v>650</v>
      </c>
    </row>
    <row r="38" spans="3:15">
      <c r="C38" t="s">
        <v>109</v>
      </c>
      <c r="D38">
        <v>3</v>
      </c>
      <c r="E38">
        <v>4</v>
      </c>
      <c r="F38">
        <v>5</v>
      </c>
      <c r="G38">
        <v>4</v>
      </c>
      <c r="H38">
        <v>4</v>
      </c>
      <c r="I38">
        <v>3</v>
      </c>
      <c r="K38" t="s">
        <v>651</v>
      </c>
      <c r="L38" t="s">
        <v>652</v>
      </c>
      <c r="M38" t="s">
        <v>653</v>
      </c>
      <c r="N38" t="s">
        <v>654</v>
      </c>
      <c r="O38" t="s">
        <v>637</v>
      </c>
    </row>
    <row r="39" spans="3:15">
      <c r="C39" t="s">
        <v>110</v>
      </c>
      <c r="D39">
        <v>3</v>
      </c>
      <c r="E39">
        <v>3</v>
      </c>
      <c r="F39">
        <v>5</v>
      </c>
      <c r="G39">
        <v>4</v>
      </c>
      <c r="H39">
        <v>5</v>
      </c>
      <c r="I39">
        <v>3</v>
      </c>
      <c r="K39" t="s">
        <v>655</v>
      </c>
      <c r="L39" t="s">
        <v>656</v>
      </c>
      <c r="M39" t="s">
        <v>657</v>
      </c>
      <c r="N39" t="s">
        <v>543</v>
      </c>
      <c r="O39" t="s">
        <v>544</v>
      </c>
    </row>
    <row r="40" spans="3:15">
      <c r="C40" t="s">
        <v>111</v>
      </c>
      <c r="D40">
        <v>2</v>
      </c>
      <c r="E40">
        <v>2</v>
      </c>
      <c r="F40">
        <v>3</v>
      </c>
      <c r="G40">
        <v>3</v>
      </c>
      <c r="H40">
        <v>3</v>
      </c>
      <c r="I40">
        <v>2</v>
      </c>
      <c r="K40" t="s">
        <v>658</v>
      </c>
      <c r="L40" t="s">
        <v>659</v>
      </c>
      <c r="M40" t="s">
        <v>660</v>
      </c>
      <c r="N40" t="s">
        <v>661</v>
      </c>
      <c r="O40" t="s">
        <v>662</v>
      </c>
    </row>
    <row r="41" spans="3:15">
      <c r="C41" t="s">
        <v>112</v>
      </c>
      <c r="D41">
        <v>2</v>
      </c>
      <c r="E41">
        <v>2</v>
      </c>
      <c r="F41">
        <v>4</v>
      </c>
      <c r="G41">
        <v>3</v>
      </c>
      <c r="H41">
        <v>3</v>
      </c>
      <c r="I41">
        <v>2</v>
      </c>
      <c r="K41" t="s">
        <v>663</v>
      </c>
      <c r="L41" t="s">
        <v>664</v>
      </c>
      <c r="M41" t="s">
        <v>665</v>
      </c>
      <c r="N41" t="s">
        <v>666</v>
      </c>
      <c r="O41" t="s">
        <v>667</v>
      </c>
    </row>
    <row r="42" spans="3:15">
      <c r="C42" t="s">
        <v>113</v>
      </c>
      <c r="D42">
        <v>2</v>
      </c>
      <c r="E42">
        <v>3</v>
      </c>
      <c r="F42">
        <v>4</v>
      </c>
      <c r="G42">
        <v>3</v>
      </c>
      <c r="H42">
        <v>3</v>
      </c>
      <c r="I42">
        <v>2</v>
      </c>
      <c r="K42" t="s">
        <v>668</v>
      </c>
      <c r="L42" t="s">
        <v>669</v>
      </c>
      <c r="M42" t="s">
        <v>670</v>
      </c>
      <c r="N42" t="s">
        <v>671</v>
      </c>
      <c r="O42" t="s">
        <v>672</v>
      </c>
    </row>
    <row r="43" spans="3:15">
      <c r="C43" t="s">
        <v>114</v>
      </c>
      <c r="D43">
        <v>2</v>
      </c>
      <c r="E43">
        <v>2</v>
      </c>
      <c r="F43">
        <v>4</v>
      </c>
      <c r="G43">
        <v>3</v>
      </c>
      <c r="H43">
        <v>3</v>
      </c>
      <c r="I43">
        <v>2</v>
      </c>
      <c r="K43" t="s">
        <v>673</v>
      </c>
      <c r="L43" t="s">
        <v>674</v>
      </c>
      <c r="M43" t="s">
        <v>675</v>
      </c>
      <c r="N43" t="s">
        <v>676</v>
      </c>
      <c r="O43" t="s">
        <v>677</v>
      </c>
    </row>
    <row r="44" spans="3:15">
      <c r="C44" t="s">
        <v>115</v>
      </c>
      <c r="D44">
        <v>2</v>
      </c>
      <c r="E44">
        <v>2</v>
      </c>
      <c r="F44">
        <v>4</v>
      </c>
      <c r="G44">
        <v>3</v>
      </c>
      <c r="H44">
        <v>3</v>
      </c>
      <c r="I44">
        <v>2</v>
      </c>
      <c r="K44" t="s">
        <v>678</v>
      </c>
      <c r="L44" t="s">
        <v>679</v>
      </c>
      <c r="M44" t="s">
        <v>680</v>
      </c>
      <c r="N44" t="s">
        <v>681</v>
      </c>
      <c r="O44" t="s">
        <v>682</v>
      </c>
    </row>
  </sheetData>
  <mergeCells count="5">
    <mergeCell ref="K8:K10"/>
    <mergeCell ref="L8:L10"/>
    <mergeCell ref="M8:M10"/>
    <mergeCell ref="N8:N10"/>
    <mergeCell ref="O8:O10"/>
  </mergeCells>
  <phoneticPr fontId="15" type="noConversion"/>
  <conditionalFormatting sqref="D3:I3">
    <cfRule type="cellIs" dxfId="2" priority="5" operator="greaterThan">
      <formula>$B$14</formula>
    </cfRule>
  </conditionalFormatting>
  <conditionalFormatting sqref="D11:I34">
    <cfRule type="colorScale" priority="2">
      <colorScale>
        <cfvo type="min"/>
        <cfvo type="percentile" val="50"/>
        <cfvo type="max"/>
        <color rgb="FFF8696B"/>
        <color rgb="FFFFEB84"/>
        <color rgb="FF63BE7B"/>
      </colorScale>
    </cfRule>
  </conditionalFormatting>
  <conditionalFormatting sqref="D35:I44">
    <cfRule type="colorScale" priority="1">
      <colorScale>
        <cfvo type="min"/>
        <cfvo type="percentile" val="50"/>
        <cfvo type="max"/>
        <color rgb="FFF8696B"/>
        <color rgb="FFFFEB84"/>
        <color rgb="FF63BE7B"/>
      </colorScale>
    </cfRule>
  </conditionalFormatting>
  <dataValidations count="1">
    <dataValidation type="whole" allowBlank="1" showInputMessage="1" showErrorMessage="1" sqref="D11:I34" xr:uid="{9CEB6FF2-ABA4-DD44-A23E-1C996900FE0E}">
      <formula1>1</formula1>
      <formula2>5</formula2>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17119-2EC1-4C40-8A4D-53FAAAC907C8}">
  <dimension ref="A1:O44"/>
  <sheetViews>
    <sheetView topLeftCell="C8" workbookViewId="0">
      <selection activeCell="D11" sqref="D11"/>
    </sheetView>
  </sheetViews>
  <sheetFormatPr defaultColWidth="8.85546875" defaultRowHeight="15"/>
  <cols>
    <col min="1" max="1" width="10" bestFit="1" customWidth="1"/>
    <col min="3" max="3" width="30.140625" customWidth="1"/>
    <col min="11" max="15" width="17.85546875" style="25" customWidth="1"/>
  </cols>
  <sheetData>
    <row r="1" spans="1:15" s="19" customFormat="1" ht="15.95" thickBot="1">
      <c r="C1" s="20" t="s">
        <v>683</v>
      </c>
    </row>
    <row r="2" spans="1:15" ht="15.95" thickBot="1">
      <c r="A2" s="9" t="s">
        <v>71</v>
      </c>
      <c r="B2" s="2">
        <v>5</v>
      </c>
      <c r="D2" s="6" t="s">
        <v>9</v>
      </c>
      <c r="E2" s="7" t="s">
        <v>10</v>
      </c>
      <c r="F2" s="7" t="s">
        <v>11</v>
      </c>
      <c r="G2" s="7" t="s">
        <v>12</v>
      </c>
      <c r="H2" s="7" t="s">
        <v>13</v>
      </c>
      <c r="I2" s="8" t="s">
        <v>14</v>
      </c>
      <c r="K2"/>
      <c r="L2"/>
      <c r="M2"/>
      <c r="N2"/>
      <c r="O2"/>
    </row>
    <row r="3" spans="1:15">
      <c r="A3" s="10" t="s">
        <v>72</v>
      </c>
      <c r="B3" s="3">
        <v>4</v>
      </c>
      <c r="C3" t="s">
        <v>173</v>
      </c>
      <c r="D3">
        <f t="shared" ref="D3:I3" si="0">SUM(D11:D61)</f>
        <v>104</v>
      </c>
      <c r="E3">
        <f t="shared" si="0"/>
        <v>104</v>
      </c>
      <c r="F3">
        <f t="shared" si="0"/>
        <v>104</v>
      </c>
      <c r="G3">
        <f t="shared" si="0"/>
        <v>104</v>
      </c>
      <c r="H3">
        <f t="shared" si="0"/>
        <v>104</v>
      </c>
      <c r="I3">
        <f t="shared" si="0"/>
        <v>104</v>
      </c>
      <c r="K3"/>
      <c r="L3"/>
      <c r="M3"/>
      <c r="N3"/>
      <c r="O3"/>
    </row>
    <row r="4" spans="1:15">
      <c r="A4" s="11" t="s">
        <v>73</v>
      </c>
      <c r="B4" s="3">
        <v>3</v>
      </c>
      <c r="C4" t="s">
        <v>174</v>
      </c>
      <c r="D4">
        <f>COUNTIF(D$11:D$61, 5)</f>
        <v>8</v>
      </c>
      <c r="E4">
        <f t="shared" ref="E4:I4" si="1">COUNTIF(E$11:E$61, 5)</f>
        <v>8</v>
      </c>
      <c r="F4">
        <f t="shared" si="1"/>
        <v>3</v>
      </c>
      <c r="G4">
        <f t="shared" si="1"/>
        <v>8</v>
      </c>
      <c r="H4">
        <f t="shared" si="1"/>
        <v>7</v>
      </c>
      <c r="I4">
        <f t="shared" si="1"/>
        <v>7</v>
      </c>
      <c r="K4"/>
      <c r="L4"/>
      <c r="M4"/>
      <c r="N4"/>
      <c r="O4"/>
    </row>
    <row r="5" spans="1:15">
      <c r="A5" s="12" t="s">
        <v>74</v>
      </c>
      <c r="B5" s="3">
        <v>2</v>
      </c>
      <c r="C5" t="s">
        <v>175</v>
      </c>
      <c r="D5">
        <f>COUNTIF(D$11:D$61, 4)</f>
        <v>7</v>
      </c>
      <c r="E5">
        <f t="shared" ref="E5:I5" si="2">COUNTIF(E$11:E$61, 4)</f>
        <v>8</v>
      </c>
      <c r="F5">
        <f t="shared" si="2"/>
        <v>10</v>
      </c>
      <c r="G5">
        <f t="shared" si="2"/>
        <v>4</v>
      </c>
      <c r="H5">
        <f t="shared" si="2"/>
        <v>8</v>
      </c>
      <c r="I5">
        <f t="shared" si="2"/>
        <v>7</v>
      </c>
      <c r="K5"/>
      <c r="L5"/>
      <c r="M5"/>
      <c r="N5"/>
      <c r="O5"/>
    </row>
    <row r="6" spans="1:15" ht="15.95" thickBot="1">
      <c r="A6" s="13" t="s">
        <v>75</v>
      </c>
      <c r="B6" s="4">
        <v>1</v>
      </c>
      <c r="C6" t="s">
        <v>176</v>
      </c>
      <c r="D6">
        <f>COUNTIF(D$11:D$61, 3)</f>
        <v>6</v>
      </c>
      <c r="E6">
        <f t="shared" ref="E6:I6" si="3">COUNTIF(E$11:E$61, 3)</f>
        <v>5</v>
      </c>
      <c r="F6">
        <f t="shared" si="3"/>
        <v>10</v>
      </c>
      <c r="G6">
        <f t="shared" si="3"/>
        <v>11</v>
      </c>
      <c r="H6">
        <f t="shared" si="3"/>
        <v>5</v>
      </c>
      <c r="I6">
        <f t="shared" si="3"/>
        <v>6</v>
      </c>
      <c r="K6"/>
      <c r="L6"/>
      <c r="M6"/>
      <c r="N6"/>
      <c r="O6"/>
    </row>
    <row r="7" spans="1:15">
      <c r="C7" t="s">
        <v>177</v>
      </c>
      <c r="D7">
        <f>COUNTIF(D$11:D$61, 2)</f>
        <v>5</v>
      </c>
      <c r="E7">
        <f t="shared" ref="E7:I7" si="4">COUNTIF(E$11:E$61, 2)</f>
        <v>4</v>
      </c>
      <c r="F7">
        <f t="shared" si="4"/>
        <v>8</v>
      </c>
      <c r="G7">
        <f t="shared" si="4"/>
        <v>4</v>
      </c>
      <c r="H7">
        <f t="shared" si="4"/>
        <v>8</v>
      </c>
      <c r="I7">
        <f t="shared" si="4"/>
        <v>9</v>
      </c>
      <c r="K7"/>
      <c r="L7"/>
      <c r="M7"/>
      <c r="N7"/>
      <c r="O7"/>
    </row>
    <row r="8" spans="1:15" ht="14.45" customHeight="1">
      <c r="C8" t="s">
        <v>178</v>
      </c>
      <c r="D8">
        <f>COUNTIF(D$11:D$61, 1)</f>
        <v>8</v>
      </c>
      <c r="E8">
        <f t="shared" ref="E8:I8" si="5">COUNTIF(E$11:E$61, 1)</f>
        <v>9</v>
      </c>
      <c r="F8">
        <f t="shared" si="5"/>
        <v>3</v>
      </c>
      <c r="G8">
        <f t="shared" si="5"/>
        <v>7</v>
      </c>
      <c r="H8">
        <f t="shared" si="5"/>
        <v>6</v>
      </c>
      <c r="I8">
        <f t="shared" si="5"/>
        <v>5</v>
      </c>
      <c r="K8" s="86" t="s">
        <v>179</v>
      </c>
      <c r="L8" s="86" t="s">
        <v>180</v>
      </c>
      <c r="M8" s="86" t="s">
        <v>181</v>
      </c>
      <c r="N8" s="86" t="s">
        <v>182</v>
      </c>
      <c r="O8" s="86" t="s">
        <v>183</v>
      </c>
    </row>
    <row r="9" spans="1:15" ht="15.95" thickBot="1">
      <c r="K9" s="86"/>
      <c r="L9" s="86"/>
      <c r="M9" s="86"/>
      <c r="N9" s="86"/>
      <c r="O9" s="86"/>
    </row>
    <row r="10" spans="1:15" ht="15.95" thickBot="1">
      <c r="C10" s="21" t="s">
        <v>184</v>
      </c>
      <c r="D10" s="6" t="s">
        <v>9</v>
      </c>
      <c r="E10" s="7" t="s">
        <v>10</v>
      </c>
      <c r="F10" s="7" t="s">
        <v>11</v>
      </c>
      <c r="G10" s="7" t="s">
        <v>12</v>
      </c>
      <c r="H10" s="7" t="s">
        <v>13</v>
      </c>
      <c r="I10" s="8" t="s">
        <v>14</v>
      </c>
      <c r="K10" s="86"/>
      <c r="L10" s="86"/>
      <c r="M10" s="86"/>
      <c r="N10" s="86"/>
      <c r="O10" s="86"/>
    </row>
    <row r="11" spans="1:15">
      <c r="A11" t="s">
        <v>78</v>
      </c>
      <c r="B11" s="1">
        <f>COUNTA(C11:C61)</f>
        <v>34</v>
      </c>
      <c r="C11" t="s">
        <v>79</v>
      </c>
      <c r="D11">
        <v>4</v>
      </c>
      <c r="E11">
        <v>5</v>
      </c>
      <c r="F11">
        <v>3</v>
      </c>
      <c r="G11">
        <v>5</v>
      </c>
      <c r="H11">
        <v>5</v>
      </c>
      <c r="I11">
        <v>5</v>
      </c>
      <c r="J11" s="25"/>
      <c r="K11" t="s">
        <v>684</v>
      </c>
      <c r="L11" t="s">
        <v>685</v>
      </c>
      <c r="M11" t="s">
        <v>686</v>
      </c>
      <c r="N11" t="s">
        <v>687</v>
      </c>
      <c r="O11" t="s">
        <v>688</v>
      </c>
    </row>
    <row r="12" spans="1:15">
      <c r="A12" t="s">
        <v>80</v>
      </c>
      <c r="B12">
        <f>_xlfn.FLOOR.MATH(B11/5)</f>
        <v>6</v>
      </c>
      <c r="C12" t="s">
        <v>81</v>
      </c>
      <c r="D12">
        <v>5</v>
      </c>
      <c r="E12">
        <v>5</v>
      </c>
      <c r="F12">
        <v>3</v>
      </c>
      <c r="G12">
        <v>5</v>
      </c>
      <c r="H12">
        <v>5</v>
      </c>
      <c r="I12">
        <v>4</v>
      </c>
      <c r="J12" s="25"/>
      <c r="K12" t="s">
        <v>689</v>
      </c>
      <c r="L12" t="s">
        <v>690</v>
      </c>
      <c r="M12" t="s">
        <v>691</v>
      </c>
      <c r="N12" t="s">
        <v>692</v>
      </c>
      <c r="O12" t="s">
        <v>693</v>
      </c>
    </row>
    <row r="13" spans="1:15">
      <c r="A13" t="s">
        <v>82</v>
      </c>
      <c r="B13">
        <f>MOD(B11,5)</f>
        <v>4</v>
      </c>
      <c r="C13" t="s">
        <v>83</v>
      </c>
      <c r="D13">
        <v>4</v>
      </c>
      <c r="E13">
        <v>5</v>
      </c>
      <c r="F13">
        <v>3</v>
      </c>
      <c r="G13">
        <v>3</v>
      </c>
      <c r="H13">
        <v>5</v>
      </c>
      <c r="I13">
        <v>5</v>
      </c>
      <c r="J13" s="25"/>
      <c r="K13" t="s">
        <v>694</v>
      </c>
      <c r="L13" t="s">
        <v>695</v>
      </c>
      <c r="M13" t="s">
        <v>696</v>
      </c>
      <c r="N13" t="s">
        <v>697</v>
      </c>
      <c r="O13" t="s">
        <v>698</v>
      </c>
    </row>
    <row r="14" spans="1:15">
      <c r="A14" t="s">
        <v>84</v>
      </c>
      <c r="B14" s="30">
        <f ca="1">(B12*SUM($B$2:$B$6))+IF(B11=0,0,SUM($B$2:INDEX(B:B,$B$13+1)))</f>
        <v>104</v>
      </c>
      <c r="C14" t="s">
        <v>85</v>
      </c>
      <c r="D14">
        <v>5</v>
      </c>
      <c r="E14">
        <v>4</v>
      </c>
      <c r="F14">
        <v>3</v>
      </c>
      <c r="G14">
        <v>3</v>
      </c>
      <c r="H14">
        <v>5</v>
      </c>
      <c r="I14">
        <v>5</v>
      </c>
      <c r="J14" s="25"/>
      <c r="K14" t="s">
        <v>699</v>
      </c>
      <c r="L14" t="s">
        <v>700</v>
      </c>
      <c r="M14" t="s">
        <v>701</v>
      </c>
      <c r="N14" t="s">
        <v>702</v>
      </c>
      <c r="O14" t="s">
        <v>703</v>
      </c>
    </row>
    <row r="15" spans="1:15">
      <c r="C15" t="s">
        <v>86</v>
      </c>
      <c r="D15">
        <v>5</v>
      </c>
      <c r="E15">
        <v>5</v>
      </c>
      <c r="F15">
        <v>3</v>
      </c>
      <c r="G15">
        <v>3</v>
      </c>
      <c r="H15">
        <v>5</v>
      </c>
      <c r="I15">
        <v>5</v>
      </c>
      <c r="J15" s="25"/>
      <c r="K15" t="s">
        <v>704</v>
      </c>
      <c r="L15" t="s">
        <v>705</v>
      </c>
      <c r="M15" t="s">
        <v>706</v>
      </c>
      <c r="N15" t="s">
        <v>707</v>
      </c>
      <c r="O15" t="s">
        <v>708</v>
      </c>
    </row>
    <row r="16" spans="1:15">
      <c r="C16" t="s">
        <v>87</v>
      </c>
      <c r="D16">
        <v>4</v>
      </c>
      <c r="E16">
        <v>2</v>
      </c>
      <c r="F16">
        <v>3</v>
      </c>
      <c r="G16">
        <v>2</v>
      </c>
      <c r="H16">
        <v>5</v>
      </c>
      <c r="I16">
        <v>4</v>
      </c>
      <c r="J16" s="25"/>
      <c r="K16" t="s">
        <v>709</v>
      </c>
      <c r="L16" t="s">
        <v>710</v>
      </c>
      <c r="M16" t="s">
        <v>711</v>
      </c>
      <c r="N16" t="s">
        <v>712</v>
      </c>
      <c r="O16" t="s">
        <v>713</v>
      </c>
    </row>
    <row r="17" spans="3:15">
      <c r="C17" t="s">
        <v>88</v>
      </c>
      <c r="D17">
        <v>5</v>
      </c>
      <c r="E17">
        <v>2</v>
      </c>
      <c r="F17">
        <v>2</v>
      </c>
      <c r="G17">
        <v>3</v>
      </c>
      <c r="H17">
        <v>5</v>
      </c>
      <c r="I17">
        <v>2</v>
      </c>
      <c r="J17" s="25"/>
      <c r="K17" t="s">
        <v>714</v>
      </c>
      <c r="L17" t="s">
        <v>715</v>
      </c>
      <c r="M17" t="s">
        <v>716</v>
      </c>
      <c r="N17" t="s">
        <v>717</v>
      </c>
      <c r="O17" t="s">
        <v>718</v>
      </c>
    </row>
    <row r="18" spans="3:15">
      <c r="C18" t="s">
        <v>89</v>
      </c>
      <c r="D18">
        <v>5</v>
      </c>
      <c r="E18">
        <v>2</v>
      </c>
      <c r="F18">
        <v>2</v>
      </c>
      <c r="G18">
        <v>3</v>
      </c>
      <c r="H18">
        <v>2</v>
      </c>
      <c r="I18">
        <v>2</v>
      </c>
      <c r="J18" s="25"/>
      <c r="K18" t="s">
        <v>719</v>
      </c>
      <c r="L18" t="s">
        <v>720</v>
      </c>
      <c r="M18" t="s">
        <v>721</v>
      </c>
      <c r="N18" t="s">
        <v>722</v>
      </c>
      <c r="O18" t="s">
        <v>723</v>
      </c>
    </row>
    <row r="19" spans="3:15">
      <c r="C19" t="s">
        <v>90</v>
      </c>
      <c r="D19">
        <v>5</v>
      </c>
      <c r="E19">
        <v>4</v>
      </c>
      <c r="F19">
        <v>4</v>
      </c>
      <c r="G19">
        <v>2</v>
      </c>
      <c r="H19">
        <v>2</v>
      </c>
      <c r="I19">
        <v>5</v>
      </c>
      <c r="J19" s="25"/>
      <c r="K19" t="s">
        <v>724</v>
      </c>
      <c r="L19" t="s">
        <v>725</v>
      </c>
      <c r="M19" t="s">
        <v>726</v>
      </c>
      <c r="N19" t="s">
        <v>727</v>
      </c>
      <c r="O19" t="s">
        <v>728</v>
      </c>
    </row>
    <row r="20" spans="3:15">
      <c r="C20" t="s">
        <v>91</v>
      </c>
      <c r="D20">
        <v>4</v>
      </c>
      <c r="E20">
        <v>4</v>
      </c>
      <c r="F20">
        <v>2</v>
      </c>
      <c r="G20">
        <v>5</v>
      </c>
      <c r="H20">
        <v>2</v>
      </c>
      <c r="I20">
        <v>5</v>
      </c>
      <c r="J20" s="25"/>
      <c r="K20" t="s">
        <v>729</v>
      </c>
      <c r="L20" t="s">
        <v>730</v>
      </c>
      <c r="M20" t="s">
        <v>731</v>
      </c>
      <c r="N20" t="s">
        <v>732</v>
      </c>
      <c r="O20" t="s">
        <v>733</v>
      </c>
    </row>
    <row r="21" spans="3:15">
      <c r="C21" t="s">
        <v>92</v>
      </c>
      <c r="D21">
        <v>4</v>
      </c>
      <c r="E21">
        <v>4</v>
      </c>
      <c r="F21">
        <v>2</v>
      </c>
      <c r="G21">
        <v>5</v>
      </c>
      <c r="H21">
        <v>2</v>
      </c>
      <c r="I21">
        <v>4</v>
      </c>
      <c r="J21" s="25"/>
      <c r="K21" t="s">
        <v>734</v>
      </c>
      <c r="L21" t="s">
        <v>735</v>
      </c>
      <c r="M21" t="s">
        <v>736</v>
      </c>
      <c r="N21" t="s">
        <v>737</v>
      </c>
      <c r="O21" t="s">
        <v>738</v>
      </c>
    </row>
    <row r="22" spans="3:15">
      <c r="C22" t="s">
        <v>93</v>
      </c>
      <c r="D22">
        <v>5</v>
      </c>
      <c r="E22">
        <v>4</v>
      </c>
      <c r="F22">
        <v>4</v>
      </c>
      <c r="G22">
        <v>2</v>
      </c>
      <c r="H22">
        <v>2</v>
      </c>
      <c r="I22">
        <v>2</v>
      </c>
      <c r="J22" s="25"/>
      <c r="K22" t="s">
        <v>739</v>
      </c>
      <c r="L22" t="s">
        <v>740</v>
      </c>
      <c r="M22" t="s">
        <v>741</v>
      </c>
      <c r="N22" t="s">
        <v>742</v>
      </c>
      <c r="O22" t="s">
        <v>743</v>
      </c>
    </row>
    <row r="23" spans="3:15">
      <c r="C23" t="s">
        <v>94</v>
      </c>
      <c r="D23">
        <v>4</v>
      </c>
      <c r="E23">
        <v>4</v>
      </c>
      <c r="F23">
        <v>4</v>
      </c>
      <c r="G23">
        <v>4</v>
      </c>
      <c r="H23">
        <v>3</v>
      </c>
      <c r="I23">
        <v>3</v>
      </c>
      <c r="J23" s="25"/>
      <c r="K23" t="s">
        <v>744</v>
      </c>
      <c r="L23" t="s">
        <v>745</v>
      </c>
      <c r="M23" t="s">
        <v>746</v>
      </c>
      <c r="N23" t="s">
        <v>747</v>
      </c>
      <c r="O23" t="s">
        <v>748</v>
      </c>
    </row>
    <row r="24" spans="3:15">
      <c r="C24" t="s">
        <v>95</v>
      </c>
      <c r="D24">
        <v>5</v>
      </c>
      <c r="E24">
        <v>4</v>
      </c>
      <c r="F24">
        <v>5</v>
      </c>
      <c r="G24">
        <v>5</v>
      </c>
      <c r="H24">
        <v>4</v>
      </c>
      <c r="I24">
        <v>4</v>
      </c>
      <c r="J24" s="25"/>
      <c r="K24" t="s">
        <v>749</v>
      </c>
      <c r="L24" t="s">
        <v>750</v>
      </c>
      <c r="M24" t="s">
        <v>751</v>
      </c>
      <c r="N24" t="s">
        <v>752</v>
      </c>
      <c r="O24" t="s">
        <v>753</v>
      </c>
    </row>
    <row r="25" spans="3:15">
      <c r="C25" t="s">
        <v>96</v>
      </c>
      <c r="D25">
        <v>3</v>
      </c>
      <c r="E25">
        <v>3</v>
      </c>
      <c r="F25">
        <v>3</v>
      </c>
      <c r="G25">
        <v>3</v>
      </c>
      <c r="H25">
        <v>2</v>
      </c>
      <c r="I25">
        <v>3</v>
      </c>
      <c r="J25" s="25"/>
      <c r="K25" t="s">
        <v>754</v>
      </c>
      <c r="L25" t="s">
        <v>755</v>
      </c>
      <c r="M25" t="s">
        <v>756</v>
      </c>
      <c r="N25" t="s">
        <v>757</v>
      </c>
      <c r="O25" t="s">
        <v>758</v>
      </c>
    </row>
    <row r="26" spans="3:15">
      <c r="C26" t="s">
        <v>97</v>
      </c>
      <c r="D26">
        <v>3</v>
      </c>
      <c r="E26">
        <v>3</v>
      </c>
      <c r="F26">
        <v>4</v>
      </c>
      <c r="G26">
        <v>3</v>
      </c>
      <c r="H26">
        <v>3</v>
      </c>
      <c r="I26">
        <v>3</v>
      </c>
      <c r="J26" s="25"/>
      <c r="K26" t="s">
        <v>759</v>
      </c>
      <c r="L26" t="s">
        <v>760</v>
      </c>
      <c r="M26" t="s">
        <v>761</v>
      </c>
      <c r="N26" t="s">
        <v>762</v>
      </c>
      <c r="O26" t="s">
        <v>763</v>
      </c>
    </row>
    <row r="27" spans="3:15">
      <c r="C27" t="s">
        <v>98</v>
      </c>
      <c r="D27">
        <v>3</v>
      </c>
      <c r="E27">
        <v>2</v>
      </c>
      <c r="F27">
        <v>3</v>
      </c>
      <c r="G27">
        <v>3</v>
      </c>
      <c r="H27">
        <v>2</v>
      </c>
      <c r="I27">
        <v>2</v>
      </c>
      <c r="J27" s="25"/>
      <c r="K27" t="s">
        <v>764</v>
      </c>
      <c r="L27" t="s">
        <v>765</v>
      </c>
      <c r="M27" t="s">
        <v>766</v>
      </c>
      <c r="N27" t="s">
        <v>767</v>
      </c>
      <c r="O27" t="s">
        <v>768</v>
      </c>
    </row>
    <row r="28" spans="3:15">
      <c r="C28" t="s">
        <v>99</v>
      </c>
      <c r="D28">
        <v>2</v>
      </c>
      <c r="E28">
        <v>5</v>
      </c>
      <c r="F28">
        <v>3</v>
      </c>
      <c r="G28">
        <v>5</v>
      </c>
      <c r="H28">
        <v>4</v>
      </c>
      <c r="I28">
        <v>5</v>
      </c>
      <c r="J28" s="25"/>
      <c r="K28" t="s">
        <v>769</v>
      </c>
      <c r="L28" t="s">
        <v>770</v>
      </c>
      <c r="M28" t="s">
        <v>771</v>
      </c>
      <c r="N28" t="s">
        <v>772</v>
      </c>
      <c r="O28" t="s">
        <v>773</v>
      </c>
    </row>
    <row r="29" spans="3:15">
      <c r="C29" t="s">
        <v>100</v>
      </c>
      <c r="D29">
        <v>2</v>
      </c>
      <c r="E29">
        <v>5</v>
      </c>
      <c r="F29">
        <v>2</v>
      </c>
      <c r="G29">
        <v>5</v>
      </c>
      <c r="H29">
        <v>4</v>
      </c>
      <c r="I29">
        <v>4</v>
      </c>
      <c r="J29" s="25"/>
      <c r="K29" t="s">
        <v>774</v>
      </c>
      <c r="L29" t="s">
        <v>775</v>
      </c>
      <c r="M29" t="s">
        <v>776</v>
      </c>
      <c r="N29" t="s">
        <v>777</v>
      </c>
      <c r="O29" t="s">
        <v>778</v>
      </c>
    </row>
    <row r="30" spans="3:15">
      <c r="C30" t="s">
        <v>101</v>
      </c>
      <c r="D30">
        <v>4</v>
      </c>
      <c r="E30">
        <v>5</v>
      </c>
      <c r="F30">
        <v>2</v>
      </c>
      <c r="G30">
        <v>1</v>
      </c>
      <c r="H30">
        <v>4</v>
      </c>
      <c r="I30">
        <v>4</v>
      </c>
      <c r="J30" s="25"/>
      <c r="K30" t="s">
        <v>779</v>
      </c>
      <c r="L30" t="s">
        <v>780</v>
      </c>
      <c r="M30" t="s">
        <v>781</v>
      </c>
      <c r="N30" t="s">
        <v>782</v>
      </c>
      <c r="O30" t="s">
        <v>783</v>
      </c>
    </row>
    <row r="31" spans="3:15">
      <c r="C31" t="s">
        <v>102</v>
      </c>
      <c r="D31">
        <v>2</v>
      </c>
      <c r="E31">
        <v>5</v>
      </c>
      <c r="F31">
        <v>2</v>
      </c>
      <c r="G31">
        <v>1</v>
      </c>
      <c r="H31">
        <v>4</v>
      </c>
      <c r="I31">
        <v>2</v>
      </c>
      <c r="J31" s="25"/>
      <c r="K31" t="s">
        <v>784</v>
      </c>
      <c r="L31" t="s">
        <v>785</v>
      </c>
      <c r="M31" t="s">
        <v>786</v>
      </c>
      <c r="N31" t="s">
        <v>787</v>
      </c>
      <c r="O31" t="s">
        <v>788</v>
      </c>
    </row>
    <row r="32" spans="3:15">
      <c r="C32" t="s">
        <v>103</v>
      </c>
      <c r="D32">
        <v>1</v>
      </c>
      <c r="E32">
        <v>1</v>
      </c>
      <c r="F32">
        <v>4</v>
      </c>
      <c r="G32">
        <v>1</v>
      </c>
      <c r="H32">
        <v>4</v>
      </c>
      <c r="I32">
        <v>1</v>
      </c>
      <c r="J32" s="25"/>
      <c r="K32" t="s">
        <v>789</v>
      </c>
      <c r="L32" t="s">
        <v>790</v>
      </c>
      <c r="M32" t="s">
        <v>791</v>
      </c>
      <c r="N32" t="s">
        <v>792</v>
      </c>
      <c r="O32" t="s">
        <v>793</v>
      </c>
    </row>
    <row r="33" spans="3:15">
      <c r="C33" t="s">
        <v>104</v>
      </c>
      <c r="D33">
        <v>1</v>
      </c>
      <c r="E33">
        <v>1</v>
      </c>
      <c r="F33">
        <v>1</v>
      </c>
      <c r="G33">
        <v>1</v>
      </c>
      <c r="H33">
        <v>1</v>
      </c>
      <c r="I33">
        <v>4</v>
      </c>
      <c r="J33" s="25"/>
      <c r="K33" t="s">
        <v>794</v>
      </c>
      <c r="L33" t="s">
        <v>795</v>
      </c>
      <c r="M33" t="s">
        <v>796</v>
      </c>
      <c r="N33" t="s">
        <v>797</v>
      </c>
      <c r="O33" t="s">
        <v>798</v>
      </c>
    </row>
    <row r="34" spans="3:15">
      <c r="C34" t="s">
        <v>105</v>
      </c>
      <c r="D34">
        <v>1</v>
      </c>
      <c r="E34">
        <v>1</v>
      </c>
      <c r="F34">
        <v>3</v>
      </c>
      <c r="G34">
        <v>3</v>
      </c>
      <c r="H34">
        <v>1</v>
      </c>
      <c r="I34">
        <v>1</v>
      </c>
      <c r="J34" s="25"/>
      <c r="K34" t="s">
        <v>799</v>
      </c>
      <c r="L34" t="s">
        <v>800</v>
      </c>
      <c r="M34" t="s">
        <v>801</v>
      </c>
      <c r="N34" t="s">
        <v>802</v>
      </c>
      <c r="O34" t="s">
        <v>803</v>
      </c>
    </row>
    <row r="35" spans="3:15">
      <c r="C35" t="s">
        <v>106</v>
      </c>
      <c r="D35">
        <v>1</v>
      </c>
      <c r="E35">
        <v>1</v>
      </c>
      <c r="F35">
        <v>4</v>
      </c>
      <c r="G35">
        <v>1</v>
      </c>
      <c r="H35">
        <v>3</v>
      </c>
      <c r="I35">
        <v>1</v>
      </c>
      <c r="J35" s="25"/>
      <c r="K35" t="s">
        <v>804</v>
      </c>
      <c r="L35" t="s">
        <v>805</v>
      </c>
      <c r="M35" t="s">
        <v>806</v>
      </c>
      <c r="N35" t="s">
        <v>787</v>
      </c>
      <c r="O35" t="s">
        <v>807</v>
      </c>
    </row>
    <row r="36" spans="3:15">
      <c r="C36" t="s">
        <v>107</v>
      </c>
      <c r="D36">
        <v>1</v>
      </c>
      <c r="E36">
        <v>4</v>
      </c>
      <c r="F36">
        <v>1</v>
      </c>
      <c r="G36">
        <v>5</v>
      </c>
      <c r="H36">
        <v>4</v>
      </c>
      <c r="I36">
        <v>1</v>
      </c>
      <c r="J36" s="25"/>
      <c r="K36" t="s">
        <v>808</v>
      </c>
      <c r="L36" t="s">
        <v>809</v>
      </c>
      <c r="M36" t="s">
        <v>810</v>
      </c>
      <c r="N36" t="s">
        <v>811</v>
      </c>
      <c r="O36" t="s">
        <v>812</v>
      </c>
    </row>
    <row r="37" spans="3:15">
      <c r="C37" t="s">
        <v>108</v>
      </c>
      <c r="D37">
        <v>3</v>
      </c>
      <c r="E37">
        <v>3</v>
      </c>
      <c r="F37">
        <v>1</v>
      </c>
      <c r="G37">
        <v>4</v>
      </c>
      <c r="H37">
        <v>4</v>
      </c>
      <c r="I37">
        <v>3</v>
      </c>
      <c r="J37" s="25"/>
      <c r="K37" t="s">
        <v>813</v>
      </c>
      <c r="L37" t="s">
        <v>814</v>
      </c>
      <c r="M37" t="s">
        <v>815</v>
      </c>
      <c r="N37" t="s">
        <v>816</v>
      </c>
      <c r="O37" t="s">
        <v>817</v>
      </c>
    </row>
    <row r="38" spans="3:15">
      <c r="C38" t="s">
        <v>109</v>
      </c>
      <c r="D38">
        <v>3</v>
      </c>
      <c r="E38">
        <v>3</v>
      </c>
      <c r="F38">
        <v>5</v>
      </c>
      <c r="G38">
        <v>4</v>
      </c>
      <c r="H38">
        <v>3</v>
      </c>
      <c r="I38">
        <v>3</v>
      </c>
      <c r="J38" s="25"/>
      <c r="K38" t="s">
        <v>818</v>
      </c>
      <c r="L38" t="s">
        <v>819</v>
      </c>
      <c r="M38" t="s">
        <v>820</v>
      </c>
      <c r="N38" t="s">
        <v>821</v>
      </c>
      <c r="O38" t="s">
        <v>822</v>
      </c>
    </row>
    <row r="39" spans="3:15">
      <c r="C39" t="s">
        <v>110</v>
      </c>
      <c r="D39">
        <v>3</v>
      </c>
      <c r="E39">
        <v>3</v>
      </c>
      <c r="F39">
        <v>5</v>
      </c>
      <c r="G39">
        <v>4</v>
      </c>
      <c r="H39">
        <v>3</v>
      </c>
      <c r="I39">
        <v>3</v>
      </c>
      <c r="J39" s="25"/>
      <c r="K39" t="s">
        <v>823</v>
      </c>
      <c r="L39" t="s">
        <v>824</v>
      </c>
      <c r="M39" t="s">
        <v>825</v>
      </c>
      <c r="N39" t="s">
        <v>826</v>
      </c>
      <c r="O39" t="s">
        <v>827</v>
      </c>
    </row>
    <row r="40" spans="3:15">
      <c r="C40" t="s">
        <v>111</v>
      </c>
      <c r="D40">
        <v>2</v>
      </c>
      <c r="E40">
        <v>1</v>
      </c>
      <c r="F40">
        <v>4</v>
      </c>
      <c r="G40">
        <v>3</v>
      </c>
      <c r="H40">
        <v>2</v>
      </c>
      <c r="I40">
        <v>2</v>
      </c>
      <c r="J40" s="25"/>
      <c r="K40" t="s">
        <v>828</v>
      </c>
      <c r="L40" t="s">
        <v>829</v>
      </c>
      <c r="M40" t="s">
        <v>830</v>
      </c>
      <c r="N40" t="s">
        <v>831</v>
      </c>
      <c r="O40" t="s">
        <v>832</v>
      </c>
    </row>
    <row r="41" spans="3:15">
      <c r="C41" t="s">
        <v>112</v>
      </c>
      <c r="D41">
        <v>2</v>
      </c>
      <c r="E41">
        <v>1</v>
      </c>
      <c r="F41">
        <v>4</v>
      </c>
      <c r="G41">
        <v>3</v>
      </c>
      <c r="H41">
        <v>1</v>
      </c>
      <c r="I41">
        <v>2</v>
      </c>
      <c r="J41" s="25"/>
      <c r="K41" t="s">
        <v>833</v>
      </c>
      <c r="L41" t="s">
        <v>834</v>
      </c>
      <c r="M41" t="s">
        <v>835</v>
      </c>
      <c r="N41" t="s">
        <v>836</v>
      </c>
      <c r="O41" t="s">
        <v>837</v>
      </c>
    </row>
    <row r="42" spans="3:15">
      <c r="C42" t="s">
        <v>113</v>
      </c>
      <c r="D42">
        <v>1</v>
      </c>
      <c r="E42">
        <v>1</v>
      </c>
      <c r="F42">
        <v>4</v>
      </c>
      <c r="G42">
        <v>2</v>
      </c>
      <c r="H42">
        <v>1</v>
      </c>
      <c r="I42">
        <v>1</v>
      </c>
      <c r="J42" s="25"/>
      <c r="K42" t="s">
        <v>838</v>
      </c>
      <c r="L42" t="s">
        <v>839</v>
      </c>
      <c r="M42" t="s">
        <v>840</v>
      </c>
      <c r="N42" t="s">
        <v>841</v>
      </c>
      <c r="O42" t="s">
        <v>842</v>
      </c>
    </row>
    <row r="43" spans="3:15">
      <c r="C43" t="s">
        <v>114</v>
      </c>
      <c r="D43">
        <v>1</v>
      </c>
      <c r="E43">
        <v>1</v>
      </c>
      <c r="F43">
        <v>4</v>
      </c>
      <c r="G43">
        <v>1</v>
      </c>
      <c r="H43">
        <v>1</v>
      </c>
      <c r="I43">
        <v>2</v>
      </c>
      <c r="J43" s="25"/>
      <c r="K43" t="s">
        <v>843</v>
      </c>
      <c r="L43" t="s">
        <v>844</v>
      </c>
      <c r="M43" t="s">
        <v>845</v>
      </c>
      <c r="N43" t="s">
        <v>846</v>
      </c>
      <c r="O43" t="s">
        <v>847</v>
      </c>
    </row>
    <row r="44" spans="3:15">
      <c r="C44" t="s">
        <v>115</v>
      </c>
      <c r="D44">
        <v>1</v>
      </c>
      <c r="E44">
        <v>1</v>
      </c>
      <c r="F44">
        <v>2</v>
      </c>
      <c r="G44">
        <v>1</v>
      </c>
      <c r="H44">
        <v>1</v>
      </c>
      <c r="I44">
        <v>2</v>
      </c>
      <c r="J44" s="25"/>
      <c r="K44" t="s">
        <v>848</v>
      </c>
      <c r="L44" t="s">
        <v>849</v>
      </c>
      <c r="M44" t="s">
        <v>850</v>
      </c>
      <c r="N44" t="s">
        <v>851</v>
      </c>
      <c r="O44" t="s">
        <v>852</v>
      </c>
    </row>
  </sheetData>
  <mergeCells count="5">
    <mergeCell ref="K8:K10"/>
    <mergeCell ref="L8:L10"/>
    <mergeCell ref="M8:M10"/>
    <mergeCell ref="N8:N10"/>
    <mergeCell ref="O8:O10"/>
  </mergeCells>
  <conditionalFormatting sqref="D3:I3">
    <cfRule type="cellIs" dxfId="1" priority="6" operator="greaterThan">
      <formula>$B$14</formula>
    </cfRule>
  </conditionalFormatting>
  <conditionalFormatting sqref="D11:I34">
    <cfRule type="colorScale" priority="2">
      <colorScale>
        <cfvo type="min"/>
        <cfvo type="percentile" val="50"/>
        <cfvo type="max"/>
        <color rgb="FFF8696B"/>
        <color rgb="FFFFEB84"/>
        <color rgb="FF63BE7B"/>
      </colorScale>
    </cfRule>
  </conditionalFormatting>
  <conditionalFormatting sqref="D35:I44">
    <cfRule type="colorScale" priority="1">
      <colorScale>
        <cfvo type="min"/>
        <cfvo type="percentile" val="50"/>
        <cfvo type="max"/>
        <color rgb="FFF8696B"/>
        <color rgb="FFFFEB84"/>
        <color rgb="FF63BE7B"/>
      </colorScale>
    </cfRule>
  </conditionalFormatting>
  <dataValidations count="1">
    <dataValidation type="whole" allowBlank="1" showInputMessage="1" showErrorMessage="1" sqref="D11:I34" xr:uid="{CF4F8FE8-54F2-9147-A738-E5CB0BFB34F5}">
      <formula1>1</formula1>
      <formula2>5</formula2>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CC50-8870-47A9-96FF-AC5F5E982504}">
  <dimension ref="A1:O44"/>
  <sheetViews>
    <sheetView topLeftCell="A2" workbookViewId="0">
      <selection activeCell="H23" sqref="H23"/>
    </sheetView>
  </sheetViews>
  <sheetFormatPr defaultColWidth="8.85546875" defaultRowHeight="15"/>
  <cols>
    <col min="1" max="1" width="10" bestFit="1" customWidth="1"/>
    <col min="3" max="3" width="30.140625" customWidth="1"/>
    <col min="11" max="15" width="17.85546875" style="25" customWidth="1"/>
  </cols>
  <sheetData>
    <row r="1" spans="1:15" s="19" customFormat="1" ht="15.95" thickBot="1">
      <c r="C1" s="20" t="s">
        <v>853</v>
      </c>
    </row>
    <row r="2" spans="1:15" ht="15.95" thickBot="1">
      <c r="A2" s="9" t="s">
        <v>71</v>
      </c>
      <c r="B2" s="2">
        <v>5</v>
      </c>
      <c r="D2" s="6" t="s">
        <v>9</v>
      </c>
      <c r="E2" s="7" t="s">
        <v>10</v>
      </c>
      <c r="F2" s="7" t="s">
        <v>11</v>
      </c>
      <c r="G2" s="7" t="s">
        <v>12</v>
      </c>
      <c r="H2" s="7" t="s">
        <v>13</v>
      </c>
      <c r="I2" s="8" t="s">
        <v>14</v>
      </c>
      <c r="K2"/>
      <c r="L2"/>
      <c r="M2"/>
      <c r="N2"/>
      <c r="O2"/>
    </row>
    <row r="3" spans="1:15">
      <c r="A3" s="10" t="s">
        <v>72</v>
      </c>
      <c r="B3" s="3">
        <v>4</v>
      </c>
      <c r="C3" t="s">
        <v>173</v>
      </c>
      <c r="D3">
        <f t="shared" ref="D3:I3" si="0">SUM(D11:D61)</f>
        <v>104</v>
      </c>
      <c r="E3">
        <f t="shared" si="0"/>
        <v>104</v>
      </c>
      <c r="F3">
        <f t="shared" si="0"/>
        <v>104</v>
      </c>
      <c r="G3">
        <f t="shared" si="0"/>
        <v>104</v>
      </c>
      <c r="H3">
        <f t="shared" si="0"/>
        <v>104</v>
      </c>
      <c r="I3">
        <f t="shared" si="0"/>
        <v>104</v>
      </c>
      <c r="K3"/>
      <c r="L3"/>
      <c r="M3"/>
      <c r="N3"/>
      <c r="O3"/>
    </row>
    <row r="4" spans="1:15">
      <c r="A4" s="11" t="s">
        <v>73</v>
      </c>
      <c r="B4" s="3">
        <v>3</v>
      </c>
      <c r="C4" t="s">
        <v>174</v>
      </c>
      <c r="D4">
        <f>COUNTIF(D$11:D$61, 5)</f>
        <v>7</v>
      </c>
      <c r="E4">
        <f t="shared" ref="E4:I4" si="1">COUNTIF(E$11:E$61, 5)</f>
        <v>9</v>
      </c>
      <c r="F4">
        <f t="shared" si="1"/>
        <v>6</v>
      </c>
      <c r="G4">
        <f t="shared" si="1"/>
        <v>8</v>
      </c>
      <c r="H4">
        <f t="shared" si="1"/>
        <v>6</v>
      </c>
      <c r="I4">
        <f t="shared" si="1"/>
        <v>8</v>
      </c>
      <c r="K4"/>
      <c r="L4"/>
      <c r="M4"/>
      <c r="N4"/>
      <c r="O4"/>
    </row>
    <row r="5" spans="1:15">
      <c r="A5" s="12" t="s">
        <v>74</v>
      </c>
      <c r="B5" s="3">
        <v>2</v>
      </c>
      <c r="C5" t="s">
        <v>175</v>
      </c>
      <c r="D5">
        <f>COUNTIF(D$11:D$61, 4)</f>
        <v>9</v>
      </c>
      <c r="E5">
        <f t="shared" ref="E5:I5" si="2">COUNTIF(E$11:E$61, 4)</f>
        <v>6</v>
      </c>
      <c r="F5">
        <f t="shared" si="2"/>
        <v>6</v>
      </c>
      <c r="G5">
        <f t="shared" si="2"/>
        <v>4</v>
      </c>
      <c r="H5">
        <f t="shared" si="2"/>
        <v>10</v>
      </c>
      <c r="I5">
        <f t="shared" si="2"/>
        <v>2</v>
      </c>
      <c r="K5"/>
      <c r="L5"/>
      <c r="M5"/>
      <c r="N5"/>
      <c r="O5"/>
    </row>
    <row r="6" spans="1:15" ht="15.95" thickBot="1">
      <c r="A6" s="13" t="s">
        <v>75</v>
      </c>
      <c r="B6" s="4">
        <v>1</v>
      </c>
      <c r="C6" t="s">
        <v>176</v>
      </c>
      <c r="D6">
        <f>COUNTIF(D$11:D$61, 3)</f>
        <v>2</v>
      </c>
      <c r="E6">
        <f t="shared" ref="E6:I6" si="3">COUNTIF(E$11:E$61, 3)</f>
        <v>2</v>
      </c>
      <c r="F6">
        <f t="shared" si="3"/>
        <v>11</v>
      </c>
      <c r="G6">
        <f t="shared" si="3"/>
        <v>10</v>
      </c>
      <c r="H6">
        <f t="shared" si="3"/>
        <v>2</v>
      </c>
      <c r="I6">
        <f t="shared" si="3"/>
        <v>11</v>
      </c>
      <c r="K6"/>
      <c r="L6"/>
      <c r="M6"/>
      <c r="N6"/>
      <c r="O6"/>
    </row>
    <row r="7" spans="1:15">
      <c r="C7" t="s">
        <v>177</v>
      </c>
      <c r="D7">
        <f>COUNTIF(D$11:D$61, 2)</f>
        <v>11</v>
      </c>
      <c r="E7">
        <f t="shared" ref="E7:I7" si="4">COUNTIF(E$11:E$61, 2)</f>
        <v>12</v>
      </c>
      <c r="F7">
        <f t="shared" si="4"/>
        <v>6</v>
      </c>
      <c r="G7">
        <f t="shared" si="4"/>
        <v>6</v>
      </c>
      <c r="H7">
        <f t="shared" si="4"/>
        <v>12</v>
      </c>
      <c r="I7">
        <f t="shared" si="4"/>
        <v>10</v>
      </c>
      <c r="K7"/>
      <c r="L7"/>
      <c r="M7"/>
      <c r="N7"/>
      <c r="O7"/>
    </row>
    <row r="8" spans="1:15" ht="14.45" customHeight="1">
      <c r="C8" t="s">
        <v>178</v>
      </c>
      <c r="D8">
        <f>COUNTIF(D$11:D$61, 1)</f>
        <v>5</v>
      </c>
      <c r="E8">
        <f t="shared" ref="E8:I8" si="5">COUNTIF(E$11:E$61, 1)</f>
        <v>5</v>
      </c>
      <c r="F8">
        <f t="shared" si="5"/>
        <v>5</v>
      </c>
      <c r="G8">
        <f t="shared" si="5"/>
        <v>6</v>
      </c>
      <c r="H8">
        <f t="shared" si="5"/>
        <v>4</v>
      </c>
      <c r="I8">
        <f t="shared" si="5"/>
        <v>3</v>
      </c>
      <c r="K8" s="86" t="s">
        <v>179</v>
      </c>
      <c r="L8" s="86" t="s">
        <v>180</v>
      </c>
      <c r="M8" s="86" t="s">
        <v>181</v>
      </c>
      <c r="N8" s="86" t="s">
        <v>182</v>
      </c>
      <c r="O8" s="86" t="s">
        <v>183</v>
      </c>
    </row>
    <row r="9" spans="1:15" ht="15.95" thickBot="1">
      <c r="K9" s="86"/>
      <c r="L9" s="86"/>
      <c r="M9" s="86"/>
      <c r="N9" s="86"/>
      <c r="O9" s="86"/>
    </row>
    <row r="10" spans="1:15" ht="15.95" thickBot="1">
      <c r="C10" s="21" t="s">
        <v>184</v>
      </c>
      <c r="D10" s="6" t="s">
        <v>9</v>
      </c>
      <c r="E10" s="7" t="s">
        <v>10</v>
      </c>
      <c r="F10" s="7" t="s">
        <v>11</v>
      </c>
      <c r="G10" s="7" t="s">
        <v>12</v>
      </c>
      <c r="H10" s="7" t="s">
        <v>13</v>
      </c>
      <c r="I10" s="8" t="s">
        <v>14</v>
      </c>
      <c r="K10" s="86"/>
      <c r="L10" s="86"/>
      <c r="M10" s="86"/>
      <c r="N10" s="86"/>
      <c r="O10" s="86"/>
    </row>
    <row r="11" spans="1:15">
      <c r="A11" t="s">
        <v>78</v>
      </c>
      <c r="B11" s="1">
        <f>COUNTA(C11:C61)</f>
        <v>34</v>
      </c>
      <c r="C11" t="s">
        <v>79</v>
      </c>
      <c r="D11">
        <v>4</v>
      </c>
      <c r="E11">
        <v>4</v>
      </c>
      <c r="F11">
        <v>4</v>
      </c>
      <c r="G11">
        <v>3</v>
      </c>
      <c r="H11">
        <v>4</v>
      </c>
      <c r="I11">
        <v>2</v>
      </c>
      <c r="K11" t="s">
        <v>854</v>
      </c>
      <c r="L11" t="s">
        <v>855</v>
      </c>
      <c r="M11" t="s">
        <v>856</v>
      </c>
      <c r="N11" t="s">
        <v>857</v>
      </c>
      <c r="O11" t="s">
        <v>858</v>
      </c>
    </row>
    <row r="12" spans="1:15">
      <c r="A12" t="s">
        <v>80</v>
      </c>
      <c r="B12">
        <f>_xlfn.FLOOR.MATH(B11/5)</f>
        <v>6</v>
      </c>
      <c r="C12" t="s">
        <v>81</v>
      </c>
      <c r="D12">
        <v>4</v>
      </c>
      <c r="E12">
        <v>4</v>
      </c>
      <c r="F12">
        <v>4</v>
      </c>
      <c r="G12">
        <v>3</v>
      </c>
      <c r="H12">
        <v>4</v>
      </c>
      <c r="I12">
        <v>2</v>
      </c>
      <c r="K12" t="s">
        <v>859</v>
      </c>
      <c r="L12" t="s">
        <v>860</v>
      </c>
      <c r="M12" t="s">
        <v>861</v>
      </c>
      <c r="N12" t="s">
        <v>862</v>
      </c>
      <c r="O12" t="s">
        <v>863</v>
      </c>
    </row>
    <row r="13" spans="1:15">
      <c r="A13" t="s">
        <v>82</v>
      </c>
      <c r="B13">
        <f>MOD(B11,5)</f>
        <v>4</v>
      </c>
      <c r="C13" t="s">
        <v>83</v>
      </c>
      <c r="D13">
        <v>4</v>
      </c>
      <c r="E13">
        <v>4</v>
      </c>
      <c r="F13">
        <v>4</v>
      </c>
      <c r="G13">
        <v>3</v>
      </c>
      <c r="H13">
        <v>4</v>
      </c>
      <c r="I13">
        <v>2</v>
      </c>
      <c r="K13" t="s">
        <v>864</v>
      </c>
      <c r="L13" t="s">
        <v>865</v>
      </c>
      <c r="M13" t="s">
        <v>866</v>
      </c>
      <c r="N13" t="s">
        <v>867</v>
      </c>
      <c r="O13" t="s">
        <v>868</v>
      </c>
    </row>
    <row r="14" spans="1:15">
      <c r="A14" t="s">
        <v>84</v>
      </c>
      <c r="B14" s="30">
        <f ca="1">(B12*SUM($B$2:$B$6))+IF(B11=0,0,SUM($B$2:INDEX(B:B,$B$13+1)))</f>
        <v>104</v>
      </c>
      <c r="C14" t="s">
        <v>85</v>
      </c>
      <c r="D14">
        <v>4</v>
      </c>
      <c r="E14">
        <v>4</v>
      </c>
      <c r="F14">
        <v>3</v>
      </c>
      <c r="G14">
        <v>3</v>
      </c>
      <c r="H14">
        <v>4</v>
      </c>
      <c r="I14">
        <v>2</v>
      </c>
      <c r="K14" t="s">
        <v>869</v>
      </c>
      <c r="L14" t="s">
        <v>870</v>
      </c>
      <c r="M14" t="s">
        <v>871</v>
      </c>
      <c r="N14" t="s">
        <v>872</v>
      </c>
      <c r="O14" t="s">
        <v>873</v>
      </c>
    </row>
    <row r="15" spans="1:15">
      <c r="C15" t="s">
        <v>86</v>
      </c>
      <c r="D15">
        <v>5</v>
      </c>
      <c r="E15">
        <v>5</v>
      </c>
      <c r="F15">
        <v>5</v>
      </c>
      <c r="G15">
        <v>5</v>
      </c>
      <c r="H15">
        <v>5</v>
      </c>
      <c r="I15">
        <v>5</v>
      </c>
      <c r="K15" t="s">
        <v>874</v>
      </c>
      <c r="L15" t="s">
        <v>875</v>
      </c>
      <c r="M15" t="s">
        <v>876</v>
      </c>
      <c r="N15" t="s">
        <v>877</v>
      </c>
      <c r="O15" t="s">
        <v>878</v>
      </c>
    </row>
    <row r="16" spans="1:15">
      <c r="C16" t="s">
        <v>87</v>
      </c>
      <c r="D16">
        <v>5</v>
      </c>
      <c r="E16">
        <v>5</v>
      </c>
      <c r="F16">
        <v>3</v>
      </c>
      <c r="G16">
        <v>3</v>
      </c>
      <c r="H16">
        <v>5</v>
      </c>
      <c r="I16">
        <v>2</v>
      </c>
      <c r="K16" t="s">
        <v>879</v>
      </c>
      <c r="L16" t="s">
        <v>880</v>
      </c>
      <c r="M16" t="s">
        <v>881</v>
      </c>
      <c r="N16" t="s">
        <v>882</v>
      </c>
      <c r="O16" t="s">
        <v>883</v>
      </c>
    </row>
    <row r="17" spans="3:15">
      <c r="C17" t="s">
        <v>88</v>
      </c>
      <c r="D17">
        <v>5</v>
      </c>
      <c r="E17">
        <v>5</v>
      </c>
      <c r="F17">
        <v>3</v>
      </c>
      <c r="G17">
        <v>2</v>
      </c>
      <c r="H17">
        <v>2</v>
      </c>
      <c r="I17">
        <v>3</v>
      </c>
      <c r="K17" t="s">
        <v>884</v>
      </c>
      <c r="L17" t="s">
        <v>885</v>
      </c>
      <c r="M17" t="s">
        <v>886</v>
      </c>
      <c r="N17" t="s">
        <v>887</v>
      </c>
      <c r="O17" t="s">
        <v>888</v>
      </c>
    </row>
    <row r="18" spans="3:15">
      <c r="C18" t="s">
        <v>89</v>
      </c>
      <c r="D18">
        <v>2</v>
      </c>
      <c r="E18">
        <v>4</v>
      </c>
      <c r="F18">
        <v>3</v>
      </c>
      <c r="G18">
        <v>2</v>
      </c>
      <c r="H18">
        <v>5</v>
      </c>
      <c r="I18">
        <v>2</v>
      </c>
      <c r="K18" t="s">
        <v>889</v>
      </c>
      <c r="L18" t="s">
        <v>890</v>
      </c>
      <c r="M18" t="s">
        <v>891</v>
      </c>
      <c r="N18" t="s">
        <v>892</v>
      </c>
      <c r="O18" t="s">
        <v>893</v>
      </c>
    </row>
    <row r="19" spans="3:15">
      <c r="C19" t="s">
        <v>90</v>
      </c>
      <c r="D19">
        <v>5</v>
      </c>
      <c r="E19">
        <v>5</v>
      </c>
      <c r="F19">
        <v>4</v>
      </c>
      <c r="G19">
        <v>5</v>
      </c>
      <c r="H19">
        <v>5</v>
      </c>
      <c r="I19">
        <v>5</v>
      </c>
      <c r="K19" t="s">
        <v>894</v>
      </c>
      <c r="L19" t="s">
        <v>895</v>
      </c>
      <c r="M19" t="s">
        <v>896</v>
      </c>
      <c r="N19" t="s">
        <v>897</v>
      </c>
      <c r="O19" t="s">
        <v>898</v>
      </c>
    </row>
    <row r="20" spans="3:15">
      <c r="C20" t="s">
        <v>91</v>
      </c>
      <c r="D20">
        <v>2</v>
      </c>
      <c r="E20">
        <v>4</v>
      </c>
      <c r="F20">
        <v>3</v>
      </c>
      <c r="G20">
        <v>2</v>
      </c>
      <c r="H20">
        <v>2</v>
      </c>
      <c r="I20">
        <v>1</v>
      </c>
      <c r="K20" t="s">
        <v>899</v>
      </c>
      <c r="L20" t="s">
        <v>900</v>
      </c>
      <c r="M20" t="s">
        <v>901</v>
      </c>
      <c r="N20" t="s">
        <v>902</v>
      </c>
      <c r="O20" t="s">
        <v>903</v>
      </c>
    </row>
    <row r="21" spans="3:15">
      <c r="C21" t="s">
        <v>92</v>
      </c>
      <c r="D21">
        <v>4</v>
      </c>
      <c r="E21">
        <v>2</v>
      </c>
      <c r="F21">
        <v>2</v>
      </c>
      <c r="G21">
        <v>2</v>
      </c>
      <c r="H21">
        <v>2</v>
      </c>
      <c r="I21">
        <v>5</v>
      </c>
      <c r="K21" t="s">
        <v>904</v>
      </c>
      <c r="L21" t="s">
        <v>905</v>
      </c>
      <c r="M21" t="s">
        <v>906</v>
      </c>
      <c r="N21" t="s">
        <v>907</v>
      </c>
      <c r="O21" t="s">
        <v>908</v>
      </c>
    </row>
    <row r="22" spans="3:15">
      <c r="C22" t="s">
        <v>93</v>
      </c>
      <c r="D22">
        <v>4</v>
      </c>
      <c r="E22">
        <v>2</v>
      </c>
      <c r="F22">
        <v>2</v>
      </c>
      <c r="G22">
        <v>5</v>
      </c>
      <c r="H22">
        <v>4</v>
      </c>
      <c r="I22">
        <v>5</v>
      </c>
      <c r="K22" t="s">
        <v>909</v>
      </c>
      <c r="L22" t="s">
        <v>910</v>
      </c>
      <c r="M22" t="s">
        <v>911</v>
      </c>
      <c r="N22" t="s">
        <v>912</v>
      </c>
      <c r="O22" t="s">
        <v>913</v>
      </c>
    </row>
    <row r="23" spans="3:15">
      <c r="C23" t="s">
        <v>94</v>
      </c>
      <c r="D23">
        <v>2</v>
      </c>
      <c r="E23">
        <v>2</v>
      </c>
      <c r="F23">
        <v>2</v>
      </c>
      <c r="G23">
        <v>2</v>
      </c>
      <c r="H23">
        <v>2</v>
      </c>
      <c r="I23">
        <v>2</v>
      </c>
      <c r="K23" t="s">
        <v>914</v>
      </c>
      <c r="L23" t="s">
        <v>915</v>
      </c>
      <c r="M23" t="s">
        <v>916</v>
      </c>
      <c r="N23" t="s">
        <v>917</v>
      </c>
      <c r="O23" t="s">
        <v>918</v>
      </c>
    </row>
    <row r="24" spans="3:15">
      <c r="C24" t="s">
        <v>95</v>
      </c>
      <c r="D24">
        <v>2</v>
      </c>
      <c r="E24">
        <v>2</v>
      </c>
      <c r="F24">
        <v>2</v>
      </c>
      <c r="G24">
        <v>2</v>
      </c>
      <c r="H24">
        <v>2</v>
      </c>
      <c r="I24">
        <v>2</v>
      </c>
      <c r="K24" t="s">
        <v>919</v>
      </c>
      <c r="L24" t="s">
        <v>920</v>
      </c>
      <c r="M24" t="s">
        <v>921</v>
      </c>
      <c r="N24" t="s">
        <v>922</v>
      </c>
      <c r="O24" t="s">
        <v>923</v>
      </c>
    </row>
    <row r="25" spans="3:15">
      <c r="C25" t="s">
        <v>96</v>
      </c>
      <c r="D25">
        <v>2</v>
      </c>
      <c r="E25">
        <v>2</v>
      </c>
      <c r="F25">
        <v>2</v>
      </c>
      <c r="G25">
        <v>1</v>
      </c>
      <c r="H25">
        <v>2</v>
      </c>
      <c r="I25">
        <v>2</v>
      </c>
      <c r="K25" t="s">
        <v>924</v>
      </c>
      <c r="L25" t="s">
        <v>925</v>
      </c>
      <c r="M25" t="s">
        <v>926</v>
      </c>
      <c r="N25" t="s">
        <v>927</v>
      </c>
      <c r="O25" t="s">
        <v>928</v>
      </c>
    </row>
    <row r="26" spans="3:15">
      <c r="C26" t="s">
        <v>97</v>
      </c>
      <c r="D26">
        <v>5</v>
      </c>
      <c r="E26">
        <v>5</v>
      </c>
      <c r="F26">
        <v>5</v>
      </c>
      <c r="G26">
        <v>5</v>
      </c>
      <c r="H26">
        <v>5</v>
      </c>
      <c r="I26">
        <v>5</v>
      </c>
      <c r="K26" t="s">
        <v>929</v>
      </c>
      <c r="L26" t="s">
        <v>930</v>
      </c>
      <c r="M26" t="s">
        <v>931</v>
      </c>
      <c r="N26" t="s">
        <v>932</v>
      </c>
      <c r="O26" t="s">
        <v>933</v>
      </c>
    </row>
    <row r="27" spans="3:15">
      <c r="C27" t="s">
        <v>98</v>
      </c>
      <c r="D27">
        <v>2</v>
      </c>
      <c r="E27">
        <v>2</v>
      </c>
      <c r="F27">
        <v>3</v>
      </c>
      <c r="G27">
        <v>3</v>
      </c>
      <c r="H27">
        <v>2</v>
      </c>
      <c r="I27">
        <v>3</v>
      </c>
      <c r="K27" t="s">
        <v>934</v>
      </c>
      <c r="L27" t="s">
        <v>935</v>
      </c>
      <c r="M27" t="s">
        <v>936</v>
      </c>
      <c r="N27" t="s">
        <v>937</v>
      </c>
      <c r="O27" t="s">
        <v>938</v>
      </c>
    </row>
    <row r="28" spans="3:15">
      <c r="C28" t="s">
        <v>99</v>
      </c>
      <c r="D28">
        <v>5</v>
      </c>
      <c r="E28">
        <v>5</v>
      </c>
      <c r="F28">
        <v>5</v>
      </c>
      <c r="G28">
        <v>5</v>
      </c>
      <c r="H28">
        <v>5</v>
      </c>
      <c r="I28">
        <v>5</v>
      </c>
      <c r="K28" t="s">
        <v>939</v>
      </c>
      <c r="L28" t="s">
        <v>940</v>
      </c>
      <c r="M28" t="s">
        <v>941</v>
      </c>
      <c r="N28" t="s">
        <v>942</v>
      </c>
      <c r="O28" t="s">
        <v>943</v>
      </c>
    </row>
    <row r="29" spans="3:15">
      <c r="C29" t="s">
        <v>100</v>
      </c>
      <c r="D29">
        <v>4</v>
      </c>
      <c r="E29">
        <v>5</v>
      </c>
      <c r="F29">
        <v>5</v>
      </c>
      <c r="G29">
        <v>5</v>
      </c>
      <c r="H29">
        <v>4</v>
      </c>
      <c r="I29">
        <v>1</v>
      </c>
      <c r="K29" t="s">
        <v>944</v>
      </c>
      <c r="L29" t="s">
        <v>945</v>
      </c>
      <c r="M29" t="s">
        <v>946</v>
      </c>
      <c r="N29" t="s">
        <v>947</v>
      </c>
      <c r="O29" t="s">
        <v>948</v>
      </c>
    </row>
    <row r="30" spans="3:15">
      <c r="C30" t="s">
        <v>101</v>
      </c>
      <c r="D30">
        <v>1</v>
      </c>
      <c r="E30">
        <v>5</v>
      </c>
      <c r="F30">
        <v>2</v>
      </c>
      <c r="G30">
        <v>1</v>
      </c>
      <c r="H30">
        <v>1</v>
      </c>
      <c r="I30">
        <v>3</v>
      </c>
      <c r="K30" t="s">
        <v>949</v>
      </c>
      <c r="L30" t="s">
        <v>950</v>
      </c>
      <c r="M30" t="s">
        <v>951</v>
      </c>
      <c r="N30" t="s">
        <v>952</v>
      </c>
      <c r="O30" t="s">
        <v>888</v>
      </c>
    </row>
    <row r="31" spans="3:15">
      <c r="C31" t="s">
        <v>102</v>
      </c>
      <c r="D31">
        <v>4</v>
      </c>
      <c r="E31">
        <v>5</v>
      </c>
      <c r="F31">
        <v>5</v>
      </c>
      <c r="G31">
        <v>5</v>
      </c>
      <c r="H31">
        <v>4</v>
      </c>
      <c r="I31">
        <v>1</v>
      </c>
      <c r="K31" t="s">
        <v>953</v>
      </c>
      <c r="L31" t="s">
        <v>954</v>
      </c>
      <c r="M31" t="s">
        <v>955</v>
      </c>
      <c r="N31" t="s">
        <v>956</v>
      </c>
      <c r="O31" t="s">
        <v>893</v>
      </c>
    </row>
    <row r="32" spans="3:15">
      <c r="C32" t="s">
        <v>103</v>
      </c>
      <c r="D32">
        <v>1</v>
      </c>
      <c r="E32">
        <v>1</v>
      </c>
      <c r="F32">
        <v>1</v>
      </c>
      <c r="G32">
        <v>1</v>
      </c>
      <c r="H32">
        <v>4</v>
      </c>
      <c r="I32">
        <v>3</v>
      </c>
      <c r="K32" t="s">
        <v>957</v>
      </c>
      <c r="L32" t="s">
        <v>958</v>
      </c>
      <c r="M32" t="s">
        <v>959</v>
      </c>
      <c r="N32" t="s">
        <v>960</v>
      </c>
      <c r="O32" t="s">
        <v>928</v>
      </c>
    </row>
    <row r="33" spans="3:15">
      <c r="C33" t="s">
        <v>104</v>
      </c>
      <c r="D33">
        <v>5</v>
      </c>
      <c r="E33">
        <v>2</v>
      </c>
      <c r="F33">
        <v>1</v>
      </c>
      <c r="G33">
        <v>1</v>
      </c>
      <c r="H33">
        <v>4</v>
      </c>
      <c r="I33">
        <v>5</v>
      </c>
      <c r="K33" t="s">
        <v>961</v>
      </c>
      <c r="L33" t="s">
        <v>962</v>
      </c>
      <c r="M33" t="s">
        <v>963</v>
      </c>
      <c r="N33" t="s">
        <v>964</v>
      </c>
      <c r="O33" t="s">
        <v>965</v>
      </c>
    </row>
    <row r="34" spans="3:15">
      <c r="C34" t="s">
        <v>105</v>
      </c>
      <c r="D34">
        <v>1</v>
      </c>
      <c r="E34">
        <v>1</v>
      </c>
      <c r="F34">
        <v>1</v>
      </c>
      <c r="G34">
        <v>1</v>
      </c>
      <c r="H34">
        <v>1</v>
      </c>
      <c r="I34">
        <v>3</v>
      </c>
      <c r="K34" t="s">
        <v>966</v>
      </c>
      <c r="L34" t="s">
        <v>967</v>
      </c>
      <c r="M34" t="s">
        <v>968</v>
      </c>
      <c r="N34" t="s">
        <v>969</v>
      </c>
      <c r="O34" t="s">
        <v>970</v>
      </c>
    </row>
    <row r="35" spans="3:15">
      <c r="C35" t="s">
        <v>106</v>
      </c>
      <c r="D35">
        <v>1</v>
      </c>
      <c r="E35">
        <v>1</v>
      </c>
      <c r="F35">
        <v>1</v>
      </c>
      <c r="G35">
        <v>1</v>
      </c>
      <c r="H35">
        <v>1</v>
      </c>
      <c r="I35">
        <v>3</v>
      </c>
      <c r="K35" t="s">
        <v>971</v>
      </c>
      <c r="L35" t="s">
        <v>972</v>
      </c>
      <c r="M35" t="s">
        <v>973</v>
      </c>
      <c r="N35" t="s">
        <v>974</v>
      </c>
      <c r="O35" t="s">
        <v>893</v>
      </c>
    </row>
    <row r="36" spans="3:15">
      <c r="C36" t="s">
        <v>107</v>
      </c>
      <c r="D36">
        <v>4</v>
      </c>
      <c r="E36">
        <v>1</v>
      </c>
      <c r="F36">
        <v>5</v>
      </c>
      <c r="G36">
        <v>5</v>
      </c>
      <c r="H36">
        <v>4</v>
      </c>
      <c r="I36">
        <v>5</v>
      </c>
      <c r="K36" t="s">
        <v>975</v>
      </c>
      <c r="L36" t="s">
        <v>976</v>
      </c>
      <c r="M36" t="s">
        <v>977</v>
      </c>
      <c r="N36" t="s">
        <v>978</v>
      </c>
      <c r="O36" t="s">
        <v>979</v>
      </c>
    </row>
    <row r="37" spans="3:15">
      <c r="C37" t="s">
        <v>108</v>
      </c>
      <c r="D37">
        <v>1</v>
      </c>
      <c r="E37">
        <v>1</v>
      </c>
      <c r="F37">
        <v>1</v>
      </c>
      <c r="G37">
        <v>4</v>
      </c>
      <c r="H37">
        <v>1</v>
      </c>
      <c r="I37">
        <v>2</v>
      </c>
      <c r="K37" t="s">
        <v>980</v>
      </c>
      <c r="L37" t="s">
        <v>981</v>
      </c>
      <c r="M37" t="s">
        <v>982</v>
      </c>
      <c r="N37" t="s">
        <v>983</v>
      </c>
      <c r="O37" t="s">
        <v>984</v>
      </c>
    </row>
    <row r="38" spans="3:15">
      <c r="C38" t="s">
        <v>109</v>
      </c>
      <c r="D38">
        <v>3</v>
      </c>
      <c r="E38">
        <v>3</v>
      </c>
      <c r="F38">
        <v>4</v>
      </c>
      <c r="G38">
        <v>4</v>
      </c>
      <c r="H38">
        <v>3</v>
      </c>
      <c r="I38">
        <v>4</v>
      </c>
      <c r="K38" t="s">
        <v>985</v>
      </c>
      <c r="L38" t="s">
        <v>986</v>
      </c>
      <c r="M38" t="s">
        <v>987</v>
      </c>
      <c r="N38" t="s">
        <v>988</v>
      </c>
      <c r="O38" t="s">
        <v>970</v>
      </c>
    </row>
    <row r="39" spans="3:15">
      <c r="C39" t="s">
        <v>110</v>
      </c>
      <c r="D39">
        <v>3</v>
      </c>
      <c r="E39">
        <v>3</v>
      </c>
      <c r="F39">
        <v>4</v>
      </c>
      <c r="G39">
        <v>4</v>
      </c>
      <c r="H39">
        <v>3</v>
      </c>
      <c r="I39">
        <v>4</v>
      </c>
      <c r="K39" t="s">
        <v>989</v>
      </c>
      <c r="L39" t="s">
        <v>990</v>
      </c>
      <c r="M39" t="s">
        <v>991</v>
      </c>
      <c r="N39" t="s">
        <v>992</v>
      </c>
      <c r="O39" t="s">
        <v>893</v>
      </c>
    </row>
    <row r="40" spans="3:15">
      <c r="C40" t="s">
        <v>111</v>
      </c>
      <c r="D40">
        <v>2</v>
      </c>
      <c r="E40">
        <v>2</v>
      </c>
      <c r="F40">
        <v>3</v>
      </c>
      <c r="G40">
        <v>3</v>
      </c>
      <c r="H40">
        <v>2</v>
      </c>
      <c r="I40">
        <v>3</v>
      </c>
      <c r="K40" t="s">
        <v>993</v>
      </c>
      <c r="L40" t="s">
        <v>994</v>
      </c>
      <c r="M40" t="s">
        <v>995</v>
      </c>
      <c r="N40" t="s">
        <v>996</v>
      </c>
      <c r="O40" t="s">
        <v>997</v>
      </c>
    </row>
    <row r="41" spans="3:15">
      <c r="C41" t="s">
        <v>112</v>
      </c>
      <c r="D41">
        <v>2</v>
      </c>
      <c r="E41">
        <v>2</v>
      </c>
      <c r="F41">
        <v>3</v>
      </c>
      <c r="G41">
        <v>3</v>
      </c>
      <c r="H41">
        <v>2</v>
      </c>
      <c r="I41">
        <v>3</v>
      </c>
      <c r="K41" t="s">
        <v>998</v>
      </c>
      <c r="L41" t="s">
        <v>999</v>
      </c>
      <c r="M41" t="s">
        <v>1000</v>
      </c>
      <c r="N41" t="s">
        <v>1001</v>
      </c>
      <c r="O41" t="s">
        <v>1002</v>
      </c>
    </row>
    <row r="42" spans="3:15">
      <c r="C42" t="s">
        <v>113</v>
      </c>
      <c r="D42">
        <v>2</v>
      </c>
      <c r="E42">
        <v>2</v>
      </c>
      <c r="F42">
        <v>3</v>
      </c>
      <c r="G42">
        <v>3</v>
      </c>
      <c r="H42">
        <v>2</v>
      </c>
      <c r="I42">
        <v>3</v>
      </c>
      <c r="K42" t="s">
        <v>1003</v>
      </c>
      <c r="L42" t="s">
        <v>1004</v>
      </c>
      <c r="M42" t="s">
        <v>1005</v>
      </c>
      <c r="N42" t="s">
        <v>1006</v>
      </c>
      <c r="O42" t="s">
        <v>1007</v>
      </c>
    </row>
    <row r="43" spans="3:15">
      <c r="C43" t="s">
        <v>114</v>
      </c>
      <c r="D43">
        <v>2</v>
      </c>
      <c r="E43">
        <v>2</v>
      </c>
      <c r="F43">
        <v>3</v>
      </c>
      <c r="G43">
        <v>4</v>
      </c>
      <c r="H43">
        <v>2</v>
      </c>
      <c r="I43">
        <v>3</v>
      </c>
      <c r="K43" t="s">
        <v>1008</v>
      </c>
      <c r="L43" t="s">
        <v>1009</v>
      </c>
      <c r="M43" t="s">
        <v>1010</v>
      </c>
      <c r="N43" t="s">
        <v>1011</v>
      </c>
      <c r="O43" t="s">
        <v>1012</v>
      </c>
    </row>
    <row r="44" spans="3:15">
      <c r="C44" t="s">
        <v>115</v>
      </c>
      <c r="D44">
        <v>2</v>
      </c>
      <c r="E44">
        <v>2</v>
      </c>
      <c r="F44">
        <v>3</v>
      </c>
      <c r="G44">
        <v>3</v>
      </c>
      <c r="H44">
        <v>2</v>
      </c>
      <c r="I44">
        <v>3</v>
      </c>
      <c r="K44" t="s">
        <v>1013</v>
      </c>
      <c r="L44" t="s">
        <v>1014</v>
      </c>
      <c r="M44" t="s">
        <v>1015</v>
      </c>
      <c r="N44" t="s">
        <v>1016</v>
      </c>
      <c r="O44" t="s">
        <v>1017</v>
      </c>
    </row>
  </sheetData>
  <mergeCells count="5">
    <mergeCell ref="K8:K10"/>
    <mergeCell ref="L8:L10"/>
    <mergeCell ref="M8:M10"/>
    <mergeCell ref="N8:N10"/>
    <mergeCell ref="O8:O10"/>
  </mergeCells>
  <conditionalFormatting sqref="D3:I3">
    <cfRule type="cellIs" dxfId="0" priority="8" operator="greaterThan">
      <formula>$B$14</formula>
    </cfRule>
  </conditionalFormatting>
  <conditionalFormatting sqref="D11:I34">
    <cfRule type="colorScale" priority="2">
      <colorScale>
        <cfvo type="min"/>
        <cfvo type="percentile" val="50"/>
        <cfvo type="max"/>
        <color rgb="FFF8696B"/>
        <color rgb="FFFFEB84"/>
        <color rgb="FF63BE7B"/>
      </colorScale>
    </cfRule>
  </conditionalFormatting>
  <conditionalFormatting sqref="D35:I44">
    <cfRule type="colorScale" priority="1">
      <colorScale>
        <cfvo type="min"/>
        <cfvo type="percentile" val="50"/>
        <cfvo type="max"/>
        <color rgb="FFF8696B"/>
        <color rgb="FFFFEB84"/>
        <color rgb="FF63BE7B"/>
      </colorScale>
    </cfRule>
  </conditionalFormatting>
  <dataValidations count="1">
    <dataValidation type="whole" allowBlank="1" showInputMessage="1" showErrorMessage="1" sqref="D11:I34" xr:uid="{A69CE8A0-F3C3-6548-978D-601F81389CBC}">
      <formula1>1</formula1>
      <formula2>5</formula2>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DC8B-FBA2-4892-B234-B5CF54AD636C}">
  <dimension ref="A1:AM43"/>
  <sheetViews>
    <sheetView workbookViewId="0">
      <selection activeCell="AG30" sqref="AG30"/>
    </sheetView>
  </sheetViews>
  <sheetFormatPr defaultColWidth="8.85546875" defaultRowHeight="15"/>
  <cols>
    <col min="1" max="1" width="30.140625" customWidth="1"/>
    <col min="9" max="9" width="18.85546875" customWidth="1"/>
    <col min="16" max="16" width="6.42578125" customWidth="1"/>
    <col min="17" max="17" width="22.42578125" customWidth="1"/>
    <col min="24" max="24" width="3.7109375" customWidth="1"/>
    <col min="25" max="25" width="22.42578125" customWidth="1"/>
    <col min="31" max="31" width="8.85546875" customWidth="1"/>
    <col min="32" max="32" width="4.85546875" customWidth="1"/>
    <col min="33" max="33" width="24.85546875" customWidth="1"/>
  </cols>
  <sheetData>
    <row r="1" spans="1:39" s="35" customFormat="1" ht="26.45" customHeight="1" thickBot="1">
      <c r="A1" s="87" t="s">
        <v>1018</v>
      </c>
      <c r="B1" s="87"/>
      <c r="C1" s="87"/>
      <c r="D1" s="87"/>
      <c r="E1" s="87"/>
      <c r="F1" s="87"/>
      <c r="G1" s="87"/>
      <c r="H1" s="87"/>
      <c r="I1" s="87"/>
      <c r="J1" s="87"/>
      <c r="K1" s="87"/>
      <c r="L1" s="87"/>
      <c r="M1" s="87"/>
      <c r="N1" s="87"/>
      <c r="O1" s="87"/>
      <c r="P1" s="87"/>
      <c r="AG1" s="35" t="s">
        <v>1019</v>
      </c>
    </row>
    <row r="2" spans="1:39" ht="13.5" customHeight="1">
      <c r="A2" s="9" t="s">
        <v>71</v>
      </c>
      <c r="B2" s="64"/>
      <c r="C2" s="64"/>
      <c r="D2" s="64"/>
      <c r="E2" s="64"/>
      <c r="F2" s="64"/>
      <c r="G2" s="64"/>
      <c r="H2" s="64"/>
      <c r="I2" s="64"/>
      <c r="J2" s="64"/>
      <c r="K2" s="64"/>
      <c r="L2" s="64"/>
      <c r="M2" s="64"/>
      <c r="N2" s="64"/>
      <c r="O2" s="64"/>
      <c r="P2" s="64"/>
    </row>
    <row r="3" spans="1:39" ht="13.5" customHeight="1">
      <c r="A3" s="10" t="s">
        <v>72</v>
      </c>
      <c r="B3" s="64"/>
      <c r="C3" s="64"/>
      <c r="D3" s="64"/>
      <c r="E3" s="64"/>
      <c r="F3" s="64"/>
      <c r="G3" s="64"/>
      <c r="H3" s="64"/>
      <c r="I3" s="64"/>
      <c r="J3" s="64"/>
      <c r="K3" s="64"/>
      <c r="L3" s="64"/>
      <c r="M3" s="64"/>
      <c r="N3" s="64"/>
      <c r="O3" s="64"/>
      <c r="P3" s="64"/>
    </row>
    <row r="4" spans="1:39" ht="13.5" customHeight="1">
      <c r="A4" s="11" t="s">
        <v>73</v>
      </c>
      <c r="B4" s="64"/>
      <c r="C4" s="64"/>
      <c r="D4" s="64"/>
      <c r="E4" s="64"/>
      <c r="F4" s="64"/>
      <c r="G4" s="64"/>
      <c r="H4" s="64"/>
      <c r="I4" s="64"/>
      <c r="J4" s="64"/>
      <c r="K4" s="64"/>
      <c r="L4" s="64"/>
      <c r="M4" s="64"/>
      <c r="N4" s="64"/>
      <c r="O4" s="64"/>
      <c r="P4" s="64"/>
    </row>
    <row r="5" spans="1:39" ht="13.5" customHeight="1">
      <c r="A5" s="12" t="s">
        <v>74</v>
      </c>
      <c r="B5" s="64"/>
      <c r="C5" s="64"/>
      <c r="D5" s="64"/>
      <c r="E5" s="64"/>
      <c r="F5" s="64"/>
      <c r="G5" s="64"/>
      <c r="H5" s="64"/>
      <c r="I5" s="64"/>
      <c r="J5" s="64"/>
      <c r="K5" s="64"/>
      <c r="L5" s="64"/>
      <c r="M5" s="64"/>
      <c r="N5" s="64"/>
      <c r="O5" s="64"/>
      <c r="P5" s="64"/>
    </row>
    <row r="6" spans="1:39" ht="13.5" customHeight="1" thickBot="1">
      <c r="A6" s="13" t="s">
        <v>75</v>
      </c>
      <c r="B6" s="64"/>
      <c r="C6" s="64"/>
      <c r="D6" s="64"/>
      <c r="E6" s="64"/>
      <c r="F6" s="64"/>
      <c r="G6" s="64"/>
      <c r="H6" s="64"/>
      <c r="I6" s="64"/>
      <c r="J6" s="64"/>
      <c r="K6" s="64"/>
      <c r="L6" s="64"/>
      <c r="M6" s="64"/>
      <c r="N6" s="64"/>
      <c r="O6" s="64"/>
      <c r="P6" s="64"/>
    </row>
    <row r="7" spans="1:39" ht="13.5" customHeight="1">
      <c r="A7" s="64"/>
      <c r="B7" s="64"/>
      <c r="C7" s="64"/>
      <c r="D7" s="64"/>
      <c r="E7" s="64"/>
      <c r="F7" s="64"/>
      <c r="G7" s="64"/>
      <c r="H7" s="64"/>
      <c r="I7" s="64"/>
      <c r="J7" s="64"/>
      <c r="K7" s="64"/>
      <c r="L7" s="64"/>
      <c r="M7" s="64"/>
      <c r="N7" s="64"/>
      <c r="O7" s="64"/>
      <c r="P7" s="64"/>
    </row>
    <row r="8" spans="1:39" ht="15.95" thickBot="1">
      <c r="A8" s="20" t="s">
        <v>1020</v>
      </c>
      <c r="B8" s="19"/>
      <c r="C8" s="19"/>
      <c r="D8" s="19"/>
      <c r="E8" s="19"/>
      <c r="F8" s="19"/>
      <c r="G8" s="19"/>
      <c r="I8" s="20" t="s">
        <v>1021</v>
      </c>
      <c r="J8" s="19"/>
      <c r="K8" s="19"/>
      <c r="L8" s="19"/>
      <c r="M8" s="19"/>
      <c r="N8" s="19"/>
      <c r="O8" s="19"/>
      <c r="Q8" s="20" t="s">
        <v>1022</v>
      </c>
      <c r="R8" s="19"/>
      <c r="S8" s="19"/>
      <c r="T8" s="19"/>
      <c r="U8" s="19"/>
      <c r="V8" s="19"/>
      <c r="W8" s="19"/>
      <c r="Y8" s="20" t="s">
        <v>1023</v>
      </c>
      <c r="Z8" s="19"/>
      <c r="AA8" s="19"/>
      <c r="AB8" s="19"/>
      <c r="AC8" s="19"/>
      <c r="AD8" s="19"/>
      <c r="AE8" s="19"/>
      <c r="AG8" s="20" t="s">
        <v>1024</v>
      </c>
      <c r="AH8" s="19"/>
      <c r="AI8" s="19"/>
      <c r="AJ8" s="19"/>
      <c r="AK8" s="19"/>
      <c r="AL8" s="19"/>
      <c r="AM8" s="19"/>
    </row>
    <row r="9" spans="1:39" ht="15.95" thickBot="1">
      <c r="A9" s="21" t="s">
        <v>184</v>
      </c>
      <c r="B9" s="6" t="s">
        <v>9</v>
      </c>
      <c r="C9" s="7" t="s">
        <v>10</v>
      </c>
      <c r="D9" s="7" t="s">
        <v>11</v>
      </c>
      <c r="E9" s="7" t="s">
        <v>12</v>
      </c>
      <c r="F9" s="7" t="s">
        <v>13</v>
      </c>
      <c r="G9" s="8" t="s">
        <v>14</v>
      </c>
      <c r="I9" s="21" t="s">
        <v>184</v>
      </c>
      <c r="J9" s="6" t="s">
        <v>9</v>
      </c>
      <c r="K9" s="7" t="s">
        <v>10</v>
      </c>
      <c r="L9" s="7" t="s">
        <v>11</v>
      </c>
      <c r="M9" s="7" t="s">
        <v>12</v>
      </c>
      <c r="N9" s="7" t="s">
        <v>13</v>
      </c>
      <c r="O9" s="8" t="s">
        <v>14</v>
      </c>
      <c r="Q9" s="21" t="s">
        <v>184</v>
      </c>
      <c r="R9" s="6" t="s">
        <v>9</v>
      </c>
      <c r="S9" s="7" t="s">
        <v>10</v>
      </c>
      <c r="T9" s="7" t="s">
        <v>11</v>
      </c>
      <c r="U9" s="7" t="s">
        <v>12</v>
      </c>
      <c r="V9" s="7" t="s">
        <v>13</v>
      </c>
      <c r="W9" s="8" t="s">
        <v>14</v>
      </c>
      <c r="Y9" s="21" t="s">
        <v>184</v>
      </c>
      <c r="Z9" s="6" t="s">
        <v>9</v>
      </c>
      <c r="AA9" s="7" t="s">
        <v>10</v>
      </c>
      <c r="AB9" s="7" t="s">
        <v>11</v>
      </c>
      <c r="AC9" s="7" t="s">
        <v>12</v>
      </c>
      <c r="AD9" s="7" t="s">
        <v>13</v>
      </c>
      <c r="AE9" s="8" t="s">
        <v>14</v>
      </c>
      <c r="AG9" s="21" t="s">
        <v>184</v>
      </c>
      <c r="AH9" s="6" t="s">
        <v>9</v>
      </c>
      <c r="AI9" s="7" t="s">
        <v>10</v>
      </c>
      <c r="AJ9" s="7" t="s">
        <v>11</v>
      </c>
      <c r="AK9" s="7" t="s">
        <v>12</v>
      </c>
      <c r="AL9" s="7" t="s">
        <v>13</v>
      </c>
      <c r="AM9" s="8" t="s">
        <v>14</v>
      </c>
    </row>
    <row r="10" spans="1:39">
      <c r="A10" s="29" t="str">
        <f>IF(NOT(ISBLANK(HLOs!D8)),HLOs!D8,"")</f>
        <v>HLO 1.1: Quantified climate change-related hazards that affect the delivery of agronomic gain</v>
      </c>
      <c r="B10" s="5">
        <f>'1.Food_security'!D11*'Step B weights'!B$50</f>
        <v>0.25586673659371911</v>
      </c>
      <c r="C10" s="5">
        <f>'1.Food_security'!E11*'Step B weights'!C$50</f>
        <v>0.37399435561296718</v>
      </c>
      <c r="D10" s="5">
        <f>'1.Food_security'!F11*'Step B weights'!D$50</f>
        <v>0.60019802587334148</v>
      </c>
      <c r="E10" s="5">
        <f>'1.Food_security'!G11*'Step B weights'!E$50</f>
        <v>0.68782694591886306</v>
      </c>
      <c r="F10" s="5">
        <f>'1.Food_security'!H11*'Step B weights'!F$50</f>
        <v>1.3955807506264002</v>
      </c>
      <c r="G10" s="5">
        <f>'1.Food_security'!I11*'Step B weights'!G$50</f>
        <v>0.25719152811064105</v>
      </c>
      <c r="I10" s="28" t="str">
        <f>A10</f>
        <v>HLO 1.1: Quantified climate change-related hazards that affect the delivery of agronomic gain</v>
      </c>
      <c r="J10" s="5">
        <f>'2.Poverty_reduction'!D11*'Step B weights'!J$50</f>
        <v>0.1894644333706568</v>
      </c>
      <c r="K10" s="5">
        <f>'2.Poverty_reduction'!E11*'Step B weights'!K$50</f>
        <v>0.13523515745926148</v>
      </c>
      <c r="L10" s="5">
        <f>'2.Poverty_reduction'!F11*'Step B weights'!L$50</f>
        <v>0.97726602850353206</v>
      </c>
      <c r="M10" s="5">
        <f>'2.Poverty_reduction'!G11*'Step B weights'!M$50</f>
        <v>1.1075948435868852</v>
      </c>
      <c r="N10" s="5">
        <f>'2.Poverty_reduction'!H11*'Step B weights'!N$50</f>
        <v>0.86196112444639283</v>
      </c>
      <c r="O10" s="5">
        <f>'2.Poverty_reduction'!I11*'Step B weights'!O$50</f>
        <v>3.3524788603133036E-2</v>
      </c>
      <c r="Q10" s="28" t="str">
        <f>A10</f>
        <v>HLO 1.1: Quantified climate change-related hazards that affect the delivery of agronomic gain</v>
      </c>
      <c r="R10" s="5">
        <f>'3.Social_inclusion'!D11*'Step B weights'!R$50</f>
        <v>0.57779473483403276</v>
      </c>
      <c r="S10" s="5">
        <f>'3.Social_inclusion'!E11*'Step B weights'!S$50</f>
        <v>0.64128195345288064</v>
      </c>
      <c r="T10" s="5">
        <f>'3.Social_inclusion'!F11*'Step B weights'!T$50</f>
        <v>0.93918351774132003</v>
      </c>
      <c r="U10" s="5">
        <f>'3.Social_inclusion'!G11*'Step B weights'!U$50</f>
        <v>0.77832888210606643</v>
      </c>
      <c r="V10" s="5">
        <f>'3.Social_inclusion'!H11*'Step B weights'!V$50</f>
        <v>0.51987790919496368</v>
      </c>
      <c r="W10" s="5">
        <f>'3.Social_inclusion'!I11*'Step B weights'!W$50</f>
        <v>0.37024036627241513</v>
      </c>
      <c r="Y10" s="28" t="str">
        <f>A10</f>
        <v>HLO 1.1: Quantified climate change-related hazards that affect the delivery of agronomic gain</v>
      </c>
      <c r="Z10" s="5">
        <f>'4.Climate_adaptation'!D11*'Step B weights'!Z$50</f>
        <v>0.90299439468240106</v>
      </c>
      <c r="AA10" s="5">
        <f>'4.Climate_adaptation'!E11*'Step B weights'!AA$50</f>
        <v>0.3044825879452342</v>
      </c>
      <c r="AB10" s="5">
        <f>'4.Climate_adaptation'!F11*'Step B weights'!AB$50</f>
        <v>0.2459174379967479</v>
      </c>
      <c r="AC10" s="5">
        <f>'4.Climate_adaptation'!G11*'Step B weights'!AC$50</f>
        <v>0.62086281465758586</v>
      </c>
      <c r="AD10" s="5">
        <f>'4.Climate_adaptation'!H11*'Step B weights'!AD$50</f>
        <v>1.3133687580027507</v>
      </c>
      <c r="AE10" s="5">
        <f>'4.Climate_adaptation'!I11*'Step B weights'!AE$50</f>
        <v>1.2226804493801811</v>
      </c>
      <c r="AG10" s="28" t="str">
        <f>A10</f>
        <v>HLO 1.1: Quantified climate change-related hazards that affect the delivery of agronomic gain</v>
      </c>
      <c r="AH10" s="5">
        <f>'5.Environmental_health'!D11*'Step B weights'!AH$50</f>
        <v>0.90299439468240106</v>
      </c>
      <c r="AI10" s="5">
        <f>'5.Environmental_health'!E11*'Step B weights'!AI$50</f>
        <v>0.24358607035618737</v>
      </c>
      <c r="AJ10" s="5">
        <f>'5.Environmental_health'!F11*'Step B weights'!AJ$50</f>
        <v>0.32788991732899719</v>
      </c>
      <c r="AK10" s="5">
        <f>'5.Environmental_health'!G11*'Step B weights'!AK$50</f>
        <v>0.37251768879455155</v>
      </c>
      <c r="AL10" s="5">
        <f>'5.Environmental_health'!H11*'Step B weights'!AL$50</f>
        <v>1.0506950064022005</v>
      </c>
      <c r="AM10" s="5">
        <f>'5.Environmental_health'!I11*'Step B weights'!AM$50</f>
        <v>0.48907217975207246</v>
      </c>
    </row>
    <row r="11" spans="1:39">
      <c r="A11" s="29" t="str">
        <f>IF(NOT(ISBLANK(HLOs!D9)),HLOs!D9,"")</f>
        <v>HLO 1.2: Climate hazard-specific inclusive sustainable farming system innovations</v>
      </c>
      <c r="B11" s="5">
        <f>'1.Food_security'!D12*'Step B weights'!B$50</f>
        <v>0.25586673659371911</v>
      </c>
      <c r="C11" s="5">
        <f>'1.Food_security'!E12*'Step B weights'!C$50</f>
        <v>0.37399435561296718</v>
      </c>
      <c r="D11" s="5">
        <f>'1.Food_security'!F12*'Step B weights'!D$50</f>
        <v>0.60019802587334148</v>
      </c>
      <c r="E11" s="5">
        <f>'1.Food_security'!G12*'Step B weights'!E$50</f>
        <v>0.68782694591886306</v>
      </c>
      <c r="F11" s="5">
        <f>'1.Food_security'!H12*'Step B weights'!F$50</f>
        <v>1.3955807506264002</v>
      </c>
      <c r="G11" s="5">
        <f>'1.Food_security'!I12*'Step B weights'!G$50</f>
        <v>0.25719152811064105</v>
      </c>
      <c r="I11" s="28" t="str">
        <f t="shared" ref="I11:I31" si="0">A11</f>
        <v>HLO 1.2: Climate hazard-specific inclusive sustainable farming system innovations</v>
      </c>
      <c r="J11" s="5">
        <f>'2.Poverty_reduction'!D12*'Step B weights'!J$50</f>
        <v>0.1894644333706568</v>
      </c>
      <c r="K11" s="5">
        <f>'2.Poverty_reduction'!E12*'Step B weights'!K$50</f>
        <v>0.13523515745926148</v>
      </c>
      <c r="L11" s="5">
        <f>'2.Poverty_reduction'!F12*'Step B weights'!L$50</f>
        <v>0.97726602850353206</v>
      </c>
      <c r="M11" s="5">
        <f>'2.Poverty_reduction'!G12*'Step B weights'!M$50</f>
        <v>1.1075948435868852</v>
      </c>
      <c r="N11" s="5">
        <f>'2.Poverty_reduction'!H12*'Step B weights'!N$50</f>
        <v>0.86196112444639283</v>
      </c>
      <c r="O11" s="5">
        <f>'2.Poverty_reduction'!I12*'Step B weights'!O$50</f>
        <v>4.1905985753916297E-2</v>
      </c>
      <c r="Q11" s="28" t="str">
        <f t="shared" ref="Q11:Q31" si="1">A11</f>
        <v>HLO 1.2: Climate hazard-specific inclusive sustainable farming system innovations</v>
      </c>
      <c r="R11" s="5">
        <f>'3.Social_inclusion'!D12*'Step B weights'!R$50</f>
        <v>0.57779473483403276</v>
      </c>
      <c r="S11" s="5">
        <f>'3.Social_inclusion'!E12*'Step B weights'!S$50</f>
        <v>0.64128195345288064</v>
      </c>
      <c r="T11" s="5">
        <f>'3.Social_inclusion'!F12*'Step B weights'!T$50</f>
        <v>0.93918351774132003</v>
      </c>
      <c r="U11" s="5">
        <f>'3.Social_inclusion'!G12*'Step B weights'!U$50</f>
        <v>0.77832888210606643</v>
      </c>
      <c r="V11" s="5">
        <f>'3.Social_inclusion'!H12*'Step B weights'!V$50</f>
        <v>0.51987790919496368</v>
      </c>
      <c r="W11" s="5">
        <f>'3.Social_inclusion'!I12*'Step B weights'!W$50</f>
        <v>0.37024036627241513</v>
      </c>
      <c r="Y11" s="28" t="str">
        <f t="shared" ref="Y11:Y31" si="2">A11</f>
        <v>HLO 1.2: Climate hazard-specific inclusive sustainable farming system innovations</v>
      </c>
      <c r="Z11" s="5">
        <f>'4.Climate_adaptation'!D12*'Step B weights'!Z$50</f>
        <v>1.1287429933530013</v>
      </c>
      <c r="AA11" s="5">
        <f>'4.Climate_adaptation'!E12*'Step B weights'!AA$50</f>
        <v>0.3044825879452342</v>
      </c>
      <c r="AB11" s="5">
        <f>'4.Climate_adaptation'!F12*'Step B weights'!AB$50</f>
        <v>0.2459174379967479</v>
      </c>
      <c r="AC11" s="5">
        <f>'4.Climate_adaptation'!G12*'Step B weights'!AC$50</f>
        <v>0.62086281465758586</v>
      </c>
      <c r="AD11" s="5">
        <f>'4.Climate_adaptation'!H12*'Step B weights'!AD$50</f>
        <v>1.3133687580027507</v>
      </c>
      <c r="AE11" s="5">
        <f>'4.Climate_adaptation'!I12*'Step B weights'!AE$50</f>
        <v>0.97814435950414491</v>
      </c>
      <c r="AG11" s="28" t="str">
        <f t="shared" ref="AG11:AG31" si="3">A11</f>
        <v>HLO 1.2: Climate hazard-specific inclusive sustainable farming system innovations</v>
      </c>
      <c r="AH11" s="5">
        <f>'5.Environmental_health'!D12*'Step B weights'!AH$50</f>
        <v>0.90299439468240106</v>
      </c>
      <c r="AI11" s="5">
        <f>'5.Environmental_health'!E12*'Step B weights'!AI$50</f>
        <v>0.24358607035618737</v>
      </c>
      <c r="AJ11" s="5">
        <f>'5.Environmental_health'!F12*'Step B weights'!AJ$50</f>
        <v>0.32788991732899719</v>
      </c>
      <c r="AK11" s="5">
        <f>'5.Environmental_health'!G12*'Step B weights'!AK$50</f>
        <v>0.37251768879455155</v>
      </c>
      <c r="AL11" s="5">
        <f>'5.Environmental_health'!H12*'Step B weights'!AL$50</f>
        <v>1.0506950064022005</v>
      </c>
      <c r="AM11" s="5">
        <f>'5.Environmental_health'!I12*'Step B weights'!AM$50</f>
        <v>0.48907217975207246</v>
      </c>
    </row>
    <row r="12" spans="1:39">
      <c r="A12" s="29" t="str">
        <f>IF(NOT(ISBLANK(HLOs!D10)),HLOs!D10,"")</f>
        <v>HLO 1.3: Training materials for climate adaptation and mitigation</v>
      </c>
      <c r="B12" s="5">
        <f>'1.Food_security'!D13*'Step B weights'!B$50</f>
        <v>0.25586673659371911</v>
      </c>
      <c r="C12" s="5">
        <f>'1.Food_security'!E13*'Step B weights'!C$50</f>
        <v>0.18699717780648359</v>
      </c>
      <c r="D12" s="5">
        <f>'1.Food_security'!F13*'Step B weights'!D$50</f>
        <v>0.60019802587334148</v>
      </c>
      <c r="E12" s="5">
        <f>'1.Food_security'!G13*'Step B weights'!E$50</f>
        <v>0.68782694591886306</v>
      </c>
      <c r="F12" s="5">
        <f>'1.Food_security'!H13*'Step B weights'!F$50</f>
        <v>1.3955807506264002</v>
      </c>
      <c r="G12" s="5">
        <f>'1.Food_security'!I13*'Step B weights'!G$50</f>
        <v>0.25719152811064105</v>
      </c>
      <c r="I12" s="28" t="str">
        <f t="shared" si="0"/>
        <v>HLO 1.3: Training materials for climate adaptation and mitigation</v>
      </c>
      <c r="J12" s="5">
        <f>'2.Poverty_reduction'!D13*'Step B weights'!J$50</f>
        <v>0.1894644333706568</v>
      </c>
      <c r="K12" s="5">
        <f>'2.Poverty_reduction'!E13*'Step B weights'!K$50</f>
        <v>0.13523515745926148</v>
      </c>
      <c r="L12" s="5">
        <f>'2.Poverty_reduction'!F13*'Step B weights'!L$50</f>
        <v>0.97726602850353206</v>
      </c>
      <c r="M12" s="5">
        <f>'2.Poverty_reduction'!G13*'Step B weights'!M$50</f>
        <v>1.1075948435868852</v>
      </c>
      <c r="N12" s="5">
        <f>'2.Poverty_reduction'!H13*'Step B weights'!N$50</f>
        <v>0.86196112444639283</v>
      </c>
      <c r="O12" s="5">
        <f>'2.Poverty_reduction'!I13*'Step B weights'!O$50</f>
        <v>3.3524788603133036E-2</v>
      </c>
      <c r="Q12" s="28" t="str">
        <f t="shared" si="1"/>
        <v>HLO 1.3: Training materials for climate adaptation and mitigation</v>
      </c>
      <c r="R12" s="5">
        <f>'3.Social_inclusion'!D13*'Step B weights'!R$50</f>
        <v>0.57779473483403276</v>
      </c>
      <c r="S12" s="5">
        <f>'3.Social_inclusion'!E13*'Step B weights'!S$50</f>
        <v>0.64128195345288064</v>
      </c>
      <c r="T12" s="5">
        <f>'3.Social_inclusion'!F13*'Step B weights'!T$50</f>
        <v>0.93918351774132003</v>
      </c>
      <c r="U12" s="5">
        <f>'3.Social_inclusion'!G13*'Step B weights'!U$50</f>
        <v>0.77832888210606643</v>
      </c>
      <c r="V12" s="5">
        <f>'3.Social_inclusion'!H13*'Step B weights'!V$50</f>
        <v>0.51987790919496368</v>
      </c>
      <c r="W12" s="5">
        <f>'3.Social_inclusion'!I13*'Step B weights'!W$50</f>
        <v>0.37024036627241513</v>
      </c>
      <c r="Y12" s="28" t="str">
        <f t="shared" si="2"/>
        <v>HLO 1.3: Training materials for climate adaptation and mitigation</v>
      </c>
      <c r="Z12" s="5">
        <f>'4.Climate_adaptation'!D13*'Step B weights'!Z$50</f>
        <v>0.90299439468240106</v>
      </c>
      <c r="AA12" s="5">
        <f>'4.Climate_adaptation'!E13*'Step B weights'!AA$50</f>
        <v>0.3044825879452342</v>
      </c>
      <c r="AB12" s="5">
        <f>'4.Climate_adaptation'!F13*'Step B weights'!AB$50</f>
        <v>0.2459174379967479</v>
      </c>
      <c r="AC12" s="5">
        <f>'4.Climate_adaptation'!G13*'Step B weights'!AC$50</f>
        <v>0.37251768879455155</v>
      </c>
      <c r="AD12" s="5">
        <f>'4.Climate_adaptation'!H13*'Step B weights'!AD$50</f>
        <v>1.3133687580027507</v>
      </c>
      <c r="AE12" s="5">
        <f>'4.Climate_adaptation'!I13*'Step B weights'!AE$50</f>
        <v>1.2226804493801811</v>
      </c>
      <c r="AG12" s="28" t="str">
        <f t="shared" si="3"/>
        <v>HLO 1.3: Training materials for climate adaptation and mitigation</v>
      </c>
      <c r="AH12" s="5">
        <f>'5.Environmental_health'!D13*'Step B weights'!AH$50</f>
        <v>0.90299439468240106</v>
      </c>
      <c r="AI12" s="5">
        <f>'5.Environmental_health'!E13*'Step B weights'!AI$50</f>
        <v>0.24358607035618737</v>
      </c>
      <c r="AJ12" s="5">
        <f>'5.Environmental_health'!F13*'Step B weights'!AJ$50</f>
        <v>0.32788991732899719</v>
      </c>
      <c r="AK12" s="5">
        <f>'5.Environmental_health'!G13*'Step B weights'!AK$50</f>
        <v>0.37251768879455155</v>
      </c>
      <c r="AL12" s="5">
        <f>'5.Environmental_health'!H13*'Step B weights'!AL$50</f>
        <v>1.0506950064022005</v>
      </c>
      <c r="AM12" s="5">
        <f>'5.Environmental_health'!I13*'Step B weights'!AM$50</f>
        <v>0.48907217975207246</v>
      </c>
    </row>
    <row r="13" spans="1:39">
      <c r="A13" s="29" t="str">
        <f>IF(NOT(ISBLANK(HLOs!D11)),HLOs!D11,"")</f>
        <v>HLO 1.4: Policy and investment-ready information on sustainable farming solutions</v>
      </c>
      <c r="B13" s="5">
        <f>'1.Food_security'!D14*'Step B weights'!B$50</f>
        <v>0.25586673659371911</v>
      </c>
      <c r="C13" s="5">
        <f>'1.Food_security'!E14*'Step B weights'!C$50</f>
        <v>0.37399435561296718</v>
      </c>
      <c r="D13" s="5">
        <f>'1.Food_security'!F14*'Step B weights'!D$50</f>
        <v>0.60019802587334148</v>
      </c>
      <c r="E13" s="5">
        <f>'1.Food_security'!G14*'Step B weights'!E$50</f>
        <v>0.45855129727924204</v>
      </c>
      <c r="F13" s="5">
        <f>'1.Food_security'!H14*'Step B weights'!F$50</f>
        <v>1.3955807506264002</v>
      </c>
      <c r="G13" s="5">
        <f>'1.Food_security'!I14*'Step B weights'!G$50</f>
        <v>0.25719152811064105</v>
      </c>
      <c r="I13" s="28" t="str">
        <f t="shared" si="0"/>
        <v>HLO 1.4: Policy and investment-ready information on sustainable farming solutions</v>
      </c>
      <c r="J13" s="5">
        <f>'2.Poverty_reduction'!D14*'Step B weights'!J$50</f>
        <v>0.1894644333706568</v>
      </c>
      <c r="K13" s="5">
        <f>'2.Poverty_reduction'!E14*'Step B weights'!K$50</f>
        <v>0.13523515745926148</v>
      </c>
      <c r="L13" s="5">
        <f>'2.Poverty_reduction'!F14*'Step B weights'!L$50</f>
        <v>0.97726602850353206</v>
      </c>
      <c r="M13" s="5">
        <f>'2.Poverty_reduction'!G14*'Step B weights'!M$50</f>
        <v>1.1075948435868852</v>
      </c>
      <c r="N13" s="5">
        <f>'2.Poverty_reduction'!H14*'Step B weights'!N$50</f>
        <v>0.86196112444639283</v>
      </c>
      <c r="O13" s="5">
        <f>'2.Poverty_reduction'!I14*'Step B weights'!O$50</f>
        <v>3.3524788603133036E-2</v>
      </c>
      <c r="Q13" s="28" t="str">
        <f t="shared" si="1"/>
        <v>HLO 1.4: Policy and investment-ready information on sustainable farming solutions</v>
      </c>
      <c r="R13" s="5">
        <f>'3.Social_inclusion'!D14*'Step B weights'!R$50</f>
        <v>0.57779473483403276</v>
      </c>
      <c r="S13" s="5">
        <f>'3.Social_inclusion'!E14*'Step B weights'!S$50</f>
        <v>0.64128195345288064</v>
      </c>
      <c r="T13" s="5">
        <f>'3.Social_inclusion'!F14*'Step B weights'!T$50</f>
        <v>0.93918351774132003</v>
      </c>
      <c r="U13" s="5">
        <f>'3.Social_inclusion'!G14*'Step B weights'!U$50</f>
        <v>0.77832888210606643</v>
      </c>
      <c r="V13" s="5">
        <f>'3.Social_inclusion'!H14*'Step B weights'!V$50</f>
        <v>0.51987790919496368</v>
      </c>
      <c r="W13" s="5">
        <f>'3.Social_inclusion'!I14*'Step B weights'!W$50</f>
        <v>0.37024036627241513</v>
      </c>
      <c r="Y13" s="28" t="str">
        <f t="shared" si="2"/>
        <v>HLO 1.4: Policy and investment-ready information on sustainable farming solutions</v>
      </c>
      <c r="Z13" s="5">
        <f>'4.Climate_adaptation'!D14*'Step B weights'!Z$50</f>
        <v>1.1287429933530013</v>
      </c>
      <c r="AA13" s="5">
        <f>'4.Climate_adaptation'!E14*'Step B weights'!AA$50</f>
        <v>0.24358607035618737</v>
      </c>
      <c r="AB13" s="5">
        <f>'4.Climate_adaptation'!F14*'Step B weights'!AB$50</f>
        <v>0.2459174379967479</v>
      </c>
      <c r="AC13" s="5">
        <f>'4.Climate_adaptation'!G14*'Step B weights'!AC$50</f>
        <v>0.37251768879455155</v>
      </c>
      <c r="AD13" s="5">
        <f>'4.Climate_adaptation'!H14*'Step B weights'!AD$50</f>
        <v>1.3133687580027507</v>
      </c>
      <c r="AE13" s="5">
        <f>'4.Climate_adaptation'!I14*'Step B weights'!AE$50</f>
        <v>1.2226804493801811</v>
      </c>
      <c r="AG13" s="28" t="str">
        <f t="shared" si="3"/>
        <v>HLO 1.4: Policy and investment-ready information on sustainable farming solutions</v>
      </c>
      <c r="AH13" s="5">
        <f>'5.Environmental_health'!D14*'Step B weights'!AH$50</f>
        <v>0.90299439468240106</v>
      </c>
      <c r="AI13" s="5">
        <f>'5.Environmental_health'!E14*'Step B weights'!AI$50</f>
        <v>0.24358607035618737</v>
      </c>
      <c r="AJ13" s="5">
        <f>'5.Environmental_health'!F14*'Step B weights'!AJ$50</f>
        <v>0.2459174379967479</v>
      </c>
      <c r="AK13" s="5">
        <f>'5.Environmental_health'!G14*'Step B weights'!AK$50</f>
        <v>0.37251768879455155</v>
      </c>
      <c r="AL13" s="5">
        <f>'5.Environmental_health'!H14*'Step B weights'!AL$50</f>
        <v>1.0506950064022005</v>
      </c>
      <c r="AM13" s="5">
        <f>'5.Environmental_health'!I14*'Step B weights'!AM$50</f>
        <v>0.48907217975207246</v>
      </c>
    </row>
    <row r="14" spans="1:39">
      <c r="A14" s="29" t="str">
        <f>IF(NOT(ISBLANK(HLOs!D12)),HLOs!D12,"")</f>
        <v>HLO 2.1: Spatially-explicit recommendation decision support models for soil nutrient constraints</v>
      </c>
      <c r="B14" s="5">
        <f>'1.Food_security'!D15*'Step B weights'!B$50</f>
        <v>0.31983342074214888</v>
      </c>
      <c r="C14" s="5">
        <f>'1.Food_security'!E15*'Step B weights'!C$50</f>
        <v>0.46749294451620899</v>
      </c>
      <c r="D14" s="5">
        <f>'1.Food_security'!F15*'Step B weights'!D$50</f>
        <v>0.60019802587334148</v>
      </c>
      <c r="E14" s="5">
        <f>'1.Food_security'!G15*'Step B weights'!E$50</f>
        <v>1.1463782431981051</v>
      </c>
      <c r="F14" s="5">
        <f>'1.Food_security'!H15*'Step B weights'!F$50</f>
        <v>1.7444759382830002</v>
      </c>
      <c r="G14" s="5">
        <f>'1.Food_security'!I15*'Step B weights'!G$50</f>
        <v>0.32148941013830135</v>
      </c>
      <c r="I14" s="28" t="str">
        <f t="shared" si="0"/>
        <v>HLO 2.1: Spatially-explicit recommendation decision support models for soil nutrient constraints</v>
      </c>
      <c r="J14" s="5">
        <f>'2.Poverty_reduction'!D15*'Step B weights'!J$50</f>
        <v>0.23683054171332099</v>
      </c>
      <c r="K14" s="5">
        <f>'2.Poverty_reduction'!E15*'Step B weights'!K$50</f>
        <v>0.16904394682407686</v>
      </c>
      <c r="L14" s="5">
        <f>'2.Poverty_reduction'!F15*'Step B weights'!L$50</f>
        <v>1.6287767141725533</v>
      </c>
      <c r="M14" s="5">
        <f>'2.Poverty_reduction'!G15*'Step B weights'!M$50</f>
        <v>1.1075948435868852</v>
      </c>
      <c r="N14" s="5">
        <f>'2.Poverty_reduction'!H15*'Step B weights'!N$50</f>
        <v>1.0774514055579911</v>
      </c>
      <c r="O14" s="5">
        <f>'2.Poverty_reduction'!I15*'Step B weights'!O$50</f>
        <v>4.1905985753916297E-2</v>
      </c>
      <c r="Q14" s="28" t="str">
        <f t="shared" si="1"/>
        <v>HLO 2.1: Spatially-explicit recommendation decision support models for soil nutrient constraints</v>
      </c>
      <c r="R14" s="5">
        <f>'3.Social_inclusion'!D15*'Step B weights'!R$50</f>
        <v>0.72224341854254093</v>
      </c>
      <c r="S14" s="5">
        <f>'3.Social_inclusion'!E15*'Step B weights'!S$50</f>
        <v>0.48096146508966048</v>
      </c>
      <c r="T14" s="5">
        <f>'3.Social_inclusion'!F15*'Step B weights'!T$50</f>
        <v>0.93918351774132003</v>
      </c>
      <c r="U14" s="5">
        <f>'3.Social_inclusion'!G15*'Step B weights'!U$50</f>
        <v>0.97291110263258307</v>
      </c>
      <c r="V14" s="5">
        <f>'3.Social_inclusion'!H15*'Step B weights'!V$50</f>
        <v>0.86646318199160621</v>
      </c>
      <c r="W14" s="5">
        <f>'3.Social_inclusion'!I15*'Step B weights'!W$50</f>
        <v>0.46280045784051893</v>
      </c>
      <c r="Y14" s="28" t="str">
        <f t="shared" si="2"/>
        <v>HLO 2.1: Spatially-explicit recommendation decision support models for soil nutrient constraints</v>
      </c>
      <c r="Z14" s="5">
        <f>'4.Climate_adaptation'!D15*'Step B weights'!Z$50</f>
        <v>1.1287429933530013</v>
      </c>
      <c r="AA14" s="5">
        <f>'4.Climate_adaptation'!E15*'Step B weights'!AA$50</f>
        <v>0.3044825879452342</v>
      </c>
      <c r="AB14" s="5">
        <f>'4.Climate_adaptation'!F15*'Step B weights'!AB$50</f>
        <v>0.2459174379967479</v>
      </c>
      <c r="AC14" s="5">
        <f>'4.Climate_adaptation'!G15*'Step B weights'!AC$50</f>
        <v>0.37251768879455155</v>
      </c>
      <c r="AD14" s="5">
        <f>'4.Climate_adaptation'!H15*'Step B weights'!AD$50</f>
        <v>1.3133687580027507</v>
      </c>
      <c r="AE14" s="5">
        <f>'4.Climate_adaptation'!I15*'Step B weights'!AE$50</f>
        <v>1.2226804493801811</v>
      </c>
      <c r="AG14" s="28" t="str">
        <f t="shared" si="3"/>
        <v>HLO 2.1: Spatially-explicit recommendation decision support models for soil nutrient constraints</v>
      </c>
      <c r="AH14" s="5">
        <f>'5.Environmental_health'!D15*'Step B weights'!AH$50</f>
        <v>1.1287429933530013</v>
      </c>
      <c r="AI14" s="5">
        <f>'5.Environmental_health'!E15*'Step B weights'!AI$50</f>
        <v>0.3044825879452342</v>
      </c>
      <c r="AJ14" s="5">
        <f>'5.Environmental_health'!F15*'Step B weights'!AJ$50</f>
        <v>0.40986239666124646</v>
      </c>
      <c r="AK14" s="5">
        <f>'5.Environmental_health'!G15*'Step B weights'!AK$50</f>
        <v>0.62086281465758586</v>
      </c>
      <c r="AL14" s="5">
        <f>'5.Environmental_health'!H15*'Step B weights'!AL$50</f>
        <v>1.3133687580027507</v>
      </c>
      <c r="AM14" s="5">
        <f>'5.Environmental_health'!I15*'Step B weights'!AM$50</f>
        <v>1.2226804493801811</v>
      </c>
    </row>
    <row r="15" spans="1:39">
      <c r="A15" s="29" t="str">
        <f>IF(NOT(ISBLANK(HLOs!D13)),HLOs!D13,"")</f>
        <v>HLO 2.2: Expanded data-driven agronomic recommendations for site-specific nutrient management</v>
      </c>
      <c r="B15" s="5">
        <f>'1.Food_security'!D16*'Step B weights'!B$50</f>
        <v>0.31983342074214888</v>
      </c>
      <c r="C15" s="5">
        <f>'1.Food_security'!E16*'Step B weights'!C$50</f>
        <v>0.37399435561296718</v>
      </c>
      <c r="D15" s="5">
        <f>'1.Food_security'!F16*'Step B weights'!D$50</f>
        <v>0.60019802587334148</v>
      </c>
      <c r="E15" s="5">
        <f>'1.Food_security'!G16*'Step B weights'!E$50</f>
        <v>1.1463782431981051</v>
      </c>
      <c r="F15" s="5">
        <f>'1.Food_security'!H16*'Step B weights'!F$50</f>
        <v>1.7444759382830002</v>
      </c>
      <c r="G15" s="5">
        <f>'1.Food_security'!I16*'Step B weights'!G$50</f>
        <v>0.25719152811064105</v>
      </c>
      <c r="I15" s="28" t="str">
        <f t="shared" si="0"/>
        <v>HLO 2.2: Expanded data-driven agronomic recommendations for site-specific nutrient management</v>
      </c>
      <c r="J15" s="5">
        <f>'2.Poverty_reduction'!D16*'Step B weights'!J$50</f>
        <v>0.23683054171332099</v>
      </c>
      <c r="K15" s="5">
        <f>'2.Poverty_reduction'!E16*'Step B weights'!K$50</f>
        <v>0.13523515745926148</v>
      </c>
      <c r="L15" s="5">
        <f>'2.Poverty_reduction'!F16*'Step B weights'!L$50</f>
        <v>0.97726602850353206</v>
      </c>
      <c r="M15" s="5">
        <f>'2.Poverty_reduction'!G16*'Step B weights'!M$50</f>
        <v>1.1075948435868852</v>
      </c>
      <c r="N15" s="5">
        <f>'2.Poverty_reduction'!H16*'Step B weights'!N$50</f>
        <v>1.0774514055579911</v>
      </c>
      <c r="O15" s="5">
        <f>'2.Poverty_reduction'!I16*'Step B weights'!O$50</f>
        <v>1.6762394301566518E-2</v>
      </c>
      <c r="Q15" s="28" t="str">
        <f t="shared" si="1"/>
        <v>HLO 2.2: Expanded data-driven agronomic recommendations for site-specific nutrient management</v>
      </c>
      <c r="R15" s="5">
        <f>'3.Social_inclusion'!D16*'Step B weights'!R$50</f>
        <v>0.72224341854254093</v>
      </c>
      <c r="S15" s="5">
        <f>'3.Social_inclusion'!E16*'Step B weights'!S$50</f>
        <v>0.32064097672644032</v>
      </c>
      <c r="T15" s="5">
        <f>'3.Social_inclusion'!F16*'Step B weights'!T$50</f>
        <v>0.70438763830599005</v>
      </c>
      <c r="U15" s="5">
        <f>'3.Social_inclusion'!G16*'Step B weights'!U$50</f>
        <v>0.5837466615795498</v>
      </c>
      <c r="V15" s="5">
        <f>'3.Social_inclusion'!H16*'Step B weights'!V$50</f>
        <v>0.51987790919496368</v>
      </c>
      <c r="W15" s="5">
        <f>'3.Social_inclusion'!I16*'Step B weights'!W$50</f>
        <v>0.46280045784051893</v>
      </c>
      <c r="Y15" s="28" t="str">
        <f t="shared" si="2"/>
        <v>HLO 2.2: Expanded data-driven agronomic recommendations for site-specific nutrient management</v>
      </c>
      <c r="Z15" s="5">
        <f>'4.Climate_adaptation'!D16*'Step B weights'!Z$50</f>
        <v>0.90299439468240106</v>
      </c>
      <c r="AA15" s="5">
        <f>'4.Climate_adaptation'!E16*'Step B weights'!AA$50</f>
        <v>0.12179303517809369</v>
      </c>
      <c r="AB15" s="5">
        <f>'4.Climate_adaptation'!F16*'Step B weights'!AB$50</f>
        <v>0.2459174379967479</v>
      </c>
      <c r="AC15" s="5">
        <f>'4.Climate_adaptation'!G16*'Step B weights'!AC$50</f>
        <v>0.24834512586303437</v>
      </c>
      <c r="AD15" s="5">
        <f>'4.Climate_adaptation'!H16*'Step B weights'!AD$50</f>
        <v>1.3133687580027507</v>
      </c>
      <c r="AE15" s="5">
        <f>'4.Climate_adaptation'!I16*'Step B weights'!AE$50</f>
        <v>0.97814435950414491</v>
      </c>
      <c r="AG15" s="28" t="str">
        <f t="shared" si="3"/>
        <v>HLO 2.2: Expanded data-driven agronomic recommendations for site-specific nutrient management</v>
      </c>
      <c r="AH15" s="5">
        <f>'5.Environmental_health'!D16*'Step B weights'!AH$50</f>
        <v>1.1287429933530013</v>
      </c>
      <c r="AI15" s="5">
        <f>'5.Environmental_health'!E16*'Step B weights'!AI$50</f>
        <v>0.3044825879452342</v>
      </c>
      <c r="AJ15" s="5">
        <f>'5.Environmental_health'!F16*'Step B weights'!AJ$50</f>
        <v>0.2459174379967479</v>
      </c>
      <c r="AK15" s="5">
        <f>'5.Environmental_health'!G16*'Step B weights'!AK$50</f>
        <v>0.37251768879455155</v>
      </c>
      <c r="AL15" s="5">
        <f>'5.Environmental_health'!H16*'Step B weights'!AL$50</f>
        <v>1.3133687580027507</v>
      </c>
      <c r="AM15" s="5">
        <f>'5.Environmental_health'!I16*'Step B weights'!AM$50</f>
        <v>0.48907217975207246</v>
      </c>
    </row>
    <row r="16" spans="1:39">
      <c r="A16" s="29" t="str">
        <f>IF(NOT(ISBLANK(HLOs!D14)),HLOs!D14,"")</f>
        <v>HLO 2.3: Training materials for site-specific nutrient management</v>
      </c>
      <c r="B16" s="5">
        <f>'1.Food_security'!D17*'Step B weights'!B$50</f>
        <v>0.31983342074214888</v>
      </c>
      <c r="C16" s="5">
        <f>'1.Food_security'!E17*'Step B weights'!C$50</f>
        <v>0.18699717780648359</v>
      </c>
      <c r="D16" s="5">
        <f>'1.Food_security'!F17*'Step B weights'!D$50</f>
        <v>0.60019802587334148</v>
      </c>
      <c r="E16" s="5">
        <f>'1.Food_security'!G17*'Step B weights'!E$50</f>
        <v>0.68782694591886306</v>
      </c>
      <c r="F16" s="5">
        <f>'1.Food_security'!H17*'Step B weights'!F$50</f>
        <v>1.7444759382830002</v>
      </c>
      <c r="G16" s="5">
        <f>'1.Food_security'!I17*'Step B weights'!G$50</f>
        <v>0.25719152811064105</v>
      </c>
      <c r="I16" s="28" t="str">
        <f t="shared" si="0"/>
        <v>HLO 2.3: Training materials for site-specific nutrient management</v>
      </c>
      <c r="J16" s="5">
        <f>'2.Poverty_reduction'!D17*'Step B weights'!J$50</f>
        <v>0.23683054171332099</v>
      </c>
      <c r="K16" s="5">
        <f>'2.Poverty_reduction'!E17*'Step B weights'!K$50</f>
        <v>0.16904394682407686</v>
      </c>
      <c r="L16" s="5">
        <f>'2.Poverty_reduction'!F17*'Step B weights'!L$50</f>
        <v>0.97726602850353206</v>
      </c>
      <c r="M16" s="5">
        <f>'2.Poverty_reduction'!G17*'Step B weights'!M$50</f>
        <v>1.1075948435868852</v>
      </c>
      <c r="N16" s="5">
        <f>'2.Poverty_reduction'!H17*'Step B weights'!N$50</f>
        <v>1.0774514055579911</v>
      </c>
      <c r="O16" s="5">
        <f>'2.Poverty_reduction'!I17*'Step B weights'!O$50</f>
        <v>3.3524788603133036E-2</v>
      </c>
      <c r="Q16" s="28" t="str">
        <f t="shared" si="1"/>
        <v>HLO 2.3: Training materials for site-specific nutrient management</v>
      </c>
      <c r="R16" s="5">
        <f>'3.Social_inclusion'!D17*'Step B weights'!R$50</f>
        <v>0.72224341854254093</v>
      </c>
      <c r="S16" s="5">
        <f>'3.Social_inclusion'!E17*'Step B weights'!S$50</f>
        <v>0.32064097672644032</v>
      </c>
      <c r="T16" s="5">
        <f>'3.Social_inclusion'!F17*'Step B weights'!T$50</f>
        <v>0.70438763830599005</v>
      </c>
      <c r="U16" s="5">
        <f>'3.Social_inclusion'!G17*'Step B weights'!U$50</f>
        <v>0.5837466615795498</v>
      </c>
      <c r="V16" s="5">
        <f>'3.Social_inclusion'!H17*'Step B weights'!V$50</f>
        <v>0.34658527279664247</v>
      </c>
      <c r="W16" s="5">
        <f>'3.Social_inclusion'!I17*'Step B weights'!W$50</f>
        <v>0.46280045784051893</v>
      </c>
      <c r="Y16" s="28" t="str">
        <f t="shared" si="2"/>
        <v>HLO 2.3: Training materials for site-specific nutrient management</v>
      </c>
      <c r="Z16" s="5">
        <f>'4.Climate_adaptation'!D17*'Step B weights'!Z$50</f>
        <v>1.1287429933530013</v>
      </c>
      <c r="AA16" s="5">
        <f>'4.Climate_adaptation'!E17*'Step B weights'!AA$50</f>
        <v>0.12179303517809369</v>
      </c>
      <c r="AB16" s="5">
        <f>'4.Climate_adaptation'!F17*'Step B weights'!AB$50</f>
        <v>0.1639449586644986</v>
      </c>
      <c r="AC16" s="5">
        <f>'4.Climate_adaptation'!G17*'Step B weights'!AC$50</f>
        <v>0.37251768879455155</v>
      </c>
      <c r="AD16" s="5">
        <f>'4.Climate_adaptation'!H17*'Step B weights'!AD$50</f>
        <v>1.3133687580027507</v>
      </c>
      <c r="AE16" s="5">
        <f>'4.Climate_adaptation'!I17*'Step B weights'!AE$50</f>
        <v>0.48907217975207246</v>
      </c>
      <c r="AG16" s="28" t="str">
        <f t="shared" si="3"/>
        <v>HLO 2.3: Training materials for site-specific nutrient management</v>
      </c>
      <c r="AH16" s="5">
        <f>'5.Environmental_health'!D17*'Step B weights'!AH$50</f>
        <v>1.1287429933530013</v>
      </c>
      <c r="AI16" s="5">
        <f>'5.Environmental_health'!E17*'Step B weights'!AI$50</f>
        <v>0.3044825879452342</v>
      </c>
      <c r="AJ16" s="5">
        <f>'5.Environmental_health'!F17*'Step B weights'!AJ$50</f>
        <v>0.2459174379967479</v>
      </c>
      <c r="AK16" s="5">
        <f>'5.Environmental_health'!G17*'Step B weights'!AK$50</f>
        <v>0.24834512586303437</v>
      </c>
      <c r="AL16" s="5">
        <f>'5.Environmental_health'!H17*'Step B weights'!AL$50</f>
        <v>0.52534750320110024</v>
      </c>
      <c r="AM16" s="5">
        <f>'5.Environmental_health'!I17*'Step B weights'!AM$50</f>
        <v>0.73360826962810866</v>
      </c>
    </row>
    <row r="17" spans="1:39">
      <c r="A17" s="29" t="str">
        <f>IF(NOT(ISBLANK(HLOs!D15)),HLOs!D15,"")</f>
        <v>HLO 2.4: Evidence for policy recommendations for precision nutrient management</v>
      </c>
      <c r="B17" s="5">
        <f>'1.Food_security'!D18*'Step B weights'!B$50</f>
        <v>0.25586673659371911</v>
      </c>
      <c r="C17" s="5">
        <f>'1.Food_security'!E18*'Step B weights'!C$50</f>
        <v>0.37399435561296718</v>
      </c>
      <c r="D17" s="5">
        <f>'1.Food_security'!F18*'Step B weights'!D$50</f>
        <v>0.40013201724889436</v>
      </c>
      <c r="E17" s="5">
        <f>'1.Food_security'!G18*'Step B weights'!E$50</f>
        <v>1.1463782431981051</v>
      </c>
      <c r="F17" s="5">
        <f>'1.Food_security'!H18*'Step B weights'!F$50</f>
        <v>1.3955807506264002</v>
      </c>
      <c r="G17" s="5">
        <f>'1.Food_security'!I18*'Step B weights'!G$50</f>
        <v>0.25719152811064105</v>
      </c>
      <c r="I17" s="28" t="str">
        <f t="shared" si="0"/>
        <v>HLO 2.4: Evidence for policy recommendations for precision nutrient management</v>
      </c>
      <c r="J17" s="5">
        <f>'2.Poverty_reduction'!D18*'Step B weights'!J$50</f>
        <v>0.1894644333706568</v>
      </c>
      <c r="K17" s="5">
        <f>'2.Poverty_reduction'!E18*'Step B weights'!K$50</f>
        <v>0.13523515745926148</v>
      </c>
      <c r="L17" s="5">
        <f>'2.Poverty_reduction'!F18*'Step B weights'!L$50</f>
        <v>0.65151068566902137</v>
      </c>
      <c r="M17" s="5">
        <f>'2.Poverty_reduction'!G18*'Step B weights'!M$50</f>
        <v>0.73839656239125684</v>
      </c>
      <c r="N17" s="5">
        <f>'2.Poverty_reduction'!H18*'Step B weights'!N$50</f>
        <v>0.43098056222319642</v>
      </c>
      <c r="O17" s="5">
        <f>'2.Poverty_reduction'!I18*'Step B weights'!O$50</f>
        <v>1.6762394301566518E-2</v>
      </c>
      <c r="Q17" s="28" t="str">
        <f t="shared" si="1"/>
        <v>HLO 2.4: Evidence for policy recommendations for precision nutrient management</v>
      </c>
      <c r="R17" s="5">
        <f>'3.Social_inclusion'!D18*'Step B weights'!R$50</f>
        <v>0.57779473483403276</v>
      </c>
      <c r="S17" s="5">
        <f>'3.Social_inclusion'!E18*'Step B weights'!S$50</f>
        <v>0.32064097672644032</v>
      </c>
      <c r="T17" s="5">
        <f>'3.Social_inclusion'!F18*'Step B weights'!T$50</f>
        <v>0.70438763830599005</v>
      </c>
      <c r="U17" s="5">
        <f>'3.Social_inclusion'!G18*'Step B weights'!U$50</f>
        <v>0.5837466615795498</v>
      </c>
      <c r="V17" s="5">
        <f>'3.Social_inclusion'!H18*'Step B weights'!V$50</f>
        <v>0.34658527279664247</v>
      </c>
      <c r="W17" s="5">
        <f>'3.Social_inclusion'!I18*'Step B weights'!W$50</f>
        <v>0.37024036627241513</v>
      </c>
      <c r="Y17" s="28" t="str">
        <f t="shared" si="2"/>
        <v>HLO 2.4: Evidence for policy recommendations for precision nutrient management</v>
      </c>
      <c r="Z17" s="5">
        <f>'4.Climate_adaptation'!D18*'Step B weights'!Z$50</f>
        <v>1.1287429933530013</v>
      </c>
      <c r="AA17" s="5">
        <f>'4.Climate_adaptation'!E18*'Step B weights'!AA$50</f>
        <v>0.12179303517809369</v>
      </c>
      <c r="AB17" s="5">
        <f>'4.Climate_adaptation'!F18*'Step B weights'!AB$50</f>
        <v>0.1639449586644986</v>
      </c>
      <c r="AC17" s="5">
        <f>'4.Climate_adaptation'!G18*'Step B weights'!AC$50</f>
        <v>0.37251768879455155</v>
      </c>
      <c r="AD17" s="5">
        <f>'4.Climate_adaptation'!H18*'Step B weights'!AD$50</f>
        <v>0.52534750320110024</v>
      </c>
      <c r="AE17" s="5">
        <f>'4.Climate_adaptation'!I18*'Step B weights'!AE$50</f>
        <v>0.48907217975207246</v>
      </c>
      <c r="AG17" s="28" t="str">
        <f t="shared" si="3"/>
        <v>HLO 2.4: Evidence for policy recommendations for precision nutrient management</v>
      </c>
      <c r="AH17" s="5">
        <f>'5.Environmental_health'!D18*'Step B weights'!AH$50</f>
        <v>0.45149719734120053</v>
      </c>
      <c r="AI17" s="5">
        <f>'5.Environmental_health'!E18*'Step B weights'!AI$50</f>
        <v>0.24358607035618737</v>
      </c>
      <c r="AJ17" s="5">
        <f>'5.Environmental_health'!F18*'Step B weights'!AJ$50</f>
        <v>0.2459174379967479</v>
      </c>
      <c r="AK17" s="5">
        <f>'5.Environmental_health'!G18*'Step B weights'!AK$50</f>
        <v>0.24834512586303437</v>
      </c>
      <c r="AL17" s="5">
        <f>'5.Environmental_health'!H18*'Step B weights'!AL$50</f>
        <v>1.3133687580027507</v>
      </c>
      <c r="AM17" s="5">
        <f>'5.Environmental_health'!I18*'Step B weights'!AM$50</f>
        <v>0.48907217975207246</v>
      </c>
    </row>
    <row r="18" spans="1:39">
      <c r="A18" s="29" t="str">
        <f>IF(NOT(ISBLANK(HLOs!D16)),HLOs!D16,"")</f>
        <v>HLO 3.1: Soil health monitoring and assessment framework operationalized</v>
      </c>
      <c r="B18" s="5">
        <f>'1.Food_security'!D19*'Step B weights'!B$50</f>
        <v>0.31983342074214888</v>
      </c>
      <c r="C18" s="5">
        <f>'1.Food_security'!E19*'Step B weights'!C$50</f>
        <v>0.46749294451620899</v>
      </c>
      <c r="D18" s="5">
        <f>'1.Food_security'!F19*'Step B weights'!D$50</f>
        <v>0.40013201724889436</v>
      </c>
      <c r="E18" s="5">
        <f>'1.Food_security'!G19*'Step B weights'!E$50</f>
        <v>0.45855129727924204</v>
      </c>
      <c r="F18" s="5">
        <f>'1.Food_security'!H19*'Step B weights'!F$50</f>
        <v>1.3955807506264002</v>
      </c>
      <c r="G18" s="5">
        <f>'1.Food_security'!I19*'Step B weights'!G$50</f>
        <v>0.32148941013830135</v>
      </c>
      <c r="I18" s="28" t="str">
        <f t="shared" si="0"/>
        <v>HLO 3.1: Soil health monitoring and assessment framework operationalized</v>
      </c>
      <c r="J18" s="5">
        <f>'2.Poverty_reduction'!D19*'Step B weights'!J$50</f>
        <v>0.23683054171332099</v>
      </c>
      <c r="K18" s="5">
        <f>'2.Poverty_reduction'!E19*'Step B weights'!K$50</f>
        <v>0.16904394682407686</v>
      </c>
      <c r="L18" s="5">
        <f>'2.Poverty_reduction'!F19*'Step B weights'!L$50</f>
        <v>0.65151068566902137</v>
      </c>
      <c r="M18" s="5">
        <f>'2.Poverty_reduction'!G19*'Step B weights'!M$50</f>
        <v>0.73839656239125684</v>
      </c>
      <c r="N18" s="5">
        <f>'2.Poverty_reduction'!H19*'Step B weights'!N$50</f>
        <v>0.43098056222319642</v>
      </c>
      <c r="O18" s="5">
        <f>'2.Poverty_reduction'!I19*'Step B weights'!O$50</f>
        <v>4.1905985753916297E-2</v>
      </c>
      <c r="Q18" s="28" t="str">
        <f t="shared" si="1"/>
        <v>HLO 3.1: Soil health monitoring and assessment framework operationalized</v>
      </c>
      <c r="R18" s="5">
        <f>'3.Social_inclusion'!D19*'Step B weights'!R$50</f>
        <v>0.72224341854254093</v>
      </c>
      <c r="S18" s="5">
        <f>'3.Social_inclusion'!E19*'Step B weights'!S$50</f>
        <v>0.32064097672644032</v>
      </c>
      <c r="T18" s="5">
        <f>'3.Social_inclusion'!F19*'Step B weights'!T$50</f>
        <v>0.70438763830599005</v>
      </c>
      <c r="U18" s="5">
        <f>'3.Social_inclusion'!G19*'Step B weights'!U$50</f>
        <v>0.5837466615795498</v>
      </c>
      <c r="V18" s="5">
        <f>'3.Social_inclusion'!H19*'Step B weights'!V$50</f>
        <v>0.86646318199160621</v>
      </c>
      <c r="W18" s="5">
        <f>'3.Social_inclusion'!I19*'Step B weights'!W$50</f>
        <v>0.46280045784051893</v>
      </c>
      <c r="Y18" s="28" t="str">
        <f t="shared" si="2"/>
        <v>HLO 3.1: Soil health monitoring and assessment framework operationalized</v>
      </c>
      <c r="Z18" s="5">
        <f>'4.Climate_adaptation'!D19*'Step B weights'!Z$50</f>
        <v>1.1287429933530013</v>
      </c>
      <c r="AA18" s="5">
        <f>'4.Climate_adaptation'!E19*'Step B weights'!AA$50</f>
        <v>0.24358607035618737</v>
      </c>
      <c r="AB18" s="5">
        <f>'4.Climate_adaptation'!F19*'Step B weights'!AB$50</f>
        <v>0.32788991732899719</v>
      </c>
      <c r="AC18" s="5">
        <f>'4.Climate_adaptation'!G19*'Step B weights'!AC$50</f>
        <v>0.24834512586303437</v>
      </c>
      <c r="AD18" s="5">
        <f>'4.Climate_adaptation'!H19*'Step B weights'!AD$50</f>
        <v>0.52534750320110024</v>
      </c>
      <c r="AE18" s="5">
        <f>'4.Climate_adaptation'!I19*'Step B weights'!AE$50</f>
        <v>1.2226804493801811</v>
      </c>
      <c r="AG18" s="28" t="str">
        <f t="shared" si="3"/>
        <v>HLO 3.1: Soil health monitoring and assessment framework operationalized</v>
      </c>
      <c r="AH18" s="5">
        <f>'5.Environmental_health'!D19*'Step B weights'!AH$50</f>
        <v>1.1287429933530013</v>
      </c>
      <c r="AI18" s="5">
        <f>'5.Environmental_health'!E19*'Step B weights'!AI$50</f>
        <v>0.3044825879452342</v>
      </c>
      <c r="AJ18" s="5">
        <f>'5.Environmental_health'!F19*'Step B weights'!AJ$50</f>
        <v>0.32788991732899719</v>
      </c>
      <c r="AK18" s="5">
        <f>'5.Environmental_health'!G19*'Step B weights'!AK$50</f>
        <v>0.62086281465758586</v>
      </c>
      <c r="AL18" s="5">
        <f>'5.Environmental_health'!H19*'Step B weights'!AL$50</f>
        <v>1.3133687580027507</v>
      </c>
      <c r="AM18" s="5">
        <f>'5.Environmental_health'!I19*'Step B weights'!AM$50</f>
        <v>1.2226804493801811</v>
      </c>
    </row>
    <row r="19" spans="1:39">
      <c r="A19" s="29" t="str">
        <f>IF(NOT(ISBLANK(HLOs!D17)),HLOs!D17,"")</f>
        <v>HLO 3.2: Network of long-term monitoring sites for carbon storage assessment</v>
      </c>
      <c r="B19" s="5">
        <f>'1.Food_security'!D20*'Step B weights'!B$50</f>
        <v>0.25586673659371911</v>
      </c>
      <c r="C19" s="5">
        <f>'1.Food_security'!E20*'Step B weights'!C$50</f>
        <v>0.46749294451620899</v>
      </c>
      <c r="D19" s="5">
        <f>'1.Food_security'!F20*'Step B weights'!D$50</f>
        <v>0.40013201724889436</v>
      </c>
      <c r="E19" s="5">
        <f>'1.Food_security'!G20*'Step B weights'!E$50</f>
        <v>0.45855129727924204</v>
      </c>
      <c r="F19" s="5">
        <f>'1.Food_security'!H20*'Step B weights'!F$50</f>
        <v>0.6977903753132001</v>
      </c>
      <c r="G19" s="5">
        <f>'1.Food_security'!I20*'Step B weights'!G$50</f>
        <v>0.25719152811064105</v>
      </c>
      <c r="I19" s="28" t="str">
        <f t="shared" si="0"/>
        <v>HLO 3.2: Network of long-term monitoring sites for carbon storage assessment</v>
      </c>
      <c r="J19" s="5">
        <f>'2.Poverty_reduction'!D20*'Step B weights'!J$50</f>
        <v>0.1894644333706568</v>
      </c>
      <c r="K19" s="5">
        <f>'2.Poverty_reduction'!E20*'Step B weights'!K$50</f>
        <v>6.7617578729630742E-2</v>
      </c>
      <c r="L19" s="5">
        <f>'2.Poverty_reduction'!F20*'Step B weights'!L$50</f>
        <v>0.65151068566902137</v>
      </c>
      <c r="M19" s="5">
        <f>'2.Poverty_reduction'!G20*'Step B weights'!M$50</f>
        <v>0.73839656239125684</v>
      </c>
      <c r="N19" s="5">
        <f>'2.Poverty_reduction'!H20*'Step B weights'!N$50</f>
        <v>0.43098056222319642</v>
      </c>
      <c r="O19" s="5">
        <f>'2.Poverty_reduction'!I20*'Step B weights'!O$50</f>
        <v>1.6762394301566518E-2</v>
      </c>
      <c r="Q19" s="28" t="str">
        <f t="shared" si="1"/>
        <v>HLO 3.2: Network of long-term monitoring sites for carbon storage assessment</v>
      </c>
      <c r="R19" s="5">
        <f>'3.Social_inclusion'!D20*'Step B weights'!R$50</f>
        <v>0.57779473483403276</v>
      </c>
      <c r="S19" s="5">
        <f>'3.Social_inclusion'!E20*'Step B weights'!S$50</f>
        <v>0.32064097672644032</v>
      </c>
      <c r="T19" s="5">
        <f>'3.Social_inclusion'!F20*'Step B weights'!T$50</f>
        <v>0.70438763830599005</v>
      </c>
      <c r="U19" s="5">
        <f>'3.Social_inclusion'!G20*'Step B weights'!U$50</f>
        <v>0.5837466615795498</v>
      </c>
      <c r="V19" s="5">
        <f>'3.Social_inclusion'!H20*'Step B weights'!V$50</f>
        <v>0.34658527279664247</v>
      </c>
      <c r="W19" s="5">
        <f>'3.Social_inclusion'!I20*'Step B weights'!W$50</f>
        <v>0.18512018313620757</v>
      </c>
      <c r="Y19" s="28" t="str">
        <f t="shared" si="2"/>
        <v>HLO 3.2: Network of long-term monitoring sites for carbon storage assessment</v>
      </c>
      <c r="Z19" s="5">
        <f>'4.Climate_adaptation'!D20*'Step B weights'!Z$50</f>
        <v>0.90299439468240106</v>
      </c>
      <c r="AA19" s="5">
        <f>'4.Climate_adaptation'!E20*'Step B weights'!AA$50</f>
        <v>0.24358607035618737</v>
      </c>
      <c r="AB19" s="5">
        <f>'4.Climate_adaptation'!F20*'Step B weights'!AB$50</f>
        <v>0.1639449586644986</v>
      </c>
      <c r="AC19" s="5">
        <f>'4.Climate_adaptation'!G20*'Step B weights'!AC$50</f>
        <v>0.62086281465758586</v>
      </c>
      <c r="AD19" s="5">
        <f>'4.Climate_adaptation'!H20*'Step B weights'!AD$50</f>
        <v>0.52534750320110024</v>
      </c>
      <c r="AE19" s="5">
        <f>'4.Climate_adaptation'!I20*'Step B weights'!AE$50</f>
        <v>1.2226804493801811</v>
      </c>
      <c r="AG19" s="28" t="str">
        <f t="shared" si="3"/>
        <v>HLO 3.2: Network of long-term monitoring sites for carbon storage assessment</v>
      </c>
      <c r="AH19" s="5">
        <f>'5.Environmental_health'!D20*'Step B weights'!AH$50</f>
        <v>0.45149719734120053</v>
      </c>
      <c r="AI19" s="5">
        <f>'5.Environmental_health'!E20*'Step B weights'!AI$50</f>
        <v>0.24358607035618737</v>
      </c>
      <c r="AJ19" s="5">
        <f>'5.Environmental_health'!F20*'Step B weights'!AJ$50</f>
        <v>0.2459174379967479</v>
      </c>
      <c r="AK19" s="5">
        <f>'5.Environmental_health'!G20*'Step B weights'!AK$50</f>
        <v>0.24834512586303437</v>
      </c>
      <c r="AL19" s="5">
        <f>'5.Environmental_health'!H20*'Step B weights'!AL$50</f>
        <v>0.52534750320110024</v>
      </c>
      <c r="AM19" s="5">
        <f>'5.Environmental_health'!I20*'Step B weights'!AM$50</f>
        <v>0.24453608987603623</v>
      </c>
    </row>
    <row r="20" spans="1:39">
      <c r="A20" s="29" t="str">
        <f>IF(NOT(ISBLANK(HLOs!D18)),HLOs!D18,"")</f>
        <v>HLO 3.3: Impacts of agricultural practices quantified and catalogued</v>
      </c>
      <c r="B20" s="5">
        <f>'1.Food_security'!D21*'Step B weights'!B$50</f>
        <v>0.25586673659371911</v>
      </c>
      <c r="C20" s="5">
        <f>'1.Food_security'!E21*'Step B weights'!C$50</f>
        <v>0.18699717780648359</v>
      </c>
      <c r="D20" s="5">
        <f>'1.Food_security'!F21*'Step B weights'!D$50</f>
        <v>0.40013201724889436</v>
      </c>
      <c r="E20" s="5">
        <f>'1.Food_security'!G21*'Step B weights'!E$50</f>
        <v>0.45855129727924204</v>
      </c>
      <c r="F20" s="5">
        <f>'1.Food_security'!H21*'Step B weights'!F$50</f>
        <v>0.6977903753132001</v>
      </c>
      <c r="G20" s="5">
        <f>'1.Food_security'!I21*'Step B weights'!G$50</f>
        <v>0.12859576405532053</v>
      </c>
      <c r="I20" s="28" t="str">
        <f t="shared" si="0"/>
        <v>HLO 3.3: Impacts of agricultural practices quantified and catalogued</v>
      </c>
      <c r="J20" s="5">
        <f>'2.Poverty_reduction'!D21*'Step B weights'!J$50</f>
        <v>0.1894644333706568</v>
      </c>
      <c r="K20" s="5">
        <f>'2.Poverty_reduction'!E21*'Step B weights'!K$50</f>
        <v>6.7617578729630742E-2</v>
      </c>
      <c r="L20" s="5">
        <f>'2.Poverty_reduction'!F21*'Step B weights'!L$50</f>
        <v>0.65151068566902137</v>
      </c>
      <c r="M20" s="5">
        <f>'2.Poverty_reduction'!G21*'Step B weights'!M$50</f>
        <v>0.73839656239125684</v>
      </c>
      <c r="N20" s="5">
        <f>'2.Poverty_reduction'!H21*'Step B weights'!N$50</f>
        <v>0.43098056222319642</v>
      </c>
      <c r="O20" s="5">
        <f>'2.Poverty_reduction'!I21*'Step B weights'!O$50</f>
        <v>1.6762394301566518E-2</v>
      </c>
      <c r="Q20" s="28" t="str">
        <f t="shared" si="1"/>
        <v>HLO 3.3: Impacts of agricultural practices quantified and catalogued</v>
      </c>
      <c r="R20" s="5">
        <f>'3.Social_inclusion'!D21*'Step B weights'!R$50</f>
        <v>0.57779473483403276</v>
      </c>
      <c r="S20" s="5">
        <f>'3.Social_inclusion'!E21*'Step B weights'!S$50</f>
        <v>0.32064097672644032</v>
      </c>
      <c r="T20" s="5">
        <f>'3.Social_inclusion'!F21*'Step B weights'!T$50</f>
        <v>0.70438763830599005</v>
      </c>
      <c r="U20" s="5">
        <f>'3.Social_inclusion'!G21*'Step B weights'!U$50</f>
        <v>0.5837466615795498</v>
      </c>
      <c r="V20" s="5">
        <f>'3.Social_inclusion'!H21*'Step B weights'!V$50</f>
        <v>0.34658527279664247</v>
      </c>
      <c r="W20" s="5">
        <f>'3.Social_inclusion'!I21*'Step B weights'!W$50</f>
        <v>0.18512018313620757</v>
      </c>
      <c r="Y20" s="28" t="str">
        <f t="shared" si="2"/>
        <v>HLO 3.3: Impacts of agricultural practices quantified and catalogued</v>
      </c>
      <c r="Z20" s="5">
        <f>'4.Climate_adaptation'!D21*'Step B weights'!Z$50</f>
        <v>0.90299439468240106</v>
      </c>
      <c r="AA20" s="5">
        <f>'4.Climate_adaptation'!E21*'Step B weights'!AA$50</f>
        <v>0.24358607035618737</v>
      </c>
      <c r="AB20" s="5">
        <f>'4.Climate_adaptation'!F21*'Step B weights'!AB$50</f>
        <v>0.1639449586644986</v>
      </c>
      <c r="AC20" s="5">
        <f>'4.Climate_adaptation'!G21*'Step B weights'!AC$50</f>
        <v>0.62086281465758586</v>
      </c>
      <c r="AD20" s="5">
        <f>'4.Climate_adaptation'!H21*'Step B weights'!AD$50</f>
        <v>0.52534750320110024</v>
      </c>
      <c r="AE20" s="5">
        <f>'4.Climate_adaptation'!I21*'Step B weights'!AE$50</f>
        <v>0.97814435950414491</v>
      </c>
      <c r="AG20" s="28" t="str">
        <f t="shared" si="3"/>
        <v>HLO 3.3: Impacts of agricultural practices quantified and catalogued</v>
      </c>
      <c r="AH20" s="5">
        <f>'5.Environmental_health'!D21*'Step B weights'!AH$50</f>
        <v>0.90299439468240106</v>
      </c>
      <c r="AI20" s="5">
        <f>'5.Environmental_health'!E21*'Step B weights'!AI$50</f>
        <v>0.12179303517809369</v>
      </c>
      <c r="AJ20" s="5">
        <f>'5.Environmental_health'!F21*'Step B weights'!AJ$50</f>
        <v>0.1639449586644986</v>
      </c>
      <c r="AK20" s="5">
        <f>'5.Environmental_health'!G21*'Step B weights'!AK$50</f>
        <v>0.24834512586303437</v>
      </c>
      <c r="AL20" s="5">
        <f>'5.Environmental_health'!H21*'Step B weights'!AL$50</f>
        <v>0.52534750320110024</v>
      </c>
      <c r="AM20" s="5">
        <f>'5.Environmental_health'!I21*'Step B weights'!AM$50</f>
        <v>1.2226804493801811</v>
      </c>
    </row>
    <row r="21" spans="1:39">
      <c r="A21" s="29" t="str">
        <f>IF(NOT(ISBLANK(HLOs!D19)),HLOs!D19,"")</f>
        <v>HLO 3.4: Evidence for policy makers on soil health translated to accessible formats</v>
      </c>
      <c r="B21" s="5">
        <f>'1.Food_security'!D22*'Step B weights'!B$50</f>
        <v>0.25586673659371911</v>
      </c>
      <c r="C21" s="5">
        <f>'1.Food_security'!E22*'Step B weights'!C$50</f>
        <v>0.18699717780648359</v>
      </c>
      <c r="D21" s="5">
        <f>'1.Food_security'!F22*'Step B weights'!D$50</f>
        <v>0.40013201724889436</v>
      </c>
      <c r="E21" s="5">
        <f>'1.Food_security'!G22*'Step B weights'!E$50</f>
        <v>0.45855129727924204</v>
      </c>
      <c r="F21" s="5">
        <f>'1.Food_security'!H22*'Step B weights'!F$50</f>
        <v>0.6977903753132001</v>
      </c>
      <c r="G21" s="5">
        <f>'1.Food_security'!I22*'Step B weights'!G$50</f>
        <v>0.12859576405532053</v>
      </c>
      <c r="I21" s="28" t="str">
        <f t="shared" si="0"/>
        <v>HLO 3.4: Evidence for policy makers on soil health translated to accessible formats</v>
      </c>
      <c r="J21" s="5">
        <f>'2.Poverty_reduction'!D22*'Step B weights'!J$50</f>
        <v>0.1894644333706568</v>
      </c>
      <c r="K21" s="5">
        <f>'2.Poverty_reduction'!E22*'Step B weights'!K$50</f>
        <v>6.7617578729630742E-2</v>
      </c>
      <c r="L21" s="5">
        <f>'2.Poverty_reduction'!F22*'Step B weights'!L$50</f>
        <v>0.65151068566902137</v>
      </c>
      <c r="M21" s="5">
        <f>'2.Poverty_reduction'!G22*'Step B weights'!M$50</f>
        <v>0.73839656239125684</v>
      </c>
      <c r="N21" s="5">
        <f>'2.Poverty_reduction'!H22*'Step B weights'!N$50</f>
        <v>0.43098056222319642</v>
      </c>
      <c r="O21" s="5">
        <f>'2.Poverty_reduction'!I22*'Step B weights'!O$50</f>
        <v>1.6762394301566518E-2</v>
      </c>
      <c r="Q21" s="28" t="str">
        <f t="shared" si="1"/>
        <v>HLO 3.4: Evidence for policy makers on soil health translated to accessible formats</v>
      </c>
      <c r="R21" s="5">
        <f>'3.Social_inclusion'!D22*'Step B weights'!R$50</f>
        <v>0.57779473483403276</v>
      </c>
      <c r="S21" s="5">
        <f>'3.Social_inclusion'!E22*'Step B weights'!S$50</f>
        <v>0.16032048836322016</v>
      </c>
      <c r="T21" s="5">
        <f>'3.Social_inclusion'!F22*'Step B weights'!T$50</f>
        <v>0.70438763830599005</v>
      </c>
      <c r="U21" s="5">
        <f>'3.Social_inclusion'!G22*'Step B weights'!U$50</f>
        <v>0.38916444105303322</v>
      </c>
      <c r="V21" s="5">
        <f>'3.Social_inclusion'!H22*'Step B weights'!V$50</f>
        <v>0.34658527279664247</v>
      </c>
      <c r="W21" s="5">
        <f>'3.Social_inclusion'!I22*'Step B weights'!W$50</f>
        <v>0.18512018313620757</v>
      </c>
      <c r="Y21" s="28" t="str">
        <f t="shared" si="2"/>
        <v>HLO 3.4: Evidence for policy makers on soil health translated to accessible formats</v>
      </c>
      <c r="Z21" s="5">
        <f>'4.Climate_adaptation'!D22*'Step B weights'!Z$50</f>
        <v>1.1287429933530013</v>
      </c>
      <c r="AA21" s="5">
        <f>'4.Climate_adaptation'!E22*'Step B weights'!AA$50</f>
        <v>0.24358607035618737</v>
      </c>
      <c r="AB21" s="5">
        <f>'4.Climate_adaptation'!F22*'Step B weights'!AB$50</f>
        <v>0.32788991732899719</v>
      </c>
      <c r="AC21" s="5">
        <f>'4.Climate_adaptation'!G22*'Step B weights'!AC$50</f>
        <v>0.24834512586303437</v>
      </c>
      <c r="AD21" s="5">
        <f>'4.Climate_adaptation'!H22*'Step B weights'!AD$50</f>
        <v>0.52534750320110024</v>
      </c>
      <c r="AE21" s="5">
        <f>'4.Climate_adaptation'!I22*'Step B weights'!AE$50</f>
        <v>0.48907217975207246</v>
      </c>
      <c r="AG21" s="28" t="str">
        <f t="shared" si="3"/>
        <v>HLO 3.4: Evidence for policy makers on soil health translated to accessible formats</v>
      </c>
      <c r="AH21" s="5">
        <f>'5.Environmental_health'!D22*'Step B weights'!AH$50</f>
        <v>0.90299439468240106</v>
      </c>
      <c r="AI21" s="5">
        <f>'5.Environmental_health'!E22*'Step B weights'!AI$50</f>
        <v>0.12179303517809369</v>
      </c>
      <c r="AJ21" s="5">
        <f>'5.Environmental_health'!F22*'Step B weights'!AJ$50</f>
        <v>0.1639449586644986</v>
      </c>
      <c r="AK21" s="5">
        <f>'5.Environmental_health'!G22*'Step B weights'!AK$50</f>
        <v>0.62086281465758586</v>
      </c>
      <c r="AL21" s="5">
        <f>'5.Environmental_health'!H22*'Step B weights'!AL$50</f>
        <v>1.0506950064022005</v>
      </c>
      <c r="AM21" s="5">
        <f>'5.Environmental_health'!I22*'Step B weights'!AM$50</f>
        <v>1.2226804493801811</v>
      </c>
    </row>
    <row r="22" spans="1:39">
      <c r="A22" s="29" t="str">
        <f>IF(NOT(ISBLANK(HLOs!D20)),HLOs!D20,"")</f>
        <v>HLO 4.1: Capacity and networks of plant health practitioners improved</v>
      </c>
      <c r="B22" s="5">
        <f>'1.Food_security'!D23*'Step B weights'!B$50</f>
        <v>0.12793336829685956</v>
      </c>
      <c r="C22" s="5">
        <f>'1.Food_security'!E23*'Step B weights'!C$50</f>
        <v>0.18699717780648359</v>
      </c>
      <c r="D22" s="5">
        <f>'1.Food_security'!F23*'Step B weights'!D$50</f>
        <v>0.40013201724889436</v>
      </c>
      <c r="E22" s="5">
        <f>'1.Food_security'!G23*'Step B weights'!E$50</f>
        <v>0.45855129727924204</v>
      </c>
      <c r="F22" s="5">
        <f>'1.Food_security'!H23*'Step B weights'!F$50</f>
        <v>0.6977903753132001</v>
      </c>
      <c r="G22" s="5">
        <f>'1.Food_security'!I23*'Step B weights'!G$50</f>
        <v>0.25719152811064105</v>
      </c>
      <c r="I22" s="28" t="str">
        <f t="shared" si="0"/>
        <v>HLO 4.1: Capacity and networks of plant health practitioners improved</v>
      </c>
      <c r="J22" s="5">
        <f>'2.Poverty_reduction'!D23*'Step B weights'!J$50</f>
        <v>9.4732216685328399E-2</v>
      </c>
      <c r="K22" s="5">
        <f>'2.Poverty_reduction'!E23*'Step B weights'!K$50</f>
        <v>6.7617578729630742E-2</v>
      </c>
      <c r="L22" s="5">
        <f>'2.Poverty_reduction'!F23*'Step B weights'!L$50</f>
        <v>0.65151068566902137</v>
      </c>
      <c r="M22" s="5">
        <f>'2.Poverty_reduction'!G23*'Step B weights'!M$50</f>
        <v>0.73839656239125684</v>
      </c>
      <c r="N22" s="5">
        <f>'2.Poverty_reduction'!H23*'Step B weights'!N$50</f>
        <v>0.43098056222319642</v>
      </c>
      <c r="O22" s="5">
        <f>'2.Poverty_reduction'!I23*'Step B weights'!O$50</f>
        <v>3.3524788603133036E-2</v>
      </c>
      <c r="Q22" s="28" t="str">
        <f t="shared" si="1"/>
        <v>HLO 4.1: Capacity and networks of plant health practitioners improved</v>
      </c>
      <c r="R22" s="5">
        <f>'3.Social_inclusion'!D23*'Step B weights'!R$50</f>
        <v>0.57779473483403276</v>
      </c>
      <c r="S22" s="5">
        <f>'3.Social_inclusion'!E23*'Step B weights'!S$50</f>
        <v>0.64128195345288064</v>
      </c>
      <c r="T22" s="5">
        <f>'3.Social_inclusion'!F23*'Step B weights'!T$50</f>
        <v>0.93918351774132003</v>
      </c>
      <c r="U22" s="5">
        <f>'3.Social_inclusion'!G23*'Step B weights'!U$50</f>
        <v>0.77832888210606643</v>
      </c>
      <c r="V22" s="5">
        <f>'3.Social_inclusion'!H23*'Step B weights'!V$50</f>
        <v>0.51987790919496368</v>
      </c>
      <c r="W22" s="5">
        <f>'3.Social_inclusion'!I23*'Step B weights'!W$50</f>
        <v>0.27768027470431134</v>
      </c>
      <c r="Y22" s="28" t="str">
        <f t="shared" si="2"/>
        <v>HLO 4.1: Capacity and networks of plant health practitioners improved</v>
      </c>
      <c r="Z22" s="5">
        <f>'4.Climate_adaptation'!D23*'Step B weights'!Z$50</f>
        <v>0.90299439468240106</v>
      </c>
      <c r="AA22" s="5">
        <f>'4.Climate_adaptation'!E23*'Step B weights'!AA$50</f>
        <v>0.24358607035618737</v>
      </c>
      <c r="AB22" s="5">
        <f>'4.Climate_adaptation'!F23*'Step B weights'!AB$50</f>
        <v>0.32788991732899719</v>
      </c>
      <c r="AC22" s="5">
        <f>'4.Climate_adaptation'!G23*'Step B weights'!AC$50</f>
        <v>0.49669025172606873</v>
      </c>
      <c r="AD22" s="5">
        <f>'4.Climate_adaptation'!H23*'Step B weights'!AD$50</f>
        <v>0.78802125480165031</v>
      </c>
      <c r="AE22" s="5">
        <f>'4.Climate_adaptation'!I23*'Step B weights'!AE$50</f>
        <v>0.73360826962810866</v>
      </c>
      <c r="AG22" s="28" t="str">
        <f t="shared" si="3"/>
        <v>HLO 4.1: Capacity and networks of plant health practitioners improved</v>
      </c>
      <c r="AH22" s="5">
        <f>'5.Environmental_health'!D23*'Step B weights'!AH$50</f>
        <v>0.45149719734120053</v>
      </c>
      <c r="AI22" s="5">
        <f>'5.Environmental_health'!E23*'Step B weights'!AI$50</f>
        <v>0.12179303517809369</v>
      </c>
      <c r="AJ22" s="5">
        <f>'5.Environmental_health'!F23*'Step B weights'!AJ$50</f>
        <v>0.1639449586644986</v>
      </c>
      <c r="AK22" s="5">
        <f>'5.Environmental_health'!G23*'Step B weights'!AK$50</f>
        <v>0.24834512586303437</v>
      </c>
      <c r="AL22" s="5">
        <f>'5.Environmental_health'!H23*'Step B weights'!AL$50</f>
        <v>0.52534750320110024</v>
      </c>
      <c r="AM22" s="5">
        <f>'5.Environmental_health'!I23*'Step B weights'!AM$50</f>
        <v>0.48907217975207246</v>
      </c>
    </row>
    <row r="23" spans="1:39">
      <c r="A23" s="29" t="str">
        <f>IF(NOT(ISBLANK(HLOs!D21)),HLOs!D21,"")</f>
        <v>HLO 4.2: Improved pest and disease monitoring and modeling tools</v>
      </c>
      <c r="B23" s="5">
        <f>'1.Food_security'!D24*'Step B weights'!B$50</f>
        <v>0.19190005244528935</v>
      </c>
      <c r="C23" s="5">
        <f>'1.Food_security'!E24*'Step B weights'!C$50</f>
        <v>0.28049576670972537</v>
      </c>
      <c r="D23" s="5">
        <f>'1.Food_security'!F24*'Step B weights'!D$50</f>
        <v>0.60019802587334148</v>
      </c>
      <c r="E23" s="5">
        <f>'1.Food_security'!G24*'Step B weights'!E$50</f>
        <v>0.68782694591886306</v>
      </c>
      <c r="F23" s="5">
        <f>'1.Food_security'!H24*'Step B weights'!F$50</f>
        <v>1.0466855629698002</v>
      </c>
      <c r="G23" s="5">
        <f>'1.Food_security'!I24*'Step B weights'!G$50</f>
        <v>0.19289364608298079</v>
      </c>
      <c r="I23" s="28" t="str">
        <f t="shared" si="0"/>
        <v>HLO 4.2: Improved pest and disease monitoring and modeling tools</v>
      </c>
      <c r="J23" s="5">
        <f>'2.Poverty_reduction'!D24*'Step B weights'!J$50</f>
        <v>0.14209832502799261</v>
      </c>
      <c r="K23" s="5">
        <f>'2.Poverty_reduction'!E24*'Step B weights'!K$50</f>
        <v>0.10142636809444611</v>
      </c>
      <c r="L23" s="5">
        <f>'2.Poverty_reduction'!F24*'Step B weights'!L$50</f>
        <v>0.97726602850353206</v>
      </c>
      <c r="M23" s="5">
        <f>'2.Poverty_reduction'!G24*'Step B weights'!M$50</f>
        <v>1.1075948435868852</v>
      </c>
      <c r="N23" s="5">
        <f>'2.Poverty_reduction'!H24*'Step B weights'!N$50</f>
        <v>0.64647084333479465</v>
      </c>
      <c r="O23" s="5">
        <f>'2.Poverty_reduction'!I24*'Step B weights'!O$50</f>
        <v>2.5143591452349776E-2</v>
      </c>
      <c r="Q23" s="28" t="str">
        <f t="shared" si="1"/>
        <v>HLO 4.2: Improved pest and disease monitoring and modeling tools</v>
      </c>
      <c r="R23" s="5">
        <f>'3.Social_inclusion'!D24*'Step B weights'!R$50</f>
        <v>0.4333460511255246</v>
      </c>
      <c r="S23" s="5">
        <f>'3.Social_inclusion'!E24*'Step B weights'!S$50</f>
        <v>0.48096146508966048</v>
      </c>
      <c r="T23" s="5">
        <f>'3.Social_inclusion'!F24*'Step B weights'!T$50</f>
        <v>0.70438763830599005</v>
      </c>
      <c r="U23" s="5">
        <f>'3.Social_inclusion'!G24*'Step B weights'!U$50</f>
        <v>0.5837466615795498</v>
      </c>
      <c r="V23" s="5">
        <f>'3.Social_inclusion'!H24*'Step B weights'!V$50</f>
        <v>0.51987790919496368</v>
      </c>
      <c r="W23" s="5">
        <f>'3.Social_inclusion'!I24*'Step B weights'!W$50</f>
        <v>0.27768027470431134</v>
      </c>
      <c r="Y23" s="28" t="str">
        <f t="shared" si="2"/>
        <v>HLO 4.2: Improved pest and disease monitoring and modeling tools</v>
      </c>
      <c r="Z23" s="5">
        <f>'4.Climate_adaptation'!D24*'Step B weights'!Z$50</f>
        <v>1.1287429933530013</v>
      </c>
      <c r="AA23" s="5">
        <f>'4.Climate_adaptation'!E24*'Step B weights'!AA$50</f>
        <v>0.24358607035618737</v>
      </c>
      <c r="AB23" s="5">
        <f>'4.Climate_adaptation'!F24*'Step B weights'!AB$50</f>
        <v>0.40986239666124646</v>
      </c>
      <c r="AC23" s="5">
        <f>'4.Climate_adaptation'!G24*'Step B weights'!AC$50</f>
        <v>0.62086281465758586</v>
      </c>
      <c r="AD23" s="5">
        <f>'4.Climate_adaptation'!H24*'Step B weights'!AD$50</f>
        <v>1.0506950064022005</v>
      </c>
      <c r="AE23" s="5">
        <f>'4.Climate_adaptation'!I24*'Step B weights'!AE$50</f>
        <v>0.97814435950414491</v>
      </c>
      <c r="AG23" s="28" t="str">
        <f t="shared" si="3"/>
        <v>HLO 4.2: Improved pest and disease monitoring and modeling tools</v>
      </c>
      <c r="AH23" s="5">
        <f>'5.Environmental_health'!D24*'Step B weights'!AH$50</f>
        <v>0.45149719734120053</v>
      </c>
      <c r="AI23" s="5">
        <f>'5.Environmental_health'!E24*'Step B weights'!AI$50</f>
        <v>0.12179303517809369</v>
      </c>
      <c r="AJ23" s="5">
        <f>'5.Environmental_health'!F24*'Step B weights'!AJ$50</f>
        <v>0.1639449586644986</v>
      </c>
      <c r="AK23" s="5">
        <f>'5.Environmental_health'!G24*'Step B weights'!AK$50</f>
        <v>0.24834512586303437</v>
      </c>
      <c r="AL23" s="5">
        <f>'5.Environmental_health'!H24*'Step B weights'!AL$50</f>
        <v>0.52534750320110024</v>
      </c>
      <c r="AM23" s="5">
        <f>'5.Environmental_health'!I24*'Step B weights'!AM$50</f>
        <v>0.48907217975207246</v>
      </c>
    </row>
    <row r="24" spans="1:39">
      <c r="A24" s="29" t="str">
        <f>IF(NOT(ISBLANK(HLOs!D22)),HLOs!D22,"")</f>
        <v>HLO 4.3: Surveillance data and prevention strategies available</v>
      </c>
      <c r="B24" s="5">
        <f>'1.Food_security'!D25*'Step B weights'!B$50</f>
        <v>0.19190005244528935</v>
      </c>
      <c r="C24" s="5">
        <f>'1.Food_security'!E25*'Step B weights'!C$50</f>
        <v>0.18699717780648359</v>
      </c>
      <c r="D24" s="5">
        <f>'1.Food_security'!F25*'Step B weights'!D$50</f>
        <v>0.80026403449778871</v>
      </c>
      <c r="E24" s="5">
        <f>'1.Food_security'!G25*'Step B weights'!E$50</f>
        <v>0.91710259455848409</v>
      </c>
      <c r="F24" s="5">
        <f>'1.Food_security'!H25*'Step B weights'!F$50</f>
        <v>0.6977903753132001</v>
      </c>
      <c r="G24" s="5">
        <f>'1.Food_security'!I25*'Step B weights'!G$50</f>
        <v>0.19289364608298079</v>
      </c>
      <c r="I24" s="28" t="str">
        <f t="shared" si="0"/>
        <v>HLO 4.3: Surveillance data and prevention strategies available</v>
      </c>
      <c r="J24" s="5">
        <f>'2.Poverty_reduction'!D25*'Step B weights'!J$50</f>
        <v>0.14209832502799261</v>
      </c>
      <c r="K24" s="5">
        <f>'2.Poverty_reduction'!E25*'Step B weights'!K$50</f>
        <v>6.7617578729630742E-2</v>
      </c>
      <c r="L24" s="5">
        <f>'2.Poverty_reduction'!F25*'Step B weights'!L$50</f>
        <v>1.3030213713380427</v>
      </c>
      <c r="M24" s="5">
        <f>'2.Poverty_reduction'!G25*'Step B weights'!M$50</f>
        <v>1.4767931247825137</v>
      </c>
      <c r="N24" s="5">
        <f>'2.Poverty_reduction'!H25*'Step B weights'!N$50</f>
        <v>0.43098056222319642</v>
      </c>
      <c r="O24" s="5">
        <f>'2.Poverty_reduction'!I25*'Step B weights'!O$50</f>
        <v>2.5143591452349776E-2</v>
      </c>
      <c r="Q24" s="28" t="str">
        <f t="shared" si="1"/>
        <v>HLO 4.3: Surveillance data and prevention strategies available</v>
      </c>
      <c r="R24" s="5">
        <f>'3.Social_inclusion'!D25*'Step B weights'!R$50</f>
        <v>0.4333460511255246</v>
      </c>
      <c r="S24" s="5">
        <f>'3.Social_inclusion'!E25*'Step B weights'!S$50</f>
        <v>0.32064097672644032</v>
      </c>
      <c r="T24" s="5">
        <f>'3.Social_inclusion'!F25*'Step B weights'!T$50</f>
        <v>0.70438763830599005</v>
      </c>
      <c r="U24" s="5">
        <f>'3.Social_inclusion'!G25*'Step B weights'!U$50</f>
        <v>0.5837466615795498</v>
      </c>
      <c r="V24" s="5">
        <f>'3.Social_inclusion'!H25*'Step B weights'!V$50</f>
        <v>0.34658527279664247</v>
      </c>
      <c r="W24" s="5">
        <f>'3.Social_inclusion'!I25*'Step B weights'!W$50</f>
        <v>0.27768027470431134</v>
      </c>
      <c r="Y24" s="28" t="str">
        <f t="shared" si="2"/>
        <v>HLO 4.3: Surveillance data and prevention strategies available</v>
      </c>
      <c r="Z24" s="5">
        <f>'4.Climate_adaptation'!D25*'Step B weights'!Z$50</f>
        <v>0.67724579601180079</v>
      </c>
      <c r="AA24" s="5">
        <f>'4.Climate_adaptation'!E25*'Step B weights'!AA$50</f>
        <v>0.18268955276714052</v>
      </c>
      <c r="AB24" s="5">
        <f>'4.Climate_adaptation'!F25*'Step B weights'!AB$50</f>
        <v>0.2459174379967479</v>
      </c>
      <c r="AC24" s="5">
        <f>'4.Climate_adaptation'!G25*'Step B weights'!AC$50</f>
        <v>0.37251768879455155</v>
      </c>
      <c r="AD24" s="5">
        <f>'4.Climate_adaptation'!H25*'Step B weights'!AD$50</f>
        <v>0.52534750320110024</v>
      </c>
      <c r="AE24" s="5">
        <f>'4.Climate_adaptation'!I25*'Step B weights'!AE$50</f>
        <v>0.73360826962810866</v>
      </c>
      <c r="AG24" s="28" t="str">
        <f t="shared" si="3"/>
        <v>HLO 4.3: Surveillance data and prevention strategies available</v>
      </c>
      <c r="AH24" s="5">
        <f>'5.Environmental_health'!D25*'Step B weights'!AH$50</f>
        <v>0.45149719734120053</v>
      </c>
      <c r="AI24" s="5">
        <f>'5.Environmental_health'!E25*'Step B weights'!AI$50</f>
        <v>0.12179303517809369</v>
      </c>
      <c r="AJ24" s="5">
        <f>'5.Environmental_health'!F25*'Step B weights'!AJ$50</f>
        <v>0.1639449586644986</v>
      </c>
      <c r="AK24" s="5">
        <f>'5.Environmental_health'!G25*'Step B weights'!AK$50</f>
        <v>0.12417256293151718</v>
      </c>
      <c r="AL24" s="5">
        <f>'5.Environmental_health'!H25*'Step B weights'!AL$50</f>
        <v>0.52534750320110024</v>
      </c>
      <c r="AM24" s="5">
        <f>'5.Environmental_health'!I25*'Step B weights'!AM$50</f>
        <v>0.48907217975207246</v>
      </c>
    </row>
    <row r="25" spans="1:39">
      <c r="A25" s="29" t="str">
        <f>IF(NOT(ISBLANK(HLOs!D23)),HLOs!D23,"")</f>
        <v>HLO 4.4: Eco-friendly options for integrated pest management developed</v>
      </c>
      <c r="B25" s="5">
        <f>'1.Food_security'!D26*'Step B weights'!B$50</f>
        <v>0.25586673659371911</v>
      </c>
      <c r="C25" s="5">
        <f>'1.Food_security'!E26*'Step B weights'!C$50</f>
        <v>0.37399435561296718</v>
      </c>
      <c r="D25" s="5">
        <f>'1.Food_security'!F26*'Step B weights'!D$50</f>
        <v>1.0003300431222359</v>
      </c>
      <c r="E25" s="5">
        <f>'1.Food_security'!G26*'Step B weights'!E$50</f>
        <v>1.1463782431981051</v>
      </c>
      <c r="F25" s="5">
        <f>'1.Food_security'!H26*'Step B weights'!F$50</f>
        <v>1.3955807506264002</v>
      </c>
      <c r="G25" s="5">
        <f>'1.Food_security'!I26*'Step B weights'!G$50</f>
        <v>0.32148941013830135</v>
      </c>
      <c r="I25" s="28" t="str">
        <f t="shared" si="0"/>
        <v>HLO 4.4: Eco-friendly options for integrated pest management developed</v>
      </c>
      <c r="J25" s="5">
        <f>'2.Poverty_reduction'!D26*'Step B weights'!J$50</f>
        <v>0.1894644333706568</v>
      </c>
      <c r="K25" s="5">
        <f>'2.Poverty_reduction'!E26*'Step B weights'!K$50</f>
        <v>0.13523515745926148</v>
      </c>
      <c r="L25" s="5">
        <f>'2.Poverty_reduction'!F26*'Step B weights'!L$50</f>
        <v>1.6287767141725533</v>
      </c>
      <c r="M25" s="5">
        <f>'2.Poverty_reduction'!G26*'Step B weights'!M$50</f>
        <v>1.8459914059781422</v>
      </c>
      <c r="N25" s="5">
        <f>'2.Poverty_reduction'!H26*'Step B weights'!N$50</f>
        <v>0.86196112444639283</v>
      </c>
      <c r="O25" s="5">
        <f>'2.Poverty_reduction'!I26*'Step B weights'!O$50</f>
        <v>4.1905985753916297E-2</v>
      </c>
      <c r="Q25" s="28" t="str">
        <f t="shared" si="1"/>
        <v>HLO 4.4: Eco-friendly options for integrated pest management developed</v>
      </c>
      <c r="R25" s="5">
        <f>'3.Social_inclusion'!D26*'Step B weights'!R$50</f>
        <v>0.57779473483403276</v>
      </c>
      <c r="S25" s="5">
        <f>'3.Social_inclusion'!E26*'Step B weights'!S$50</f>
        <v>0.64128195345288064</v>
      </c>
      <c r="T25" s="5">
        <f>'3.Social_inclusion'!F26*'Step B weights'!T$50</f>
        <v>0.93918351774132003</v>
      </c>
      <c r="U25" s="5">
        <f>'3.Social_inclusion'!G26*'Step B weights'!U$50</f>
        <v>0.77832888210606643</v>
      </c>
      <c r="V25" s="5">
        <f>'3.Social_inclusion'!H26*'Step B weights'!V$50</f>
        <v>0.51987790919496368</v>
      </c>
      <c r="W25" s="5">
        <f>'3.Social_inclusion'!I26*'Step B weights'!W$50</f>
        <v>0.46280045784051893</v>
      </c>
      <c r="Y25" s="28" t="str">
        <f t="shared" si="2"/>
        <v>HLO 4.4: Eco-friendly options for integrated pest management developed</v>
      </c>
      <c r="Z25" s="5">
        <f>'4.Climate_adaptation'!D26*'Step B weights'!Z$50</f>
        <v>0.67724579601180079</v>
      </c>
      <c r="AA25" s="5">
        <f>'4.Climate_adaptation'!E26*'Step B weights'!AA$50</f>
        <v>0.18268955276714052</v>
      </c>
      <c r="AB25" s="5">
        <f>'4.Climate_adaptation'!F26*'Step B weights'!AB$50</f>
        <v>0.32788991732899719</v>
      </c>
      <c r="AC25" s="5">
        <f>'4.Climate_adaptation'!G26*'Step B weights'!AC$50</f>
        <v>0.37251768879455155</v>
      </c>
      <c r="AD25" s="5">
        <f>'4.Climate_adaptation'!H26*'Step B weights'!AD$50</f>
        <v>0.78802125480165031</v>
      </c>
      <c r="AE25" s="5">
        <f>'4.Climate_adaptation'!I26*'Step B weights'!AE$50</f>
        <v>0.73360826962810866</v>
      </c>
      <c r="AG25" s="28" t="str">
        <f t="shared" si="3"/>
        <v>HLO 4.4: Eco-friendly options for integrated pest management developed</v>
      </c>
      <c r="AH25" s="5">
        <f>'5.Environmental_health'!D26*'Step B weights'!AH$50</f>
        <v>1.1287429933530013</v>
      </c>
      <c r="AI25" s="5">
        <f>'5.Environmental_health'!E26*'Step B weights'!AI$50</f>
        <v>0.3044825879452342</v>
      </c>
      <c r="AJ25" s="5">
        <f>'5.Environmental_health'!F26*'Step B weights'!AJ$50</f>
        <v>0.40986239666124646</v>
      </c>
      <c r="AK25" s="5">
        <f>'5.Environmental_health'!G26*'Step B weights'!AK$50</f>
        <v>0.62086281465758586</v>
      </c>
      <c r="AL25" s="5">
        <f>'5.Environmental_health'!H26*'Step B weights'!AL$50</f>
        <v>1.3133687580027507</v>
      </c>
      <c r="AM25" s="5">
        <f>'5.Environmental_health'!I26*'Step B weights'!AM$50</f>
        <v>1.2226804493801811</v>
      </c>
    </row>
    <row r="26" spans="1:39">
      <c r="A26" s="29" t="str">
        <f>IF(NOT(ISBLANK(HLOs!D24)),HLOs!D24,"")</f>
        <v>HLO 4.5: Mycotoxin traceability system for food safety validated</v>
      </c>
      <c r="B26" s="5">
        <f>'1.Food_security'!D27*'Step B weights'!B$50</f>
        <v>0.19190005244528935</v>
      </c>
      <c r="C26" s="5">
        <f>'1.Food_security'!E27*'Step B weights'!C$50</f>
        <v>0.18699717780648359</v>
      </c>
      <c r="D26" s="5">
        <f>'1.Food_security'!F27*'Step B weights'!D$50</f>
        <v>0.80026403449778871</v>
      </c>
      <c r="E26" s="5">
        <f>'1.Food_security'!G27*'Step B weights'!E$50</f>
        <v>0.91710259455848409</v>
      </c>
      <c r="F26" s="5">
        <f>'1.Food_security'!H27*'Step B weights'!F$50</f>
        <v>0.6977903753132001</v>
      </c>
      <c r="G26" s="5">
        <f>'1.Food_security'!I27*'Step B weights'!G$50</f>
        <v>0.12859576405532053</v>
      </c>
      <c r="I26" s="28" t="str">
        <f t="shared" si="0"/>
        <v>HLO 4.5: Mycotoxin traceability system for food safety validated</v>
      </c>
      <c r="J26" s="5">
        <f>'2.Poverty_reduction'!D27*'Step B weights'!J$50</f>
        <v>0.14209832502799261</v>
      </c>
      <c r="K26" s="5">
        <f>'2.Poverty_reduction'!E27*'Step B weights'!K$50</f>
        <v>6.7617578729630742E-2</v>
      </c>
      <c r="L26" s="5">
        <f>'2.Poverty_reduction'!F27*'Step B weights'!L$50</f>
        <v>1.3030213713380427</v>
      </c>
      <c r="M26" s="5">
        <f>'2.Poverty_reduction'!G27*'Step B weights'!M$50</f>
        <v>1.4767931247825137</v>
      </c>
      <c r="N26" s="5">
        <f>'2.Poverty_reduction'!H27*'Step B weights'!N$50</f>
        <v>0.43098056222319642</v>
      </c>
      <c r="O26" s="5">
        <f>'2.Poverty_reduction'!I27*'Step B weights'!O$50</f>
        <v>1.6762394301566518E-2</v>
      </c>
      <c r="Q26" s="28" t="str">
        <f t="shared" si="1"/>
        <v>HLO 4.5: Mycotoxin traceability system for food safety validated</v>
      </c>
      <c r="R26" s="5">
        <f>'3.Social_inclusion'!D27*'Step B weights'!R$50</f>
        <v>0.4333460511255246</v>
      </c>
      <c r="S26" s="5">
        <f>'3.Social_inclusion'!E27*'Step B weights'!S$50</f>
        <v>0.32064097672644032</v>
      </c>
      <c r="T26" s="5">
        <f>'3.Social_inclusion'!F27*'Step B weights'!T$50</f>
        <v>0.70438763830599005</v>
      </c>
      <c r="U26" s="5">
        <f>'3.Social_inclusion'!G27*'Step B weights'!U$50</f>
        <v>0.5837466615795498</v>
      </c>
      <c r="V26" s="5">
        <f>'3.Social_inclusion'!H27*'Step B weights'!V$50</f>
        <v>0.34658527279664247</v>
      </c>
      <c r="W26" s="5">
        <f>'3.Social_inclusion'!I27*'Step B weights'!W$50</f>
        <v>0.18512018313620757</v>
      </c>
      <c r="Y26" s="28" t="str">
        <f t="shared" si="2"/>
        <v>HLO 4.5: Mycotoxin traceability system for food safety validated</v>
      </c>
      <c r="Z26" s="5">
        <f>'4.Climate_adaptation'!D27*'Step B weights'!Z$50</f>
        <v>0.67724579601180079</v>
      </c>
      <c r="AA26" s="5">
        <f>'4.Climate_adaptation'!E27*'Step B weights'!AA$50</f>
        <v>0.12179303517809369</v>
      </c>
      <c r="AB26" s="5">
        <f>'4.Climate_adaptation'!F27*'Step B weights'!AB$50</f>
        <v>0.2459174379967479</v>
      </c>
      <c r="AC26" s="5">
        <f>'4.Climate_adaptation'!G27*'Step B weights'!AC$50</f>
        <v>0.37251768879455155</v>
      </c>
      <c r="AD26" s="5">
        <f>'4.Climate_adaptation'!H27*'Step B weights'!AD$50</f>
        <v>0.52534750320110024</v>
      </c>
      <c r="AE26" s="5">
        <f>'4.Climate_adaptation'!I27*'Step B weights'!AE$50</f>
        <v>0.48907217975207246</v>
      </c>
      <c r="AG26" s="28" t="str">
        <f t="shared" si="3"/>
        <v>HLO 4.5: Mycotoxin traceability system for food safety validated</v>
      </c>
      <c r="AH26" s="5">
        <f>'5.Environmental_health'!D27*'Step B weights'!AH$50</f>
        <v>0.45149719734120053</v>
      </c>
      <c r="AI26" s="5">
        <f>'5.Environmental_health'!E27*'Step B weights'!AI$50</f>
        <v>0.12179303517809369</v>
      </c>
      <c r="AJ26" s="5">
        <f>'5.Environmental_health'!F27*'Step B weights'!AJ$50</f>
        <v>0.2459174379967479</v>
      </c>
      <c r="AK26" s="5">
        <f>'5.Environmental_health'!G27*'Step B weights'!AK$50</f>
        <v>0.37251768879455155</v>
      </c>
      <c r="AL26" s="5">
        <f>'5.Environmental_health'!H27*'Step B weights'!AL$50</f>
        <v>0.52534750320110024</v>
      </c>
      <c r="AM26" s="5">
        <f>'5.Environmental_health'!I27*'Step B weights'!AM$50</f>
        <v>0.73360826962810866</v>
      </c>
    </row>
    <row r="27" spans="1:39">
      <c r="A27" s="29" t="str">
        <f>IF(NOT(ISBLANK(HLOs!D25)),HLOs!D25,"")</f>
        <v>HLO 5.1: Prioritization and suitability of water innovations for addressing risks</v>
      </c>
      <c r="B27" s="5">
        <f>'1.Food_security'!D28*'Step B weights'!B$50</f>
        <v>0.31983342074214888</v>
      </c>
      <c r="C27" s="5">
        <f>'1.Food_security'!E28*'Step B weights'!C$50</f>
        <v>0.46749294451620899</v>
      </c>
      <c r="D27" s="5">
        <f>'1.Food_security'!F28*'Step B weights'!D$50</f>
        <v>0.40013201724889436</v>
      </c>
      <c r="E27" s="5">
        <f>'1.Food_security'!G28*'Step B weights'!E$50</f>
        <v>1.1463782431981051</v>
      </c>
      <c r="F27" s="5">
        <f>'1.Food_security'!H28*'Step B weights'!F$50</f>
        <v>1.7444759382830002</v>
      </c>
      <c r="G27" s="5">
        <f>'1.Food_security'!I28*'Step B weights'!G$50</f>
        <v>0.32148941013830135</v>
      </c>
      <c r="I27" s="28" t="str">
        <f t="shared" si="0"/>
        <v>HLO 5.1: Prioritization and suitability of water innovations for addressing risks</v>
      </c>
      <c r="J27" s="5">
        <f>'2.Poverty_reduction'!D28*'Step B weights'!J$50</f>
        <v>0.23683054171332099</v>
      </c>
      <c r="K27" s="5">
        <f>'2.Poverty_reduction'!E28*'Step B weights'!K$50</f>
        <v>0.16904394682407686</v>
      </c>
      <c r="L27" s="5">
        <f>'2.Poverty_reduction'!F28*'Step B weights'!L$50</f>
        <v>0.65151068566902137</v>
      </c>
      <c r="M27" s="5">
        <f>'2.Poverty_reduction'!G28*'Step B weights'!M$50</f>
        <v>1.8459914059781422</v>
      </c>
      <c r="N27" s="5">
        <f>'2.Poverty_reduction'!H28*'Step B weights'!N$50</f>
        <v>0.86196112444639283</v>
      </c>
      <c r="O27" s="5">
        <f>'2.Poverty_reduction'!I28*'Step B weights'!O$50</f>
        <v>4.1905985753916297E-2</v>
      </c>
      <c r="Q27" s="28" t="str">
        <f t="shared" si="1"/>
        <v>HLO 5.1: Prioritization and suitability of water innovations for addressing risks</v>
      </c>
      <c r="R27" s="5">
        <f>'3.Social_inclusion'!D28*'Step B weights'!R$50</f>
        <v>0.72224341854254093</v>
      </c>
      <c r="S27" s="5">
        <f>'3.Social_inclusion'!E28*'Step B weights'!S$50</f>
        <v>0.80160244181610074</v>
      </c>
      <c r="T27" s="5">
        <f>'3.Social_inclusion'!F28*'Step B weights'!T$50</f>
        <v>0.46959175887066001</v>
      </c>
      <c r="U27" s="5">
        <f>'3.Social_inclusion'!G28*'Step B weights'!U$50</f>
        <v>0.38916444105303322</v>
      </c>
      <c r="V27" s="5">
        <f>'3.Social_inclusion'!H28*'Step B weights'!V$50</f>
        <v>0.86646318199160621</v>
      </c>
      <c r="W27" s="5">
        <f>'3.Social_inclusion'!I28*'Step B weights'!W$50</f>
        <v>0.46280045784051893</v>
      </c>
      <c r="Y27" s="28" t="str">
        <f t="shared" si="2"/>
        <v>HLO 5.1: Prioritization and suitability of water innovations for addressing risks</v>
      </c>
      <c r="Z27" s="5">
        <f>'4.Climate_adaptation'!D28*'Step B weights'!Z$50</f>
        <v>0.45149719734120053</v>
      </c>
      <c r="AA27" s="5">
        <f>'4.Climate_adaptation'!E28*'Step B weights'!AA$50</f>
        <v>0.3044825879452342</v>
      </c>
      <c r="AB27" s="5">
        <f>'4.Climate_adaptation'!F28*'Step B weights'!AB$50</f>
        <v>0.2459174379967479</v>
      </c>
      <c r="AC27" s="5">
        <f>'4.Climate_adaptation'!G28*'Step B weights'!AC$50</f>
        <v>0.62086281465758586</v>
      </c>
      <c r="AD27" s="5">
        <f>'4.Climate_adaptation'!H28*'Step B weights'!AD$50</f>
        <v>1.0506950064022005</v>
      </c>
      <c r="AE27" s="5">
        <f>'4.Climate_adaptation'!I28*'Step B weights'!AE$50</f>
        <v>1.2226804493801811</v>
      </c>
      <c r="AG27" s="28" t="str">
        <f t="shared" si="3"/>
        <v>HLO 5.1: Prioritization and suitability of water innovations for addressing risks</v>
      </c>
      <c r="AH27" s="5">
        <f>'5.Environmental_health'!D28*'Step B weights'!AH$50</f>
        <v>1.1287429933530013</v>
      </c>
      <c r="AI27" s="5">
        <f>'5.Environmental_health'!E28*'Step B weights'!AI$50</f>
        <v>0.3044825879452342</v>
      </c>
      <c r="AJ27" s="5">
        <f>'5.Environmental_health'!F28*'Step B weights'!AJ$50</f>
        <v>0.40986239666124646</v>
      </c>
      <c r="AK27" s="5">
        <f>'5.Environmental_health'!G28*'Step B weights'!AK$50</f>
        <v>0.62086281465758586</v>
      </c>
      <c r="AL27" s="5">
        <f>'5.Environmental_health'!H28*'Step B weights'!AL$50</f>
        <v>1.3133687580027507</v>
      </c>
      <c r="AM27" s="5">
        <f>'5.Environmental_health'!I28*'Step B weights'!AM$50</f>
        <v>1.2226804493801811</v>
      </c>
    </row>
    <row r="28" spans="1:39">
      <c r="A28" s="29" t="str">
        <f>IF(NOT(ISBLANK(HLOs!D26)),HLOs!D26,"")</f>
        <v>HLO 5.2: Socially inclusive water management solutions addressing risks</v>
      </c>
      <c r="B28" s="5">
        <f>'1.Food_security'!D29*'Step B weights'!B$50</f>
        <v>0.12793336829685956</v>
      </c>
      <c r="C28" s="5">
        <f>'1.Food_security'!E29*'Step B weights'!C$50</f>
        <v>0.46749294451620899</v>
      </c>
      <c r="D28" s="5">
        <f>'1.Food_security'!F29*'Step B weights'!D$50</f>
        <v>0.40013201724889436</v>
      </c>
      <c r="E28" s="5">
        <f>'1.Food_security'!G29*'Step B weights'!E$50</f>
        <v>1.1463782431981051</v>
      </c>
      <c r="F28" s="5">
        <f>'1.Food_security'!H29*'Step B weights'!F$50</f>
        <v>1.3955807506264002</v>
      </c>
      <c r="G28" s="5">
        <f>'1.Food_security'!I29*'Step B weights'!G$50</f>
        <v>0.12859576405532053</v>
      </c>
      <c r="I28" s="28" t="str">
        <f t="shared" si="0"/>
        <v>HLO 5.2: Socially inclusive water management solutions addressing risks</v>
      </c>
      <c r="J28" s="5">
        <f>'2.Poverty_reduction'!D29*'Step B weights'!J$50</f>
        <v>9.4732216685328399E-2</v>
      </c>
      <c r="K28" s="5">
        <f>'2.Poverty_reduction'!E29*'Step B weights'!K$50</f>
        <v>0.13523515745926148</v>
      </c>
      <c r="L28" s="5">
        <f>'2.Poverty_reduction'!F29*'Step B weights'!L$50</f>
        <v>0.32575534283451069</v>
      </c>
      <c r="M28" s="5">
        <f>'2.Poverty_reduction'!G29*'Step B weights'!M$50</f>
        <v>1.8459914059781422</v>
      </c>
      <c r="N28" s="5">
        <f>'2.Poverty_reduction'!H29*'Step B weights'!N$50</f>
        <v>0.86196112444639283</v>
      </c>
      <c r="O28" s="5">
        <f>'2.Poverty_reduction'!I29*'Step B weights'!O$50</f>
        <v>8.3811971507832591E-3</v>
      </c>
      <c r="Q28" s="28" t="str">
        <f t="shared" si="1"/>
        <v>HLO 5.2: Socially inclusive water management solutions addressing risks</v>
      </c>
      <c r="R28" s="5">
        <f>'3.Social_inclusion'!D29*'Step B weights'!R$50</f>
        <v>0.28889736741701638</v>
      </c>
      <c r="S28" s="5">
        <f>'3.Social_inclusion'!E29*'Step B weights'!S$50</f>
        <v>0.80160244181610074</v>
      </c>
      <c r="T28" s="5">
        <f>'3.Social_inclusion'!F29*'Step B weights'!T$50</f>
        <v>0.46959175887066001</v>
      </c>
      <c r="U28" s="5">
        <f>'3.Social_inclusion'!G29*'Step B weights'!U$50</f>
        <v>0.19458222052651661</v>
      </c>
      <c r="V28" s="5">
        <f>'3.Social_inclusion'!H29*'Step B weights'!V$50</f>
        <v>0.17329263639832124</v>
      </c>
      <c r="W28" s="5">
        <f>'3.Social_inclusion'!I29*'Step B weights'!W$50</f>
        <v>0.18512018313620757</v>
      </c>
      <c r="Y28" s="28" t="str">
        <f t="shared" si="2"/>
        <v>HLO 5.2: Socially inclusive water management solutions addressing risks</v>
      </c>
      <c r="Z28" s="5">
        <f>'4.Climate_adaptation'!D29*'Step B weights'!Z$50</f>
        <v>0.45149719734120053</v>
      </c>
      <c r="AA28" s="5">
        <f>'4.Climate_adaptation'!E29*'Step B weights'!AA$50</f>
        <v>0.3044825879452342</v>
      </c>
      <c r="AB28" s="5">
        <f>'4.Climate_adaptation'!F29*'Step B weights'!AB$50</f>
        <v>0.1639449586644986</v>
      </c>
      <c r="AC28" s="5">
        <f>'4.Climate_adaptation'!G29*'Step B weights'!AC$50</f>
        <v>0.62086281465758586</v>
      </c>
      <c r="AD28" s="5">
        <f>'4.Climate_adaptation'!H29*'Step B weights'!AD$50</f>
        <v>1.0506950064022005</v>
      </c>
      <c r="AE28" s="5">
        <f>'4.Climate_adaptation'!I29*'Step B weights'!AE$50</f>
        <v>0.97814435950414491</v>
      </c>
      <c r="AG28" s="28" t="str">
        <f t="shared" si="3"/>
        <v>HLO 5.2: Socially inclusive water management solutions addressing risks</v>
      </c>
      <c r="AH28" s="5">
        <f>'5.Environmental_health'!D29*'Step B weights'!AH$50</f>
        <v>0.90299439468240106</v>
      </c>
      <c r="AI28" s="5">
        <f>'5.Environmental_health'!E29*'Step B weights'!AI$50</f>
        <v>0.3044825879452342</v>
      </c>
      <c r="AJ28" s="5">
        <f>'5.Environmental_health'!F29*'Step B weights'!AJ$50</f>
        <v>0.40986239666124646</v>
      </c>
      <c r="AK28" s="5">
        <f>'5.Environmental_health'!G29*'Step B weights'!AK$50</f>
        <v>0.62086281465758586</v>
      </c>
      <c r="AL28" s="5">
        <f>'5.Environmental_health'!H29*'Step B weights'!AL$50</f>
        <v>1.0506950064022005</v>
      </c>
      <c r="AM28" s="5">
        <f>'5.Environmental_health'!I29*'Step B weights'!AM$50</f>
        <v>0.24453608987603623</v>
      </c>
    </row>
    <row r="29" spans="1:39">
      <c r="A29" s="29" t="str">
        <f>IF(NOT(ISBLANK(HLOs!D27)),HLOs!D27,"")</f>
        <v>HLO 5.3: Training materials for water management solutions</v>
      </c>
      <c r="B29" s="5">
        <f>'1.Food_security'!D30*'Step B weights'!B$50</f>
        <v>0.12793336829685956</v>
      </c>
      <c r="C29" s="5">
        <f>'1.Food_security'!E30*'Step B weights'!C$50</f>
        <v>0.46749294451620899</v>
      </c>
      <c r="D29" s="5">
        <f>'1.Food_security'!F30*'Step B weights'!D$50</f>
        <v>1.0003300431222359</v>
      </c>
      <c r="E29" s="5">
        <f>'1.Food_security'!G30*'Step B weights'!E$50</f>
        <v>0.22927564863962102</v>
      </c>
      <c r="F29" s="5">
        <f>'1.Food_security'!H30*'Step B weights'!F$50</f>
        <v>1.3955807506264002</v>
      </c>
      <c r="G29" s="5">
        <f>'1.Food_security'!I30*'Step B weights'!G$50</f>
        <v>0.12859576405532053</v>
      </c>
      <c r="I29" s="28" t="str">
        <f t="shared" si="0"/>
        <v>HLO 5.3: Training materials for water management solutions</v>
      </c>
      <c r="J29" s="5">
        <f>'2.Poverty_reduction'!D30*'Step B weights'!J$50</f>
        <v>9.4732216685328399E-2</v>
      </c>
      <c r="K29" s="5">
        <f>'2.Poverty_reduction'!E30*'Step B weights'!K$50</f>
        <v>0.13523515745926148</v>
      </c>
      <c r="L29" s="5">
        <f>'2.Poverty_reduction'!F30*'Step B weights'!L$50</f>
        <v>0.32575534283451069</v>
      </c>
      <c r="M29" s="5">
        <f>'2.Poverty_reduction'!G30*'Step B weights'!M$50</f>
        <v>0.36919828119562842</v>
      </c>
      <c r="N29" s="5">
        <f>'2.Poverty_reduction'!H30*'Step B weights'!N$50</f>
        <v>0.86196112444639283</v>
      </c>
      <c r="O29" s="5">
        <f>'2.Poverty_reduction'!I30*'Step B weights'!O$50</f>
        <v>8.3811971507832591E-3</v>
      </c>
      <c r="Q29" s="28" t="str">
        <f t="shared" si="1"/>
        <v>HLO 5.3: Training materials for water management solutions</v>
      </c>
      <c r="R29" s="5">
        <f>'3.Social_inclusion'!D30*'Step B weights'!R$50</f>
        <v>0.28889736741701638</v>
      </c>
      <c r="S29" s="5">
        <f>'3.Social_inclusion'!E30*'Step B weights'!S$50</f>
        <v>0.16032048836322016</v>
      </c>
      <c r="T29" s="5">
        <f>'3.Social_inclusion'!F30*'Step B weights'!T$50</f>
        <v>0.46959175887066001</v>
      </c>
      <c r="U29" s="5">
        <f>'3.Social_inclusion'!G30*'Step B weights'!U$50</f>
        <v>0.19458222052651661</v>
      </c>
      <c r="V29" s="5">
        <f>'3.Social_inclusion'!H30*'Step B weights'!V$50</f>
        <v>0.17329263639832124</v>
      </c>
      <c r="W29" s="5">
        <f>'3.Social_inclusion'!I30*'Step B weights'!W$50</f>
        <v>9.2560091568103783E-2</v>
      </c>
      <c r="Y29" s="28" t="str">
        <f t="shared" si="2"/>
        <v>HLO 5.3: Training materials for water management solutions</v>
      </c>
      <c r="Z29" s="5">
        <f>'4.Climate_adaptation'!D30*'Step B weights'!Z$50</f>
        <v>0.90299439468240106</v>
      </c>
      <c r="AA29" s="5">
        <f>'4.Climate_adaptation'!E30*'Step B weights'!AA$50</f>
        <v>0.3044825879452342</v>
      </c>
      <c r="AB29" s="5">
        <f>'4.Climate_adaptation'!F30*'Step B weights'!AB$50</f>
        <v>0.1639449586644986</v>
      </c>
      <c r="AC29" s="5">
        <f>'4.Climate_adaptation'!G30*'Step B weights'!AC$50</f>
        <v>0.12417256293151718</v>
      </c>
      <c r="AD29" s="5">
        <f>'4.Climate_adaptation'!H30*'Step B weights'!AD$50</f>
        <v>1.0506950064022005</v>
      </c>
      <c r="AE29" s="5">
        <f>'4.Climate_adaptation'!I30*'Step B weights'!AE$50</f>
        <v>0.97814435950414491</v>
      </c>
      <c r="AG29" s="28" t="str">
        <f t="shared" si="3"/>
        <v>HLO 5.3: Training materials for water management solutions</v>
      </c>
      <c r="AH29" s="5">
        <f>'5.Environmental_health'!D30*'Step B weights'!AH$50</f>
        <v>0.22574859867060026</v>
      </c>
      <c r="AI29" s="5">
        <f>'5.Environmental_health'!E30*'Step B weights'!AI$50</f>
        <v>0.3044825879452342</v>
      </c>
      <c r="AJ29" s="5">
        <f>'5.Environmental_health'!F30*'Step B weights'!AJ$50</f>
        <v>0.1639449586644986</v>
      </c>
      <c r="AK29" s="5">
        <f>'5.Environmental_health'!G30*'Step B weights'!AK$50</f>
        <v>0.12417256293151718</v>
      </c>
      <c r="AL29" s="5">
        <f>'5.Environmental_health'!H30*'Step B weights'!AL$50</f>
        <v>0.26267375160055012</v>
      </c>
      <c r="AM29" s="5">
        <f>'5.Environmental_health'!I30*'Step B weights'!AM$50</f>
        <v>0.73360826962810866</v>
      </c>
    </row>
    <row r="30" spans="1:39">
      <c r="A30" s="29" t="str">
        <f>IF(NOT(ISBLANK(HLOs!D28)),HLOs!D28,"")</f>
        <v>HLO 5.4: Evidence for policy on agricultural water management practices</v>
      </c>
      <c r="B30" s="5">
        <f>'1.Food_security'!D31*'Step B weights'!B$50</f>
        <v>0.12793336829685956</v>
      </c>
      <c r="C30" s="5">
        <f>'1.Food_security'!E31*'Step B weights'!C$50</f>
        <v>0.46749294451620899</v>
      </c>
      <c r="D30" s="5">
        <f>'1.Food_security'!F31*'Step B weights'!D$50</f>
        <v>1.0003300431222359</v>
      </c>
      <c r="E30" s="5">
        <f>'1.Food_security'!G31*'Step B weights'!E$50</f>
        <v>0.22927564863962102</v>
      </c>
      <c r="F30" s="5">
        <f>'1.Food_security'!H31*'Step B weights'!F$50</f>
        <v>1.3955807506264002</v>
      </c>
      <c r="G30" s="5">
        <f>'1.Food_security'!I31*'Step B weights'!G$50</f>
        <v>0.12859576405532053</v>
      </c>
      <c r="I30" s="28" t="str">
        <f t="shared" si="0"/>
        <v>HLO 5.4: Evidence for policy on agricultural water management practices</v>
      </c>
      <c r="J30" s="5">
        <f>'2.Poverty_reduction'!D31*'Step B weights'!J$50</f>
        <v>9.4732216685328399E-2</v>
      </c>
      <c r="K30" s="5">
        <f>'2.Poverty_reduction'!E31*'Step B weights'!K$50</f>
        <v>0.16904394682407686</v>
      </c>
      <c r="L30" s="5">
        <f>'2.Poverty_reduction'!F31*'Step B weights'!L$50</f>
        <v>0.32575534283451069</v>
      </c>
      <c r="M30" s="5">
        <f>'2.Poverty_reduction'!G31*'Step B weights'!M$50</f>
        <v>0.36919828119562842</v>
      </c>
      <c r="N30" s="5">
        <f>'2.Poverty_reduction'!H31*'Step B weights'!N$50</f>
        <v>0.86196112444639283</v>
      </c>
      <c r="O30" s="5">
        <f>'2.Poverty_reduction'!I31*'Step B weights'!O$50</f>
        <v>8.3811971507832591E-3</v>
      </c>
      <c r="Q30" s="28" t="str">
        <f t="shared" si="1"/>
        <v>HLO 5.4: Evidence for policy on agricultural water management practices</v>
      </c>
      <c r="R30" s="5">
        <f>'3.Social_inclusion'!D31*'Step B weights'!R$50</f>
        <v>0.28889736741701638</v>
      </c>
      <c r="S30" s="5">
        <f>'3.Social_inclusion'!E31*'Step B weights'!S$50</f>
        <v>0.80160244181610074</v>
      </c>
      <c r="T30" s="5">
        <f>'3.Social_inclusion'!F31*'Step B weights'!T$50</f>
        <v>0.23479587943533001</v>
      </c>
      <c r="U30" s="5">
        <f>'3.Social_inclusion'!G31*'Step B weights'!U$50</f>
        <v>0.19458222052651661</v>
      </c>
      <c r="V30" s="5">
        <f>'3.Social_inclusion'!H31*'Step B weights'!V$50</f>
        <v>0.86646318199160621</v>
      </c>
      <c r="W30" s="5">
        <f>'3.Social_inclusion'!I31*'Step B weights'!W$50</f>
        <v>9.2560091568103783E-2</v>
      </c>
      <c r="Y30" s="28" t="str">
        <f t="shared" si="2"/>
        <v>HLO 5.4: Evidence for policy on agricultural water management practices</v>
      </c>
      <c r="Z30" s="5">
        <f>'4.Climate_adaptation'!D31*'Step B weights'!Z$50</f>
        <v>0.45149719734120053</v>
      </c>
      <c r="AA30" s="5">
        <f>'4.Climate_adaptation'!E31*'Step B weights'!AA$50</f>
        <v>0.3044825879452342</v>
      </c>
      <c r="AB30" s="5">
        <f>'4.Climate_adaptation'!F31*'Step B weights'!AB$50</f>
        <v>0.1639449586644986</v>
      </c>
      <c r="AC30" s="5">
        <f>'4.Climate_adaptation'!G31*'Step B weights'!AC$50</f>
        <v>0.12417256293151718</v>
      </c>
      <c r="AD30" s="5">
        <f>'4.Climate_adaptation'!H31*'Step B weights'!AD$50</f>
        <v>1.0506950064022005</v>
      </c>
      <c r="AE30" s="5">
        <f>'4.Climate_adaptation'!I31*'Step B weights'!AE$50</f>
        <v>0.48907217975207246</v>
      </c>
      <c r="AG30" s="28" t="str">
        <f t="shared" si="3"/>
        <v>HLO 5.4: Evidence for policy on agricultural water management practices</v>
      </c>
      <c r="AH30" s="5">
        <f>'5.Environmental_health'!D31*'Step B weights'!AH$50</f>
        <v>0.90299439468240106</v>
      </c>
      <c r="AI30" s="5">
        <f>'5.Environmental_health'!E31*'Step B weights'!AI$50</f>
        <v>0.3044825879452342</v>
      </c>
      <c r="AJ30" s="5">
        <f>'5.Environmental_health'!F31*'Step B weights'!AJ$50</f>
        <v>0.40986239666124646</v>
      </c>
      <c r="AK30" s="5">
        <f>'5.Environmental_health'!G31*'Step B weights'!AK$50</f>
        <v>0.62086281465758586</v>
      </c>
      <c r="AL30" s="5">
        <f>'5.Environmental_health'!H31*'Step B weights'!AL$50</f>
        <v>1.0506950064022005</v>
      </c>
      <c r="AM30" s="5">
        <f>'5.Environmental_health'!I31*'Step B weights'!AM$50</f>
        <v>0.24453608987603623</v>
      </c>
    </row>
    <row r="31" spans="1:39">
      <c r="A31" s="29" t="str">
        <f>IF(NOT(ISBLANK(HLOs!D29)),HLOs!D29,"")</f>
        <v>HLO 6.1: Social-inclusive SAMs that improve resource use efficiencies</v>
      </c>
      <c r="B31" s="5">
        <f>'1.Food_security'!D32*'Step B weights'!B$50</f>
        <v>6.3966684148429778E-2</v>
      </c>
      <c r="C31" s="5">
        <f>'1.Food_security'!E32*'Step B weights'!C$50</f>
        <v>9.3498588903241794E-2</v>
      </c>
      <c r="D31" s="5">
        <f>'1.Food_security'!F32*'Step B weights'!D$50</f>
        <v>0.80026403449778871</v>
      </c>
      <c r="E31" s="5">
        <f>'1.Food_security'!G32*'Step B weights'!E$50</f>
        <v>0.91710259455848409</v>
      </c>
      <c r="F31" s="5">
        <f>'1.Food_security'!H32*'Step B weights'!F$50</f>
        <v>0.34889518765660005</v>
      </c>
      <c r="G31" s="5">
        <f>'1.Food_security'!I32*'Step B weights'!G$50</f>
        <v>6.4297882027660264E-2</v>
      </c>
      <c r="I31" s="28" t="str">
        <f t="shared" si="0"/>
        <v>HLO 6.1: Social-inclusive SAMs that improve resource use efficiencies</v>
      </c>
      <c r="J31" s="5">
        <f>'2.Poverty_reduction'!D32*'Step B weights'!J$50</f>
        <v>4.73661083426642E-2</v>
      </c>
      <c r="K31" s="5">
        <f>'2.Poverty_reduction'!E32*'Step B weights'!K$50</f>
        <v>3.3808789364815371E-2</v>
      </c>
      <c r="L31" s="5">
        <f>'2.Poverty_reduction'!F32*'Step B weights'!L$50</f>
        <v>0.32575534283451069</v>
      </c>
      <c r="M31" s="5">
        <f>'2.Poverty_reduction'!G32*'Step B weights'!M$50</f>
        <v>1.8459914059781422</v>
      </c>
      <c r="N31" s="5">
        <f>'2.Poverty_reduction'!H32*'Step B weights'!N$50</f>
        <v>0.86196112444639283</v>
      </c>
      <c r="O31" s="5">
        <f>'2.Poverty_reduction'!I32*'Step B weights'!O$50</f>
        <v>3.3524788603133036E-2</v>
      </c>
      <c r="Q31" s="28" t="str">
        <f t="shared" si="1"/>
        <v>HLO 6.1: Social-inclusive SAMs that improve resource use efficiencies</v>
      </c>
      <c r="R31" s="5">
        <f>'3.Social_inclusion'!D32*'Step B weights'!R$50</f>
        <v>0.14444868370850819</v>
      </c>
      <c r="S31" s="5">
        <f>'3.Social_inclusion'!E32*'Step B weights'!S$50</f>
        <v>0.64128195345288064</v>
      </c>
      <c r="T31" s="5">
        <f>'3.Social_inclusion'!F32*'Step B weights'!T$50</f>
        <v>0.23479587943533001</v>
      </c>
      <c r="U31" s="5">
        <f>'3.Social_inclusion'!G32*'Step B weights'!U$50</f>
        <v>0.97291110263258307</v>
      </c>
      <c r="V31" s="5">
        <f>'3.Social_inclusion'!H32*'Step B weights'!V$50</f>
        <v>0.86646318199160621</v>
      </c>
      <c r="W31" s="5">
        <f>'3.Social_inclusion'!I32*'Step B weights'!W$50</f>
        <v>0.37024036627241513</v>
      </c>
      <c r="Y31" s="28" t="str">
        <f t="shared" si="2"/>
        <v>HLO 6.1: Social-inclusive SAMs that improve resource use efficiencies</v>
      </c>
      <c r="Z31" s="5">
        <f>'4.Climate_adaptation'!D32*'Step B weights'!Z$50</f>
        <v>0.22574859867060026</v>
      </c>
      <c r="AA31" s="5">
        <f>'4.Climate_adaptation'!E32*'Step B weights'!AA$50</f>
        <v>6.0896517589046843E-2</v>
      </c>
      <c r="AB31" s="5">
        <f>'4.Climate_adaptation'!F32*'Step B weights'!AB$50</f>
        <v>0.32788991732899719</v>
      </c>
      <c r="AC31" s="5">
        <f>'4.Climate_adaptation'!G32*'Step B weights'!AC$50</f>
        <v>0.12417256293151718</v>
      </c>
      <c r="AD31" s="5">
        <f>'4.Climate_adaptation'!H32*'Step B weights'!AD$50</f>
        <v>1.0506950064022005</v>
      </c>
      <c r="AE31" s="5">
        <f>'4.Climate_adaptation'!I32*'Step B weights'!AE$50</f>
        <v>0.24453608987603623</v>
      </c>
      <c r="AG31" s="28" t="str">
        <f t="shared" si="3"/>
        <v>HLO 6.1: Social-inclusive SAMs that improve resource use efficiencies</v>
      </c>
      <c r="AH31" s="5">
        <f>'5.Environmental_health'!D32*'Step B weights'!AH$50</f>
        <v>0.22574859867060026</v>
      </c>
      <c r="AI31" s="5">
        <f>'5.Environmental_health'!E32*'Step B weights'!AI$50</f>
        <v>6.0896517589046843E-2</v>
      </c>
      <c r="AJ31" s="5">
        <f>'5.Environmental_health'!F32*'Step B weights'!AJ$50</f>
        <v>8.1972479332249298E-2</v>
      </c>
      <c r="AK31" s="5">
        <f>'5.Environmental_health'!G32*'Step B weights'!AK$50</f>
        <v>0.12417256293151718</v>
      </c>
      <c r="AL31" s="5">
        <f>'5.Environmental_health'!H32*'Step B weights'!AL$50</f>
        <v>1.0506950064022005</v>
      </c>
      <c r="AM31" s="5">
        <f>'5.Environmental_health'!I32*'Step B weights'!AM$50</f>
        <v>0.73360826962810866</v>
      </c>
    </row>
    <row r="32" spans="1:39">
      <c r="A32" s="29" t="str">
        <f>IF(NOT(ISBLANK(HLOs!D30)),HLOs!D30,"")</f>
        <v>HLO 6.2: Business models for delivery of SAM options</v>
      </c>
      <c r="B32" s="5">
        <f>'1.Food_security'!D33*'Step B weights'!B$50</f>
        <v>0.25586673659371911</v>
      </c>
      <c r="C32" s="5">
        <f>'1.Food_security'!E33*'Step B weights'!C$50</f>
        <v>0.28049576670972537</v>
      </c>
      <c r="D32" s="5">
        <f>'1.Food_security'!F33*'Step B weights'!D$50</f>
        <v>0.80026403449778871</v>
      </c>
      <c r="E32" s="5">
        <f>'1.Food_security'!G33*'Step B weights'!E$50</f>
        <v>0.91710259455848409</v>
      </c>
      <c r="F32" s="5">
        <f>'1.Food_security'!H33*'Step B weights'!F$50</f>
        <v>0.34889518765660005</v>
      </c>
      <c r="G32" s="5">
        <f>'1.Food_security'!I33*'Step B weights'!G$50</f>
        <v>0.32148941013830135</v>
      </c>
      <c r="I32" s="28" t="str">
        <f t="shared" ref="I32:I43" si="4">A32</f>
        <v>HLO 6.2: Business models for delivery of SAM options</v>
      </c>
      <c r="J32" s="5">
        <f>'2.Poverty_reduction'!D33*'Step B weights'!J$50</f>
        <v>0.23683054171332099</v>
      </c>
      <c r="K32" s="5">
        <f>'2.Poverty_reduction'!E33*'Step B weights'!K$50</f>
        <v>0.13523515745926148</v>
      </c>
      <c r="L32" s="5">
        <f>'2.Poverty_reduction'!F33*'Step B weights'!L$50</f>
        <v>0.32575534283451069</v>
      </c>
      <c r="M32" s="5">
        <f>'2.Poverty_reduction'!G33*'Step B weights'!M$50</f>
        <v>1.8459914059781422</v>
      </c>
      <c r="N32" s="5">
        <f>'2.Poverty_reduction'!H33*'Step B weights'!N$50</f>
        <v>0.86196112444639283</v>
      </c>
      <c r="O32" s="5">
        <f>'2.Poverty_reduction'!I33*'Step B weights'!O$50</f>
        <v>4.1905985753916297E-2</v>
      </c>
      <c r="Q32" s="28" t="str">
        <f t="shared" ref="Q32:Q43" si="5">A32</f>
        <v>HLO 6.2: Business models for delivery of SAM options</v>
      </c>
      <c r="R32" s="5">
        <f>'3.Social_inclusion'!D33*'Step B weights'!R$50</f>
        <v>0.4333460511255246</v>
      </c>
      <c r="S32" s="5">
        <f>'3.Social_inclusion'!E33*'Step B weights'!S$50</f>
        <v>0.64128195345288064</v>
      </c>
      <c r="T32" s="5">
        <f>'3.Social_inclusion'!F33*'Step B weights'!T$50</f>
        <v>0.23479587943533001</v>
      </c>
      <c r="U32" s="5">
        <f>'3.Social_inclusion'!G33*'Step B weights'!U$50</f>
        <v>0.97291110263258307</v>
      </c>
      <c r="V32" s="5">
        <f>'3.Social_inclusion'!H33*'Step B weights'!V$50</f>
        <v>0.69317054559328495</v>
      </c>
      <c r="W32" s="5">
        <f>'3.Social_inclusion'!I33*'Step B weights'!W$50</f>
        <v>0.46280045784051893</v>
      </c>
      <c r="Y32" s="28" t="str">
        <f t="shared" ref="Y32:Y43" si="6">A32</f>
        <v>HLO 6.2: Business models for delivery of SAM options</v>
      </c>
      <c r="Z32" s="5">
        <f>'4.Climate_adaptation'!D33*'Step B weights'!Z$50</f>
        <v>0.22574859867060026</v>
      </c>
      <c r="AA32" s="5">
        <f>'4.Climate_adaptation'!E33*'Step B weights'!AA$50</f>
        <v>6.0896517589046843E-2</v>
      </c>
      <c r="AB32" s="5">
        <f>'4.Climate_adaptation'!F33*'Step B weights'!AB$50</f>
        <v>8.1972479332249298E-2</v>
      </c>
      <c r="AC32" s="5">
        <f>'4.Climate_adaptation'!G33*'Step B weights'!AC$50</f>
        <v>0.12417256293151718</v>
      </c>
      <c r="AD32" s="5">
        <f>'4.Climate_adaptation'!H33*'Step B weights'!AD$50</f>
        <v>0.26267375160055012</v>
      </c>
      <c r="AE32" s="5">
        <f>'4.Climate_adaptation'!I33*'Step B weights'!AE$50</f>
        <v>0.97814435950414491</v>
      </c>
      <c r="AG32" s="28" t="str">
        <f t="shared" ref="AG32:AG43" si="7">A32</f>
        <v>HLO 6.2: Business models for delivery of SAM options</v>
      </c>
      <c r="AH32" s="5">
        <f>'5.Environmental_health'!D33*'Step B weights'!AH$50</f>
        <v>1.1287429933530013</v>
      </c>
      <c r="AI32" s="5">
        <f>'5.Environmental_health'!E33*'Step B weights'!AI$50</f>
        <v>0.12179303517809369</v>
      </c>
      <c r="AJ32" s="5">
        <f>'5.Environmental_health'!F33*'Step B weights'!AJ$50</f>
        <v>8.1972479332249298E-2</v>
      </c>
      <c r="AK32" s="5">
        <f>'5.Environmental_health'!G33*'Step B weights'!AK$50</f>
        <v>0.12417256293151718</v>
      </c>
      <c r="AL32" s="5">
        <f>'5.Environmental_health'!H33*'Step B weights'!AL$50</f>
        <v>1.0506950064022005</v>
      </c>
      <c r="AM32" s="5">
        <f>'5.Environmental_health'!I33*'Step B weights'!AM$50</f>
        <v>1.2226804493801811</v>
      </c>
    </row>
    <row r="33" spans="1:39">
      <c r="A33" s="29" t="str">
        <f>IF(NOT(ISBLANK(HLOs!D31)),HLOs!D31,"")</f>
        <v>HLO 6.3: Training materials for SAM options</v>
      </c>
      <c r="B33" s="5">
        <f>'1.Food_security'!D34*'Step B weights'!B$50</f>
        <v>6.3966684148429778E-2</v>
      </c>
      <c r="C33" s="5">
        <f>'1.Food_security'!E34*'Step B weights'!C$50</f>
        <v>9.3498588903241794E-2</v>
      </c>
      <c r="D33" s="5">
        <f>'1.Food_security'!F34*'Step B weights'!D$50</f>
        <v>0.60019802587334148</v>
      </c>
      <c r="E33" s="5">
        <f>'1.Food_security'!G34*'Step B weights'!E$50</f>
        <v>0.68782694591886306</v>
      </c>
      <c r="F33" s="5">
        <f>'1.Food_security'!H34*'Step B weights'!F$50</f>
        <v>0.34889518765660005</v>
      </c>
      <c r="G33" s="5">
        <f>'1.Food_security'!I34*'Step B weights'!G$50</f>
        <v>6.4297882027660264E-2</v>
      </c>
      <c r="I33" s="28" t="str">
        <f t="shared" si="4"/>
        <v>HLO 6.3: Training materials for SAM options</v>
      </c>
      <c r="J33" s="5">
        <f>'2.Poverty_reduction'!D34*'Step B weights'!J$50</f>
        <v>4.73661083426642E-2</v>
      </c>
      <c r="K33" s="5">
        <f>'2.Poverty_reduction'!E34*'Step B weights'!K$50</f>
        <v>3.3808789364815371E-2</v>
      </c>
      <c r="L33" s="5">
        <f>'2.Poverty_reduction'!F34*'Step B weights'!L$50</f>
        <v>1.6287767141725533</v>
      </c>
      <c r="M33" s="5">
        <f>'2.Poverty_reduction'!G34*'Step B weights'!M$50</f>
        <v>1.8459914059781422</v>
      </c>
      <c r="N33" s="5">
        <f>'2.Poverty_reduction'!H34*'Step B weights'!N$50</f>
        <v>0.21549028111159821</v>
      </c>
      <c r="O33" s="5">
        <f>'2.Poverty_reduction'!I34*'Step B weights'!O$50</f>
        <v>3.3524788603133036E-2</v>
      </c>
      <c r="Q33" s="28" t="str">
        <f t="shared" si="5"/>
        <v>HLO 6.3: Training materials for SAM options</v>
      </c>
      <c r="R33" s="5">
        <f>'3.Social_inclusion'!D34*'Step B weights'!R$50</f>
        <v>0.14444868370850819</v>
      </c>
      <c r="S33" s="5">
        <f>'3.Social_inclusion'!E34*'Step B weights'!S$50</f>
        <v>0.64128195345288064</v>
      </c>
      <c r="T33" s="5">
        <f>'3.Social_inclusion'!F34*'Step B weights'!T$50</f>
        <v>0.23479587943533001</v>
      </c>
      <c r="U33" s="5">
        <f>'3.Social_inclusion'!G34*'Step B weights'!U$50</f>
        <v>0.19458222052651661</v>
      </c>
      <c r="V33" s="5">
        <f>'3.Social_inclusion'!H34*'Step B weights'!V$50</f>
        <v>0.17329263639832124</v>
      </c>
      <c r="W33" s="5">
        <f>'3.Social_inclusion'!I34*'Step B weights'!W$50</f>
        <v>9.2560091568103783E-2</v>
      </c>
      <c r="Y33" s="28" t="str">
        <f t="shared" si="6"/>
        <v>HLO 6.3: Training materials for SAM options</v>
      </c>
      <c r="Z33" s="5">
        <f>'4.Climate_adaptation'!D34*'Step B weights'!Z$50</f>
        <v>0.22574859867060026</v>
      </c>
      <c r="AA33" s="5">
        <f>'4.Climate_adaptation'!E34*'Step B weights'!AA$50</f>
        <v>6.0896517589046843E-2</v>
      </c>
      <c r="AB33" s="5">
        <f>'4.Climate_adaptation'!F34*'Step B weights'!AB$50</f>
        <v>0.2459174379967479</v>
      </c>
      <c r="AC33" s="5">
        <f>'4.Climate_adaptation'!G34*'Step B weights'!AC$50</f>
        <v>0.37251768879455155</v>
      </c>
      <c r="AD33" s="5">
        <f>'4.Climate_adaptation'!H34*'Step B weights'!AD$50</f>
        <v>0.26267375160055012</v>
      </c>
      <c r="AE33" s="5">
        <f>'4.Climate_adaptation'!I34*'Step B weights'!AE$50</f>
        <v>0.24453608987603623</v>
      </c>
      <c r="AG33" s="28" t="str">
        <f t="shared" si="7"/>
        <v>HLO 6.3: Training materials for SAM options</v>
      </c>
      <c r="AH33" s="5">
        <f>'5.Environmental_health'!D34*'Step B weights'!AH$50</f>
        <v>0.22574859867060026</v>
      </c>
      <c r="AI33" s="5">
        <f>'5.Environmental_health'!E34*'Step B weights'!AI$50</f>
        <v>6.0896517589046843E-2</v>
      </c>
      <c r="AJ33" s="5">
        <f>'5.Environmental_health'!F34*'Step B weights'!AJ$50</f>
        <v>8.1972479332249298E-2</v>
      </c>
      <c r="AK33" s="5">
        <f>'5.Environmental_health'!G34*'Step B weights'!AK$50</f>
        <v>0.12417256293151718</v>
      </c>
      <c r="AL33" s="5">
        <f>'5.Environmental_health'!H34*'Step B weights'!AL$50</f>
        <v>0.26267375160055012</v>
      </c>
      <c r="AM33" s="5">
        <f>'5.Environmental_health'!I34*'Step B weights'!AM$50</f>
        <v>0.73360826962810866</v>
      </c>
    </row>
    <row r="34" spans="1:39">
      <c r="A34" s="29" t="str">
        <f>IF(NOT(ISBLANK(HLOs!D32)),HLOs!D32,"")</f>
        <v>HLO 6.4: Evidence for policy on scale-appropriate mechanization</v>
      </c>
      <c r="B34" s="5">
        <f>'1.Food_security'!D35*'Step B weights'!B$50</f>
        <v>6.3966684148429778E-2</v>
      </c>
      <c r="C34" s="5">
        <f>'1.Food_security'!E35*'Step B weights'!C$50</f>
        <v>9.3498588903241794E-2</v>
      </c>
      <c r="D34" s="5">
        <f>'1.Food_security'!F35*'Step B weights'!D$50</f>
        <v>0.80026403449778871</v>
      </c>
      <c r="E34" s="5">
        <f>'1.Food_security'!G35*'Step B weights'!E$50</f>
        <v>0.91710259455848409</v>
      </c>
      <c r="F34" s="5">
        <f>'1.Food_security'!H35*'Step B weights'!F$50</f>
        <v>1.0466855629698002</v>
      </c>
      <c r="G34" s="5">
        <f>'1.Food_security'!I35*'Step B weights'!G$50</f>
        <v>6.4297882027660264E-2</v>
      </c>
      <c r="I34" s="28" t="str">
        <f t="shared" si="4"/>
        <v>HLO 6.4: Evidence for policy on scale-appropriate mechanization</v>
      </c>
      <c r="J34" s="5">
        <f>'2.Poverty_reduction'!D35*'Step B weights'!J$50</f>
        <v>4.73661083426642E-2</v>
      </c>
      <c r="K34" s="5">
        <f>'2.Poverty_reduction'!E35*'Step B weights'!K$50</f>
        <v>3.3808789364815371E-2</v>
      </c>
      <c r="L34" s="5">
        <f>'2.Poverty_reduction'!F35*'Step B weights'!L$50</f>
        <v>1.3030213713380427</v>
      </c>
      <c r="M34" s="5">
        <f>'2.Poverty_reduction'!G35*'Step B weights'!M$50</f>
        <v>1.4767931247825137</v>
      </c>
      <c r="N34" s="5">
        <f>'2.Poverty_reduction'!H35*'Step B weights'!N$50</f>
        <v>0.21549028111159821</v>
      </c>
      <c r="O34" s="5">
        <f>'2.Poverty_reduction'!I35*'Step B weights'!O$50</f>
        <v>8.3811971507832591E-3</v>
      </c>
      <c r="Q34" s="28" t="str">
        <f t="shared" si="5"/>
        <v>HLO 6.4: Evidence for policy on scale-appropriate mechanization</v>
      </c>
      <c r="R34" s="5">
        <f>'3.Social_inclusion'!D35*'Step B weights'!R$50</f>
        <v>0.14444868370850819</v>
      </c>
      <c r="S34" s="5">
        <f>'3.Social_inclusion'!E35*'Step B weights'!S$50</f>
        <v>0.48096146508966048</v>
      </c>
      <c r="T34" s="5">
        <f>'3.Social_inclusion'!F35*'Step B weights'!T$50</f>
        <v>0.23479587943533001</v>
      </c>
      <c r="U34" s="5">
        <f>'3.Social_inclusion'!G35*'Step B weights'!U$50</f>
        <v>0.19458222052651661</v>
      </c>
      <c r="V34" s="5">
        <f>'3.Social_inclusion'!H35*'Step B weights'!V$50</f>
        <v>0.86646318199160621</v>
      </c>
      <c r="W34" s="5">
        <f>'3.Social_inclusion'!I35*'Step B weights'!W$50</f>
        <v>9.2560091568103783E-2</v>
      </c>
      <c r="Y34" s="28" t="str">
        <f t="shared" si="6"/>
        <v>HLO 6.4: Evidence for policy on scale-appropriate mechanization</v>
      </c>
      <c r="Z34" s="5">
        <f>'4.Climate_adaptation'!D35*'Step B weights'!Z$50</f>
        <v>0.22574859867060026</v>
      </c>
      <c r="AA34" s="5">
        <f>'4.Climate_adaptation'!E35*'Step B weights'!AA$50</f>
        <v>6.0896517589046843E-2</v>
      </c>
      <c r="AB34" s="5">
        <f>'4.Climate_adaptation'!F35*'Step B weights'!AB$50</f>
        <v>0.32788991732899719</v>
      </c>
      <c r="AC34" s="5">
        <f>'4.Climate_adaptation'!G35*'Step B weights'!AC$50</f>
        <v>0.12417256293151718</v>
      </c>
      <c r="AD34" s="5">
        <f>'4.Climate_adaptation'!H35*'Step B weights'!AD$50</f>
        <v>0.78802125480165031</v>
      </c>
      <c r="AE34" s="5">
        <f>'4.Climate_adaptation'!I35*'Step B weights'!AE$50</f>
        <v>0.24453608987603623</v>
      </c>
      <c r="AG34" s="28" t="str">
        <f t="shared" si="7"/>
        <v>HLO 6.4: Evidence for policy on scale-appropriate mechanization</v>
      </c>
      <c r="AH34" s="5">
        <f>'5.Environmental_health'!D35*'Step B weights'!AH$50</f>
        <v>0.22574859867060026</v>
      </c>
      <c r="AI34" s="5">
        <f>'5.Environmental_health'!E35*'Step B weights'!AI$50</f>
        <v>6.0896517589046843E-2</v>
      </c>
      <c r="AJ34" s="5">
        <f>'5.Environmental_health'!F35*'Step B weights'!AJ$50</f>
        <v>8.1972479332249298E-2</v>
      </c>
      <c r="AK34" s="5">
        <f>'5.Environmental_health'!G35*'Step B weights'!AK$50</f>
        <v>0.12417256293151718</v>
      </c>
      <c r="AL34" s="5">
        <f>'5.Environmental_health'!H35*'Step B weights'!AL$50</f>
        <v>0.26267375160055012</v>
      </c>
      <c r="AM34" s="5">
        <f>'5.Environmental_health'!I35*'Step B weights'!AM$50</f>
        <v>0.73360826962810866</v>
      </c>
    </row>
    <row r="35" spans="1:39">
      <c r="A35" s="29" t="str">
        <f>IF(NOT(ISBLANK(HLOs!D33)),HLOs!D33,"")</f>
        <v>HLO 7.1: Bundled whole-farm innovations using system sciences</v>
      </c>
      <c r="B35" s="5">
        <f>'1.Food_security'!D36*'Step B weights'!B$50</f>
        <v>6.3966684148429778E-2</v>
      </c>
      <c r="C35" s="5">
        <f>'1.Food_security'!E36*'Step B weights'!C$50</f>
        <v>0.37399435561296718</v>
      </c>
      <c r="D35" s="5">
        <f>'1.Food_security'!F36*'Step B weights'!D$50</f>
        <v>1.0003300431222359</v>
      </c>
      <c r="E35" s="5">
        <f>'1.Food_security'!G36*'Step B weights'!E$50</f>
        <v>1.1463782431981051</v>
      </c>
      <c r="F35" s="5">
        <f>'1.Food_security'!H36*'Step B weights'!F$50</f>
        <v>1.3955807506264002</v>
      </c>
      <c r="G35" s="5">
        <f>'1.Food_security'!I36*'Step B weights'!G$50</f>
        <v>6.4297882027660264E-2</v>
      </c>
      <c r="I35" s="28" t="str">
        <f t="shared" si="4"/>
        <v>HLO 7.1: Bundled whole-farm innovations using system sciences</v>
      </c>
      <c r="J35" s="5">
        <f>'2.Poverty_reduction'!D36*'Step B weights'!J$50</f>
        <v>4.73661083426642E-2</v>
      </c>
      <c r="K35" s="5">
        <f>'2.Poverty_reduction'!E36*'Step B weights'!K$50</f>
        <v>0.13523515745926148</v>
      </c>
      <c r="L35" s="5">
        <f>'2.Poverty_reduction'!F36*'Step B weights'!L$50</f>
        <v>1.6287767141725533</v>
      </c>
      <c r="M35" s="5">
        <f>'2.Poverty_reduction'!G36*'Step B weights'!M$50</f>
        <v>1.8459914059781422</v>
      </c>
      <c r="N35" s="5">
        <f>'2.Poverty_reduction'!H36*'Step B weights'!N$50</f>
        <v>0.86196112444639283</v>
      </c>
      <c r="O35" s="5">
        <f>'2.Poverty_reduction'!I36*'Step B weights'!O$50</f>
        <v>8.3811971507832591E-3</v>
      </c>
      <c r="Q35" s="28" t="str">
        <f t="shared" si="5"/>
        <v>HLO 7.1: Bundled whole-farm innovations using system sciences</v>
      </c>
      <c r="R35" s="5">
        <f>'3.Social_inclusion'!D36*'Step B weights'!R$50</f>
        <v>0.14444868370850819</v>
      </c>
      <c r="S35" s="5">
        <f>'3.Social_inclusion'!E36*'Step B weights'!S$50</f>
        <v>0.64128195345288064</v>
      </c>
      <c r="T35" s="5">
        <f>'3.Social_inclusion'!F36*'Step B weights'!T$50</f>
        <v>0.23479587943533001</v>
      </c>
      <c r="U35" s="5">
        <f>'3.Social_inclusion'!G36*'Step B weights'!U$50</f>
        <v>0.97291110263258307</v>
      </c>
      <c r="V35" s="5">
        <f>'3.Social_inclusion'!H36*'Step B weights'!V$50</f>
        <v>0.17329263639832124</v>
      </c>
      <c r="W35" s="5">
        <f>'3.Social_inclusion'!I36*'Step B weights'!W$50</f>
        <v>9.2560091568103783E-2</v>
      </c>
      <c r="Y35" s="28" t="str">
        <f t="shared" si="6"/>
        <v>HLO 7.1: Bundled whole-farm innovations using system sciences</v>
      </c>
      <c r="Z35" s="5">
        <f>'4.Climate_adaptation'!D36*'Step B weights'!Z$50</f>
        <v>0.22574859867060026</v>
      </c>
      <c r="AA35" s="5">
        <f>'4.Climate_adaptation'!E36*'Step B weights'!AA$50</f>
        <v>0.24358607035618737</v>
      </c>
      <c r="AB35" s="5">
        <f>'4.Climate_adaptation'!F36*'Step B weights'!AB$50</f>
        <v>8.1972479332249298E-2</v>
      </c>
      <c r="AC35" s="5">
        <f>'4.Climate_adaptation'!G36*'Step B weights'!AC$50</f>
        <v>0.62086281465758586</v>
      </c>
      <c r="AD35" s="5">
        <f>'4.Climate_adaptation'!H36*'Step B weights'!AD$50</f>
        <v>1.0506950064022005</v>
      </c>
      <c r="AE35" s="5">
        <f>'4.Climate_adaptation'!I36*'Step B weights'!AE$50</f>
        <v>0.24453608987603623</v>
      </c>
      <c r="AG35" s="28" t="str">
        <f t="shared" si="7"/>
        <v>HLO 7.1: Bundled whole-farm innovations using system sciences</v>
      </c>
      <c r="AH35" s="5">
        <f>'5.Environmental_health'!D36*'Step B weights'!AH$50</f>
        <v>0.90299439468240106</v>
      </c>
      <c r="AI35" s="5">
        <f>'5.Environmental_health'!E36*'Step B weights'!AI$50</f>
        <v>6.0896517589046843E-2</v>
      </c>
      <c r="AJ35" s="5">
        <f>'5.Environmental_health'!F36*'Step B weights'!AJ$50</f>
        <v>0.40986239666124646</v>
      </c>
      <c r="AK35" s="5">
        <f>'5.Environmental_health'!G36*'Step B weights'!AK$50</f>
        <v>0.62086281465758586</v>
      </c>
      <c r="AL35" s="5">
        <f>'5.Environmental_health'!H36*'Step B weights'!AL$50</f>
        <v>1.0506950064022005</v>
      </c>
      <c r="AM35" s="5">
        <f>'5.Environmental_health'!I36*'Step B weights'!AM$50</f>
        <v>1.2226804493801811</v>
      </c>
    </row>
    <row r="36" spans="1:39">
      <c r="A36" s="29" t="str">
        <f>IF(NOT(ISBLANK(HLOs!D34)),HLOs!D34,"")</f>
        <v>HLO 7.2: Human-centered design methods for bundling whole-farm innovations</v>
      </c>
      <c r="B36" s="5">
        <f>'1.Food_security'!D37*'Step B weights'!B$50</f>
        <v>0.19190005244528935</v>
      </c>
      <c r="C36" s="5">
        <f>'1.Food_security'!E37*'Step B weights'!C$50</f>
        <v>0.28049576670972537</v>
      </c>
      <c r="D36" s="5">
        <f>'1.Food_security'!F37*'Step B weights'!D$50</f>
        <v>1.0003300431222359</v>
      </c>
      <c r="E36" s="5">
        <f>'1.Food_security'!G37*'Step B weights'!E$50</f>
        <v>0.91710259455848409</v>
      </c>
      <c r="F36" s="5">
        <f>'1.Food_security'!H37*'Step B weights'!F$50</f>
        <v>1.3955807506264002</v>
      </c>
      <c r="G36" s="5">
        <f>'1.Food_security'!I37*'Step B weights'!G$50</f>
        <v>0.32148941013830135</v>
      </c>
      <c r="I36" s="28" t="str">
        <f t="shared" si="4"/>
        <v>HLO 7.2: Human-centered design methods for bundling whole-farm innovations</v>
      </c>
      <c r="J36" s="5">
        <f>'2.Poverty_reduction'!D37*'Step B weights'!J$50</f>
        <v>4.73661083426642E-2</v>
      </c>
      <c r="K36" s="5">
        <f>'2.Poverty_reduction'!E37*'Step B weights'!K$50</f>
        <v>3.3808789364815371E-2</v>
      </c>
      <c r="L36" s="5">
        <f>'2.Poverty_reduction'!F37*'Step B weights'!L$50</f>
        <v>1.6287767141725533</v>
      </c>
      <c r="M36" s="5">
        <f>'2.Poverty_reduction'!G37*'Step B weights'!M$50</f>
        <v>0.36919828119562842</v>
      </c>
      <c r="N36" s="5">
        <f>'2.Poverty_reduction'!H37*'Step B weights'!N$50</f>
        <v>0.86196112444639283</v>
      </c>
      <c r="O36" s="5">
        <f>'2.Poverty_reduction'!I37*'Step B weights'!O$50</f>
        <v>4.1905985753916297E-2</v>
      </c>
      <c r="Q36" s="28" t="str">
        <f t="shared" si="5"/>
        <v>HLO 7.2: Human-centered design methods for bundling whole-farm innovations</v>
      </c>
      <c r="R36" s="5">
        <f>'3.Social_inclusion'!D37*'Step B weights'!R$50</f>
        <v>0.14444868370850819</v>
      </c>
      <c r="S36" s="5">
        <f>'3.Social_inclusion'!E37*'Step B weights'!S$50</f>
        <v>0.64128195345288064</v>
      </c>
      <c r="T36" s="5">
        <f>'3.Social_inclusion'!F37*'Step B weights'!T$50</f>
        <v>1.1739793971766501</v>
      </c>
      <c r="U36" s="5">
        <f>'3.Social_inclusion'!G37*'Step B weights'!U$50</f>
        <v>0.19458222052651661</v>
      </c>
      <c r="V36" s="5">
        <f>'3.Social_inclusion'!H37*'Step B weights'!V$50</f>
        <v>0.69317054559328495</v>
      </c>
      <c r="W36" s="5">
        <f>'3.Social_inclusion'!I37*'Step B weights'!W$50</f>
        <v>0.46280045784051893</v>
      </c>
      <c r="Y36" s="28" t="str">
        <f t="shared" si="6"/>
        <v>HLO 7.2: Human-centered design methods for bundling whole-farm innovations</v>
      </c>
      <c r="Z36" s="5">
        <f>'4.Climate_adaptation'!D37*'Step B weights'!Z$50</f>
        <v>0.67724579601180079</v>
      </c>
      <c r="AA36" s="5">
        <f>'4.Climate_adaptation'!E37*'Step B weights'!AA$50</f>
        <v>0.18268955276714052</v>
      </c>
      <c r="AB36" s="5">
        <f>'4.Climate_adaptation'!F37*'Step B weights'!AB$50</f>
        <v>8.1972479332249298E-2</v>
      </c>
      <c r="AC36" s="5">
        <f>'4.Climate_adaptation'!G37*'Step B weights'!AC$50</f>
        <v>0.49669025172606873</v>
      </c>
      <c r="AD36" s="5">
        <f>'4.Climate_adaptation'!H37*'Step B weights'!AD$50</f>
        <v>1.0506950064022005</v>
      </c>
      <c r="AE36" s="5">
        <f>'4.Climate_adaptation'!I37*'Step B weights'!AE$50</f>
        <v>0.73360826962810866</v>
      </c>
      <c r="AG36" s="28" t="str">
        <f t="shared" si="7"/>
        <v>HLO 7.2: Human-centered design methods for bundling whole-farm innovations</v>
      </c>
      <c r="AH36" s="5">
        <f>'5.Environmental_health'!D37*'Step B weights'!AH$50</f>
        <v>0.22574859867060026</v>
      </c>
      <c r="AI36" s="5">
        <f>'5.Environmental_health'!E37*'Step B weights'!AI$50</f>
        <v>6.0896517589046843E-2</v>
      </c>
      <c r="AJ36" s="5">
        <f>'5.Environmental_health'!F37*'Step B weights'!AJ$50</f>
        <v>8.1972479332249298E-2</v>
      </c>
      <c r="AK36" s="5">
        <f>'5.Environmental_health'!G37*'Step B weights'!AK$50</f>
        <v>0.49669025172606873</v>
      </c>
      <c r="AL36" s="5">
        <f>'5.Environmental_health'!H37*'Step B weights'!AL$50</f>
        <v>0.26267375160055012</v>
      </c>
      <c r="AM36" s="5">
        <f>'5.Environmental_health'!I37*'Step B weights'!AM$50</f>
        <v>0.48907217975207246</v>
      </c>
    </row>
    <row r="37" spans="1:39">
      <c r="A37" s="29" t="str">
        <f>IF(NOT(ISBLANK(HLOs!D35)),HLOs!D35,"")</f>
        <v>HLO 7.3: Training materials for bundling farming system solutions</v>
      </c>
      <c r="B37" s="5">
        <f>'1.Food_security'!D38*'Step B weights'!B$50</f>
        <v>0.19190005244528935</v>
      </c>
      <c r="C37" s="5">
        <f>'1.Food_security'!E38*'Step B weights'!C$50</f>
        <v>0.28049576670972537</v>
      </c>
      <c r="D37" s="5">
        <f>'1.Food_security'!F38*'Step B weights'!D$50</f>
        <v>0.80026403449778871</v>
      </c>
      <c r="E37" s="5">
        <f>'1.Food_security'!G38*'Step B weights'!E$50</f>
        <v>0.91710259455848409</v>
      </c>
      <c r="F37" s="5">
        <f>'1.Food_security'!H38*'Step B weights'!F$50</f>
        <v>1.0466855629698002</v>
      </c>
      <c r="G37" s="5">
        <f>'1.Food_security'!I38*'Step B weights'!G$50</f>
        <v>0.19289364608298079</v>
      </c>
      <c r="I37" s="28" t="str">
        <f t="shared" si="4"/>
        <v>HLO 7.3: Training materials for bundling farming system solutions</v>
      </c>
      <c r="J37" s="5">
        <f>'2.Poverty_reduction'!D38*'Step B weights'!J$50</f>
        <v>0.14209832502799261</v>
      </c>
      <c r="K37" s="5">
        <f>'2.Poverty_reduction'!E38*'Step B weights'!K$50</f>
        <v>0.10142636809444611</v>
      </c>
      <c r="L37" s="5">
        <f>'2.Poverty_reduction'!F38*'Step B weights'!L$50</f>
        <v>1.3030213713380427</v>
      </c>
      <c r="M37" s="5">
        <f>'2.Poverty_reduction'!G38*'Step B weights'!M$50</f>
        <v>1.4767931247825137</v>
      </c>
      <c r="N37" s="5">
        <f>'2.Poverty_reduction'!H38*'Step B weights'!N$50</f>
        <v>0.64647084333479465</v>
      </c>
      <c r="O37" s="5">
        <f>'2.Poverty_reduction'!I38*'Step B weights'!O$50</f>
        <v>2.5143591452349776E-2</v>
      </c>
      <c r="Q37" s="28" t="str">
        <f t="shared" si="5"/>
        <v>HLO 7.3: Training materials for bundling farming system solutions</v>
      </c>
      <c r="R37" s="5">
        <f>'3.Social_inclusion'!D38*'Step B weights'!R$50</f>
        <v>0.4333460511255246</v>
      </c>
      <c r="S37" s="5">
        <f>'3.Social_inclusion'!E38*'Step B weights'!S$50</f>
        <v>0.64128195345288064</v>
      </c>
      <c r="T37" s="5">
        <f>'3.Social_inclusion'!F38*'Step B weights'!T$50</f>
        <v>1.1739793971766501</v>
      </c>
      <c r="U37" s="5">
        <f>'3.Social_inclusion'!G38*'Step B weights'!U$50</f>
        <v>0.77832888210606643</v>
      </c>
      <c r="V37" s="5">
        <f>'3.Social_inclusion'!H38*'Step B weights'!V$50</f>
        <v>0.69317054559328495</v>
      </c>
      <c r="W37" s="5">
        <f>'3.Social_inclusion'!I38*'Step B weights'!W$50</f>
        <v>0.27768027470431134</v>
      </c>
      <c r="Y37" s="28" t="str">
        <f t="shared" si="6"/>
        <v>HLO 7.3: Training materials for bundling farming system solutions</v>
      </c>
      <c r="Z37" s="5">
        <f>'4.Climate_adaptation'!D38*'Step B weights'!Z$50</f>
        <v>0.67724579601180079</v>
      </c>
      <c r="AA37" s="5">
        <f>'4.Climate_adaptation'!E38*'Step B weights'!AA$50</f>
        <v>0.18268955276714052</v>
      </c>
      <c r="AB37" s="5">
        <f>'4.Climate_adaptation'!F38*'Step B weights'!AB$50</f>
        <v>0.40986239666124646</v>
      </c>
      <c r="AC37" s="5">
        <f>'4.Climate_adaptation'!G38*'Step B weights'!AC$50</f>
        <v>0.49669025172606873</v>
      </c>
      <c r="AD37" s="5">
        <f>'4.Climate_adaptation'!H38*'Step B weights'!AD$50</f>
        <v>0.78802125480165031</v>
      </c>
      <c r="AE37" s="5">
        <f>'4.Climate_adaptation'!I38*'Step B weights'!AE$50</f>
        <v>0.73360826962810866</v>
      </c>
      <c r="AG37" s="28" t="str">
        <f t="shared" si="7"/>
        <v>HLO 7.3: Training materials for bundling farming system solutions</v>
      </c>
      <c r="AH37" s="5">
        <f>'5.Environmental_health'!D38*'Step B weights'!AH$50</f>
        <v>0.67724579601180079</v>
      </c>
      <c r="AI37" s="5">
        <f>'5.Environmental_health'!E38*'Step B weights'!AI$50</f>
        <v>0.18268955276714052</v>
      </c>
      <c r="AJ37" s="5">
        <f>'5.Environmental_health'!F38*'Step B weights'!AJ$50</f>
        <v>0.32788991732899719</v>
      </c>
      <c r="AK37" s="5">
        <f>'5.Environmental_health'!G38*'Step B weights'!AK$50</f>
        <v>0.49669025172606873</v>
      </c>
      <c r="AL37" s="5">
        <f>'5.Environmental_health'!H38*'Step B weights'!AL$50</f>
        <v>0.78802125480165031</v>
      </c>
      <c r="AM37" s="5">
        <f>'5.Environmental_health'!I38*'Step B weights'!AM$50</f>
        <v>0.97814435950414491</v>
      </c>
    </row>
    <row r="38" spans="1:39">
      <c r="A38" s="29" t="str">
        <f>IF(NOT(ISBLANK(HLOs!D36)),HLOs!D36,"")</f>
        <v>HLO 7.4: Evidence for policy advice on bundled solutions</v>
      </c>
      <c r="B38" s="5">
        <f>'1.Food_security'!D39*'Step B weights'!B$50</f>
        <v>0.19190005244528935</v>
      </c>
      <c r="C38" s="5">
        <f>'1.Food_security'!E39*'Step B weights'!C$50</f>
        <v>0.28049576670972537</v>
      </c>
      <c r="D38" s="5">
        <f>'1.Food_security'!F39*'Step B weights'!D$50</f>
        <v>0.80026403449778871</v>
      </c>
      <c r="E38" s="5">
        <f>'1.Food_security'!G39*'Step B weights'!E$50</f>
        <v>0.91710259455848409</v>
      </c>
      <c r="F38" s="5">
        <f>'1.Food_security'!H39*'Step B weights'!F$50</f>
        <v>1.0466855629698002</v>
      </c>
      <c r="G38" s="5">
        <f>'1.Food_security'!I39*'Step B weights'!G$50</f>
        <v>0.19289364608298079</v>
      </c>
      <c r="I38" s="28" t="str">
        <f t="shared" si="4"/>
        <v>HLO 7.4: Evidence for policy advice on bundled solutions</v>
      </c>
      <c r="J38" s="5">
        <f>'2.Poverty_reduction'!D39*'Step B weights'!J$50</f>
        <v>0.14209832502799261</v>
      </c>
      <c r="K38" s="5">
        <f>'2.Poverty_reduction'!E39*'Step B weights'!K$50</f>
        <v>0.10142636809444611</v>
      </c>
      <c r="L38" s="5">
        <f>'2.Poverty_reduction'!F39*'Step B weights'!L$50</f>
        <v>1.3030213713380427</v>
      </c>
      <c r="M38" s="5">
        <f>'2.Poverty_reduction'!G39*'Step B weights'!M$50</f>
        <v>1.4767931247825137</v>
      </c>
      <c r="N38" s="5">
        <f>'2.Poverty_reduction'!H39*'Step B weights'!N$50</f>
        <v>0.64647084333479465</v>
      </c>
      <c r="O38" s="5">
        <f>'2.Poverty_reduction'!I39*'Step B weights'!O$50</f>
        <v>2.5143591452349776E-2</v>
      </c>
      <c r="Q38" s="28" t="str">
        <f t="shared" si="5"/>
        <v>HLO 7.4: Evidence for policy advice on bundled solutions</v>
      </c>
      <c r="R38" s="5">
        <f>'3.Social_inclusion'!D39*'Step B weights'!R$50</f>
        <v>0.4333460511255246</v>
      </c>
      <c r="S38" s="5">
        <f>'3.Social_inclusion'!E39*'Step B weights'!S$50</f>
        <v>0.48096146508966048</v>
      </c>
      <c r="T38" s="5">
        <f>'3.Social_inclusion'!F39*'Step B weights'!T$50</f>
        <v>1.1739793971766501</v>
      </c>
      <c r="U38" s="5">
        <f>'3.Social_inclusion'!G39*'Step B weights'!U$50</f>
        <v>0.77832888210606643</v>
      </c>
      <c r="V38" s="5">
        <f>'3.Social_inclusion'!H39*'Step B weights'!V$50</f>
        <v>0.86646318199160621</v>
      </c>
      <c r="W38" s="5">
        <f>'3.Social_inclusion'!I39*'Step B weights'!W$50</f>
        <v>0.27768027470431134</v>
      </c>
      <c r="Y38" s="28" t="str">
        <f t="shared" si="6"/>
        <v>HLO 7.4: Evidence for policy advice on bundled solutions</v>
      </c>
      <c r="Z38" s="5">
        <f>'4.Climate_adaptation'!D39*'Step B weights'!Z$50</f>
        <v>0.67724579601180079</v>
      </c>
      <c r="AA38" s="5">
        <f>'4.Climate_adaptation'!E39*'Step B weights'!AA$50</f>
        <v>0.18268955276714052</v>
      </c>
      <c r="AB38" s="5">
        <f>'4.Climate_adaptation'!F39*'Step B weights'!AB$50</f>
        <v>0.40986239666124646</v>
      </c>
      <c r="AC38" s="5">
        <f>'4.Climate_adaptation'!G39*'Step B weights'!AC$50</f>
        <v>0.49669025172606873</v>
      </c>
      <c r="AD38" s="5">
        <f>'4.Climate_adaptation'!H39*'Step B weights'!AD$50</f>
        <v>0.78802125480165031</v>
      </c>
      <c r="AE38" s="5">
        <f>'4.Climate_adaptation'!I39*'Step B weights'!AE$50</f>
        <v>0.73360826962810866</v>
      </c>
      <c r="AG38" s="28" t="str">
        <f t="shared" si="7"/>
        <v>HLO 7.4: Evidence for policy advice on bundled solutions</v>
      </c>
      <c r="AH38" s="5">
        <f>'5.Environmental_health'!D39*'Step B weights'!AH$50</f>
        <v>0.67724579601180079</v>
      </c>
      <c r="AI38" s="5">
        <f>'5.Environmental_health'!E39*'Step B weights'!AI$50</f>
        <v>0.18268955276714052</v>
      </c>
      <c r="AJ38" s="5">
        <f>'5.Environmental_health'!F39*'Step B weights'!AJ$50</f>
        <v>0.32788991732899719</v>
      </c>
      <c r="AK38" s="5">
        <f>'5.Environmental_health'!G39*'Step B weights'!AK$50</f>
        <v>0.49669025172606873</v>
      </c>
      <c r="AL38" s="5">
        <f>'5.Environmental_health'!H39*'Step B weights'!AL$50</f>
        <v>0.78802125480165031</v>
      </c>
      <c r="AM38" s="5">
        <f>'5.Environmental_health'!I39*'Step B weights'!AM$50</f>
        <v>0.97814435950414491</v>
      </c>
    </row>
    <row r="39" spans="1:39">
      <c r="A39" s="29" t="str">
        <f>IF(NOT(ISBLANK(HLOs!D37)),HLOs!D37,"")</f>
        <v>HLO 8.1: Digitally enabled MELIA system for assessment of agronomic gain</v>
      </c>
      <c r="B39" s="5">
        <f>'1.Food_security'!D40*'Step B weights'!B$50</f>
        <v>0.12793336829685956</v>
      </c>
      <c r="C39" s="5">
        <f>'1.Food_security'!E40*'Step B weights'!C$50</f>
        <v>0.18699717780648359</v>
      </c>
      <c r="D39" s="5">
        <f>'1.Food_security'!F40*'Step B weights'!D$50</f>
        <v>0.60019802587334148</v>
      </c>
      <c r="E39" s="5">
        <f>'1.Food_security'!G40*'Step B weights'!E$50</f>
        <v>0.22927564863962102</v>
      </c>
      <c r="F39" s="5">
        <f>'1.Food_security'!H40*'Step B weights'!F$50</f>
        <v>0.6977903753132001</v>
      </c>
      <c r="G39" s="5">
        <f>'1.Food_security'!I40*'Step B weights'!G$50</f>
        <v>0.19289364608298079</v>
      </c>
      <c r="I39" s="28" t="str">
        <f t="shared" si="4"/>
        <v>HLO 8.1: Digitally enabled MELIA system for assessment of agronomic gain</v>
      </c>
      <c r="J39" s="5">
        <f>'2.Poverty_reduction'!D40*'Step B weights'!J$50</f>
        <v>9.4732216685328399E-2</v>
      </c>
      <c r="K39" s="5">
        <f>'2.Poverty_reduction'!E40*'Step B weights'!K$50</f>
        <v>6.7617578729630742E-2</v>
      </c>
      <c r="L39" s="5">
        <f>'2.Poverty_reduction'!F40*'Step B weights'!L$50</f>
        <v>0.97726602850353206</v>
      </c>
      <c r="M39" s="5">
        <f>'2.Poverty_reduction'!G40*'Step B weights'!M$50</f>
        <v>1.1075948435868852</v>
      </c>
      <c r="N39" s="5">
        <f>'2.Poverty_reduction'!H40*'Step B weights'!N$50</f>
        <v>0.43098056222319642</v>
      </c>
      <c r="O39" s="5">
        <f>'2.Poverty_reduction'!I40*'Step B weights'!O$50</f>
        <v>1.6762394301566518E-2</v>
      </c>
      <c r="Q39" s="28" t="str">
        <f t="shared" si="5"/>
        <v>HLO 8.1: Digitally enabled MELIA system for assessment of agronomic gain</v>
      </c>
      <c r="R39" s="5">
        <f>'3.Social_inclusion'!D40*'Step B weights'!R$50</f>
        <v>0.28889736741701638</v>
      </c>
      <c r="S39" s="5">
        <f>'3.Social_inclusion'!E40*'Step B weights'!S$50</f>
        <v>0.32064097672644032</v>
      </c>
      <c r="T39" s="5">
        <f>'3.Social_inclusion'!F40*'Step B weights'!T$50</f>
        <v>0.70438763830599005</v>
      </c>
      <c r="U39" s="5">
        <f>'3.Social_inclusion'!G40*'Step B weights'!U$50</f>
        <v>0.5837466615795498</v>
      </c>
      <c r="V39" s="5">
        <f>'3.Social_inclusion'!H40*'Step B weights'!V$50</f>
        <v>0.51987790919496368</v>
      </c>
      <c r="W39" s="5">
        <f>'3.Social_inclusion'!I40*'Step B weights'!W$50</f>
        <v>0.18512018313620757</v>
      </c>
      <c r="Y39" s="28" t="str">
        <f t="shared" si="6"/>
        <v>HLO 8.1: Digitally enabled MELIA system for assessment of agronomic gain</v>
      </c>
      <c r="Z39" s="5">
        <f>'4.Climate_adaptation'!D40*'Step B weights'!Z$50</f>
        <v>0.45149719734120053</v>
      </c>
      <c r="AA39" s="5">
        <f>'4.Climate_adaptation'!E40*'Step B weights'!AA$50</f>
        <v>6.0896517589046843E-2</v>
      </c>
      <c r="AB39" s="5">
        <f>'4.Climate_adaptation'!F40*'Step B weights'!AB$50</f>
        <v>0.32788991732899719</v>
      </c>
      <c r="AC39" s="5">
        <f>'4.Climate_adaptation'!G40*'Step B weights'!AC$50</f>
        <v>0.37251768879455155</v>
      </c>
      <c r="AD39" s="5">
        <f>'4.Climate_adaptation'!H40*'Step B weights'!AD$50</f>
        <v>0.52534750320110024</v>
      </c>
      <c r="AE39" s="5">
        <f>'4.Climate_adaptation'!I40*'Step B weights'!AE$50</f>
        <v>0.48907217975207246</v>
      </c>
      <c r="AG39" s="28" t="str">
        <f t="shared" si="7"/>
        <v>HLO 8.1: Digitally enabled MELIA system for assessment of agronomic gain</v>
      </c>
      <c r="AH39" s="5">
        <f>'5.Environmental_health'!D40*'Step B weights'!AH$50</f>
        <v>0.45149719734120053</v>
      </c>
      <c r="AI39" s="5">
        <f>'5.Environmental_health'!E40*'Step B weights'!AI$50</f>
        <v>0.12179303517809369</v>
      </c>
      <c r="AJ39" s="5">
        <f>'5.Environmental_health'!F40*'Step B weights'!AJ$50</f>
        <v>0.2459174379967479</v>
      </c>
      <c r="AK39" s="5">
        <f>'5.Environmental_health'!G40*'Step B weights'!AK$50</f>
        <v>0.37251768879455155</v>
      </c>
      <c r="AL39" s="5">
        <f>'5.Environmental_health'!H40*'Step B weights'!AL$50</f>
        <v>0.52534750320110024</v>
      </c>
      <c r="AM39" s="5">
        <f>'5.Environmental_health'!I40*'Step B weights'!AM$50</f>
        <v>0.73360826962810866</v>
      </c>
    </row>
    <row r="40" spans="1:39">
      <c r="A40" s="29" t="str">
        <f>IF(NOT(ISBLANK(HLOs!D38)),HLOs!D38,"")</f>
        <v>HLO 8.2: Tools for standardization and data management</v>
      </c>
      <c r="B40" s="5">
        <f>'1.Food_security'!D41*'Step B weights'!B$50</f>
        <v>0.12793336829685956</v>
      </c>
      <c r="C40" s="5">
        <f>'1.Food_security'!E41*'Step B weights'!C$50</f>
        <v>0.18699717780648359</v>
      </c>
      <c r="D40" s="5">
        <f>'1.Food_security'!F41*'Step B weights'!D$50</f>
        <v>0.40013201724889436</v>
      </c>
      <c r="E40" s="5">
        <f>'1.Food_security'!G41*'Step B weights'!E$50</f>
        <v>0.22927564863962102</v>
      </c>
      <c r="F40" s="5">
        <f>'1.Food_security'!H41*'Step B weights'!F$50</f>
        <v>0.6977903753132001</v>
      </c>
      <c r="G40" s="5">
        <f>'1.Food_security'!I41*'Step B weights'!G$50</f>
        <v>0.12859576405532053</v>
      </c>
      <c r="I40" s="28" t="str">
        <f t="shared" si="4"/>
        <v>HLO 8.2: Tools for standardization and data management</v>
      </c>
      <c r="J40" s="5">
        <f>'2.Poverty_reduction'!D41*'Step B weights'!J$50</f>
        <v>9.4732216685328399E-2</v>
      </c>
      <c r="K40" s="5">
        <f>'2.Poverty_reduction'!E41*'Step B weights'!K$50</f>
        <v>6.7617578729630742E-2</v>
      </c>
      <c r="L40" s="5">
        <f>'2.Poverty_reduction'!F41*'Step B weights'!L$50</f>
        <v>1.3030213713380427</v>
      </c>
      <c r="M40" s="5">
        <f>'2.Poverty_reduction'!G41*'Step B weights'!M$50</f>
        <v>1.1075948435868852</v>
      </c>
      <c r="N40" s="5">
        <f>'2.Poverty_reduction'!H41*'Step B weights'!N$50</f>
        <v>0.43098056222319642</v>
      </c>
      <c r="O40" s="5">
        <f>'2.Poverty_reduction'!I41*'Step B weights'!O$50</f>
        <v>1.6762394301566518E-2</v>
      </c>
      <c r="Q40" s="28" t="str">
        <f t="shared" si="5"/>
        <v>HLO 8.2: Tools for standardization and data management</v>
      </c>
      <c r="R40" s="5">
        <f>'3.Social_inclusion'!D41*'Step B weights'!R$50</f>
        <v>0.28889736741701638</v>
      </c>
      <c r="S40" s="5">
        <f>'3.Social_inclusion'!E41*'Step B weights'!S$50</f>
        <v>0.32064097672644032</v>
      </c>
      <c r="T40" s="5">
        <f>'3.Social_inclusion'!F41*'Step B weights'!T$50</f>
        <v>0.93918351774132003</v>
      </c>
      <c r="U40" s="5">
        <f>'3.Social_inclusion'!G41*'Step B weights'!U$50</f>
        <v>0.5837466615795498</v>
      </c>
      <c r="V40" s="5">
        <f>'3.Social_inclusion'!H41*'Step B weights'!V$50</f>
        <v>0.51987790919496368</v>
      </c>
      <c r="W40" s="5">
        <f>'3.Social_inclusion'!I41*'Step B weights'!W$50</f>
        <v>0.18512018313620757</v>
      </c>
      <c r="Y40" s="28" t="str">
        <f t="shared" si="6"/>
        <v>HLO 8.2: Tools for standardization and data management</v>
      </c>
      <c r="Z40" s="5">
        <f>'4.Climate_adaptation'!D41*'Step B weights'!Z$50</f>
        <v>0.45149719734120053</v>
      </c>
      <c r="AA40" s="5">
        <f>'4.Climate_adaptation'!E41*'Step B weights'!AA$50</f>
        <v>6.0896517589046843E-2</v>
      </c>
      <c r="AB40" s="5">
        <f>'4.Climate_adaptation'!F41*'Step B weights'!AB$50</f>
        <v>0.32788991732899719</v>
      </c>
      <c r="AC40" s="5">
        <f>'4.Climate_adaptation'!G41*'Step B weights'!AC$50</f>
        <v>0.37251768879455155</v>
      </c>
      <c r="AD40" s="5">
        <f>'4.Climate_adaptation'!H41*'Step B weights'!AD$50</f>
        <v>0.26267375160055012</v>
      </c>
      <c r="AE40" s="5">
        <f>'4.Climate_adaptation'!I41*'Step B weights'!AE$50</f>
        <v>0.48907217975207246</v>
      </c>
      <c r="AG40" s="28" t="str">
        <f t="shared" si="7"/>
        <v>HLO 8.2: Tools for standardization and data management</v>
      </c>
      <c r="AH40" s="5">
        <f>'5.Environmental_health'!D41*'Step B weights'!AH$50</f>
        <v>0.45149719734120053</v>
      </c>
      <c r="AI40" s="5">
        <f>'5.Environmental_health'!E41*'Step B weights'!AI$50</f>
        <v>0.12179303517809369</v>
      </c>
      <c r="AJ40" s="5">
        <f>'5.Environmental_health'!F41*'Step B weights'!AJ$50</f>
        <v>0.2459174379967479</v>
      </c>
      <c r="AK40" s="5">
        <f>'5.Environmental_health'!G41*'Step B weights'!AK$50</f>
        <v>0.37251768879455155</v>
      </c>
      <c r="AL40" s="5">
        <f>'5.Environmental_health'!H41*'Step B weights'!AL$50</f>
        <v>0.52534750320110024</v>
      </c>
      <c r="AM40" s="5">
        <f>'5.Environmental_health'!I41*'Step B weights'!AM$50</f>
        <v>0.73360826962810866</v>
      </c>
    </row>
    <row r="41" spans="1:39">
      <c r="A41" s="29" t="str">
        <f>IF(NOT(ISBLANK(HLOs!D39)),HLOs!D39,"")</f>
        <v>HLO 8.3: Novel capacity sharing models for stakeholders</v>
      </c>
      <c r="B41" s="5">
        <f>'1.Food_security'!D42*'Step B weights'!B$50</f>
        <v>6.3966684148429778E-2</v>
      </c>
      <c r="C41" s="5">
        <f>'1.Food_security'!E42*'Step B weights'!C$50</f>
        <v>9.3498588903241794E-2</v>
      </c>
      <c r="D41" s="5">
        <f>'1.Food_security'!F42*'Step B weights'!D$50</f>
        <v>0.20006600862444718</v>
      </c>
      <c r="E41" s="5">
        <f>'1.Food_security'!G42*'Step B weights'!E$50</f>
        <v>0.22927564863962102</v>
      </c>
      <c r="F41" s="5">
        <f>'1.Food_security'!H42*'Step B weights'!F$50</f>
        <v>0.34889518765660005</v>
      </c>
      <c r="G41" s="5">
        <f>'1.Food_security'!I42*'Step B weights'!G$50</f>
        <v>6.4297882027660264E-2</v>
      </c>
      <c r="I41" s="28" t="str">
        <f t="shared" si="4"/>
        <v>HLO 8.3: Novel capacity sharing models for stakeholders</v>
      </c>
      <c r="J41" s="5">
        <f>'2.Poverty_reduction'!D42*'Step B weights'!J$50</f>
        <v>9.4732216685328399E-2</v>
      </c>
      <c r="K41" s="5">
        <f>'2.Poverty_reduction'!E42*'Step B weights'!K$50</f>
        <v>6.7617578729630742E-2</v>
      </c>
      <c r="L41" s="5">
        <f>'2.Poverty_reduction'!F42*'Step B weights'!L$50</f>
        <v>1.3030213713380427</v>
      </c>
      <c r="M41" s="5">
        <f>'2.Poverty_reduction'!G42*'Step B weights'!M$50</f>
        <v>0.73839656239125684</v>
      </c>
      <c r="N41" s="5">
        <f>'2.Poverty_reduction'!H42*'Step B weights'!N$50</f>
        <v>0.43098056222319642</v>
      </c>
      <c r="O41" s="5">
        <f>'2.Poverty_reduction'!I42*'Step B weights'!O$50</f>
        <v>2.5143591452349776E-2</v>
      </c>
      <c r="Q41" s="28" t="str">
        <f t="shared" si="5"/>
        <v>HLO 8.3: Novel capacity sharing models for stakeholders</v>
      </c>
      <c r="R41" s="5">
        <f>'3.Social_inclusion'!D42*'Step B weights'!R$50</f>
        <v>0.28889736741701638</v>
      </c>
      <c r="S41" s="5">
        <f>'3.Social_inclusion'!E42*'Step B weights'!S$50</f>
        <v>0.48096146508966048</v>
      </c>
      <c r="T41" s="5">
        <f>'3.Social_inclusion'!F42*'Step B weights'!T$50</f>
        <v>0.93918351774132003</v>
      </c>
      <c r="U41" s="5">
        <f>'3.Social_inclusion'!G42*'Step B weights'!U$50</f>
        <v>0.5837466615795498</v>
      </c>
      <c r="V41" s="5">
        <f>'3.Social_inclusion'!H42*'Step B weights'!V$50</f>
        <v>0.51987790919496368</v>
      </c>
      <c r="W41" s="5">
        <f>'3.Social_inclusion'!I42*'Step B weights'!W$50</f>
        <v>0.18512018313620757</v>
      </c>
      <c r="Y41" s="28" t="str">
        <f t="shared" si="6"/>
        <v>HLO 8.3: Novel capacity sharing models for stakeholders</v>
      </c>
      <c r="Z41" s="5">
        <f>'4.Climate_adaptation'!D42*'Step B weights'!Z$50</f>
        <v>0.22574859867060026</v>
      </c>
      <c r="AA41" s="5">
        <f>'4.Climate_adaptation'!E42*'Step B weights'!AA$50</f>
        <v>6.0896517589046843E-2</v>
      </c>
      <c r="AB41" s="5">
        <f>'4.Climate_adaptation'!F42*'Step B weights'!AB$50</f>
        <v>0.32788991732899719</v>
      </c>
      <c r="AC41" s="5">
        <f>'4.Climate_adaptation'!G42*'Step B weights'!AC$50</f>
        <v>0.24834512586303437</v>
      </c>
      <c r="AD41" s="5">
        <f>'4.Climate_adaptation'!H42*'Step B weights'!AD$50</f>
        <v>0.26267375160055012</v>
      </c>
      <c r="AE41" s="5">
        <f>'4.Climate_adaptation'!I42*'Step B weights'!AE$50</f>
        <v>0.24453608987603623</v>
      </c>
      <c r="AG41" s="28" t="str">
        <f t="shared" si="7"/>
        <v>HLO 8.3: Novel capacity sharing models for stakeholders</v>
      </c>
      <c r="AH41" s="5">
        <f>'5.Environmental_health'!D42*'Step B weights'!AH$50</f>
        <v>0.45149719734120053</v>
      </c>
      <c r="AI41" s="5">
        <f>'5.Environmental_health'!E42*'Step B weights'!AI$50</f>
        <v>0.12179303517809369</v>
      </c>
      <c r="AJ41" s="5">
        <f>'5.Environmental_health'!F42*'Step B weights'!AJ$50</f>
        <v>0.2459174379967479</v>
      </c>
      <c r="AK41" s="5">
        <f>'5.Environmental_health'!G42*'Step B weights'!AK$50</f>
        <v>0.37251768879455155</v>
      </c>
      <c r="AL41" s="5">
        <f>'5.Environmental_health'!H42*'Step B weights'!AL$50</f>
        <v>0.52534750320110024</v>
      </c>
      <c r="AM41" s="5">
        <f>'5.Environmental_health'!I42*'Step B weights'!AM$50</f>
        <v>0.73360826962810866</v>
      </c>
    </row>
    <row r="42" spans="1:39">
      <c r="A42" s="29" t="str">
        <f>IF(NOT(ISBLANK(HLOs!D40)),HLOs!D40,"")</f>
        <v>HLO 8.4: Multi-stakeholder partnership platforms for scaling bundled solutions</v>
      </c>
      <c r="B42" s="5">
        <f>'1.Food_security'!D43*'Step B weights'!B$50</f>
        <v>0.12793336829685956</v>
      </c>
      <c r="C42" s="5">
        <f>'1.Food_security'!E43*'Step B weights'!C$50</f>
        <v>0.18699717780648359</v>
      </c>
      <c r="D42" s="5">
        <f>'1.Food_security'!F43*'Step B weights'!D$50</f>
        <v>0.20006600862444718</v>
      </c>
      <c r="E42" s="5">
        <f>'1.Food_security'!G43*'Step B weights'!E$50</f>
        <v>0.22927564863962102</v>
      </c>
      <c r="F42" s="5">
        <f>'1.Food_security'!H43*'Step B weights'!F$50</f>
        <v>0.6977903753132001</v>
      </c>
      <c r="G42" s="5">
        <f>'1.Food_security'!I43*'Step B weights'!G$50</f>
        <v>0.12859576405532053</v>
      </c>
      <c r="I42" s="28" t="str">
        <f t="shared" si="4"/>
        <v>HLO 8.4: Multi-stakeholder partnership platforms for scaling bundled solutions</v>
      </c>
      <c r="J42" s="5">
        <f>'2.Poverty_reduction'!D43*'Step B weights'!J$50</f>
        <v>9.4732216685328399E-2</v>
      </c>
      <c r="K42" s="5">
        <f>'2.Poverty_reduction'!E43*'Step B weights'!K$50</f>
        <v>6.7617578729630742E-2</v>
      </c>
      <c r="L42" s="5">
        <f>'2.Poverty_reduction'!F43*'Step B weights'!L$50</f>
        <v>1.3030213713380427</v>
      </c>
      <c r="M42" s="5">
        <f>'2.Poverty_reduction'!G43*'Step B weights'!M$50</f>
        <v>0.36919828119562842</v>
      </c>
      <c r="N42" s="5">
        <f>'2.Poverty_reduction'!H43*'Step B weights'!N$50</f>
        <v>0.43098056222319642</v>
      </c>
      <c r="O42" s="5">
        <f>'2.Poverty_reduction'!I43*'Step B weights'!O$50</f>
        <v>1.6762394301566518E-2</v>
      </c>
      <c r="Q42" s="28" t="str">
        <f t="shared" si="5"/>
        <v>HLO 8.4: Multi-stakeholder partnership platforms for scaling bundled solutions</v>
      </c>
      <c r="R42" s="5">
        <f>'3.Social_inclusion'!D43*'Step B weights'!R$50</f>
        <v>0.28889736741701638</v>
      </c>
      <c r="S42" s="5">
        <f>'3.Social_inclusion'!E43*'Step B weights'!S$50</f>
        <v>0.32064097672644032</v>
      </c>
      <c r="T42" s="5">
        <f>'3.Social_inclusion'!F43*'Step B weights'!T$50</f>
        <v>0.93918351774132003</v>
      </c>
      <c r="U42" s="5">
        <f>'3.Social_inclusion'!G43*'Step B weights'!U$50</f>
        <v>0.5837466615795498</v>
      </c>
      <c r="V42" s="5">
        <f>'3.Social_inclusion'!H43*'Step B weights'!V$50</f>
        <v>0.51987790919496368</v>
      </c>
      <c r="W42" s="5">
        <f>'3.Social_inclusion'!I43*'Step B weights'!W$50</f>
        <v>0.18512018313620757</v>
      </c>
      <c r="Y42" s="28" t="str">
        <f t="shared" si="6"/>
        <v>HLO 8.4: Multi-stakeholder partnership platforms for scaling bundled solutions</v>
      </c>
      <c r="Z42" s="5">
        <f>'4.Climate_adaptation'!D43*'Step B weights'!Z$50</f>
        <v>0.22574859867060026</v>
      </c>
      <c r="AA42" s="5">
        <f>'4.Climate_adaptation'!E43*'Step B weights'!AA$50</f>
        <v>6.0896517589046843E-2</v>
      </c>
      <c r="AB42" s="5">
        <f>'4.Climate_adaptation'!F43*'Step B weights'!AB$50</f>
        <v>0.32788991732899719</v>
      </c>
      <c r="AC42" s="5">
        <f>'4.Climate_adaptation'!G43*'Step B weights'!AC$50</f>
        <v>0.12417256293151718</v>
      </c>
      <c r="AD42" s="5">
        <f>'4.Climate_adaptation'!H43*'Step B weights'!AD$50</f>
        <v>0.26267375160055012</v>
      </c>
      <c r="AE42" s="5">
        <f>'4.Climate_adaptation'!I43*'Step B weights'!AE$50</f>
        <v>0.48907217975207246</v>
      </c>
      <c r="AG42" s="28" t="str">
        <f t="shared" si="7"/>
        <v>HLO 8.4: Multi-stakeholder partnership platforms for scaling bundled solutions</v>
      </c>
      <c r="AH42" s="5">
        <f>'5.Environmental_health'!D43*'Step B weights'!AH$50</f>
        <v>0.45149719734120053</v>
      </c>
      <c r="AI42" s="5">
        <f>'5.Environmental_health'!E43*'Step B weights'!AI$50</f>
        <v>0.12179303517809369</v>
      </c>
      <c r="AJ42" s="5">
        <f>'5.Environmental_health'!F43*'Step B weights'!AJ$50</f>
        <v>0.2459174379967479</v>
      </c>
      <c r="AK42" s="5">
        <f>'5.Environmental_health'!G43*'Step B weights'!AK$50</f>
        <v>0.49669025172606873</v>
      </c>
      <c r="AL42" s="5">
        <f>'5.Environmental_health'!H43*'Step B weights'!AL$50</f>
        <v>0.52534750320110024</v>
      </c>
      <c r="AM42" s="5">
        <f>'5.Environmental_health'!I43*'Step B weights'!AM$50</f>
        <v>0.73360826962810866</v>
      </c>
    </row>
    <row r="43" spans="1:39">
      <c r="A43" s="29" t="str">
        <f>IF(NOT(ISBLANK(HLOs!D41)),HLOs!D41,"")</f>
        <v>HLO 8.5: Policy-related information for sustainable farming systems</v>
      </c>
      <c r="B43" s="5">
        <f>'1.Food_security'!D44*'Step B weights'!B$50</f>
        <v>0.12793336829685956</v>
      </c>
      <c r="C43" s="5">
        <f>'1.Food_security'!E44*'Step B weights'!C$50</f>
        <v>0.18699717780648359</v>
      </c>
      <c r="D43" s="5">
        <f>'1.Food_security'!F44*'Step B weights'!D$50</f>
        <v>0.20006600862444718</v>
      </c>
      <c r="E43" s="5">
        <f>'1.Food_security'!G44*'Step B weights'!E$50</f>
        <v>0.22927564863962102</v>
      </c>
      <c r="F43" s="5">
        <f>'1.Food_security'!H44*'Step B weights'!F$50</f>
        <v>0.6977903753132001</v>
      </c>
      <c r="G43" s="5">
        <f>'1.Food_security'!I44*'Step B weights'!G$50</f>
        <v>0.12859576405532053</v>
      </c>
      <c r="I43" s="28" t="str">
        <f t="shared" si="4"/>
        <v>HLO 8.5: Policy-related information for sustainable farming systems</v>
      </c>
      <c r="J43" s="5">
        <f>'2.Poverty_reduction'!D44*'Step B weights'!J$50</f>
        <v>9.4732216685328399E-2</v>
      </c>
      <c r="K43" s="5">
        <f>'2.Poverty_reduction'!E44*'Step B weights'!K$50</f>
        <v>6.7617578729630742E-2</v>
      </c>
      <c r="L43" s="5">
        <f>'2.Poverty_reduction'!F44*'Step B weights'!L$50</f>
        <v>1.3030213713380427</v>
      </c>
      <c r="M43" s="5">
        <f>'2.Poverty_reduction'!G44*'Step B weights'!M$50</f>
        <v>0.36919828119562842</v>
      </c>
      <c r="N43" s="5">
        <f>'2.Poverty_reduction'!H44*'Step B weights'!N$50</f>
        <v>0.43098056222319642</v>
      </c>
      <c r="O43" s="5">
        <f>'2.Poverty_reduction'!I44*'Step B weights'!O$50</f>
        <v>1.6762394301566518E-2</v>
      </c>
      <c r="Q43" s="28" t="str">
        <f t="shared" si="5"/>
        <v>HLO 8.5: Policy-related information for sustainable farming systems</v>
      </c>
      <c r="R43" s="5">
        <f>'3.Social_inclusion'!D44*'Step B weights'!R$50</f>
        <v>0.28889736741701638</v>
      </c>
      <c r="S43" s="5">
        <f>'3.Social_inclusion'!E44*'Step B weights'!S$50</f>
        <v>0.32064097672644032</v>
      </c>
      <c r="T43" s="5">
        <f>'3.Social_inclusion'!F44*'Step B weights'!T$50</f>
        <v>0.93918351774132003</v>
      </c>
      <c r="U43" s="5">
        <f>'3.Social_inclusion'!G44*'Step B weights'!U$50</f>
        <v>0.5837466615795498</v>
      </c>
      <c r="V43" s="5">
        <f>'3.Social_inclusion'!H44*'Step B weights'!V$50</f>
        <v>0.51987790919496368</v>
      </c>
      <c r="W43" s="5">
        <f>'3.Social_inclusion'!I44*'Step B weights'!W$50</f>
        <v>0.18512018313620757</v>
      </c>
      <c r="Y43" s="28" t="str">
        <f t="shared" si="6"/>
        <v>HLO 8.5: Policy-related information for sustainable farming systems</v>
      </c>
      <c r="Z43" s="5">
        <f>'4.Climate_adaptation'!D44*'Step B weights'!Z$50</f>
        <v>0.22574859867060026</v>
      </c>
      <c r="AA43" s="5">
        <f>'4.Climate_adaptation'!E44*'Step B weights'!AA$50</f>
        <v>6.0896517589046843E-2</v>
      </c>
      <c r="AB43" s="5">
        <f>'4.Climate_adaptation'!F44*'Step B weights'!AB$50</f>
        <v>0.1639449586644986</v>
      </c>
      <c r="AC43" s="5">
        <f>'4.Climate_adaptation'!G44*'Step B weights'!AC$50</f>
        <v>0.12417256293151718</v>
      </c>
      <c r="AD43" s="5">
        <f>'4.Climate_adaptation'!H44*'Step B weights'!AD$50</f>
        <v>0.26267375160055012</v>
      </c>
      <c r="AE43" s="5">
        <f>'4.Climate_adaptation'!I44*'Step B weights'!AE$50</f>
        <v>0.48907217975207246</v>
      </c>
      <c r="AG43" s="28" t="str">
        <f t="shared" si="7"/>
        <v>HLO 8.5: Policy-related information for sustainable farming systems</v>
      </c>
      <c r="AH43" s="5">
        <f>'5.Environmental_health'!D44*'Step B weights'!AH$50</f>
        <v>0.45149719734120053</v>
      </c>
      <c r="AI43" s="5">
        <f>'5.Environmental_health'!E44*'Step B weights'!AI$50</f>
        <v>0.12179303517809369</v>
      </c>
      <c r="AJ43" s="5">
        <f>'5.Environmental_health'!F44*'Step B weights'!AJ$50</f>
        <v>0.2459174379967479</v>
      </c>
      <c r="AK43" s="5">
        <f>'5.Environmental_health'!G44*'Step B weights'!AK$50</f>
        <v>0.37251768879455155</v>
      </c>
      <c r="AL43" s="5">
        <f>'5.Environmental_health'!H44*'Step B weights'!AL$50</f>
        <v>0.52534750320110024</v>
      </c>
      <c r="AM43" s="5">
        <f>'5.Environmental_health'!I44*'Step B weights'!AM$50</f>
        <v>0.73360826962810866</v>
      </c>
    </row>
  </sheetData>
  <mergeCells count="1">
    <mergeCell ref="A1:P1"/>
  </mergeCells>
  <phoneticPr fontId="15" type="noConversion"/>
  <conditionalFormatting sqref="B10:G43">
    <cfRule type="colorScale" priority="14">
      <colorScale>
        <cfvo type="min"/>
        <cfvo type="percentile" val="50"/>
        <cfvo type="max"/>
        <color rgb="FFF8696B"/>
        <color rgb="FFFFEB84"/>
        <color rgb="FF63BE7B"/>
      </colorScale>
    </cfRule>
  </conditionalFormatting>
  <conditionalFormatting sqref="J10:O43">
    <cfRule type="colorScale" priority="15">
      <colorScale>
        <cfvo type="min"/>
        <cfvo type="percentile" val="50"/>
        <cfvo type="max"/>
        <color rgb="FFF8696B"/>
        <color rgb="FFFFEB84"/>
        <color rgb="FF63BE7B"/>
      </colorScale>
    </cfRule>
  </conditionalFormatting>
  <conditionalFormatting sqref="R10:W43">
    <cfRule type="colorScale" priority="16">
      <colorScale>
        <cfvo type="min"/>
        <cfvo type="percentile" val="50"/>
        <cfvo type="max"/>
        <color rgb="FFF8696B"/>
        <color rgb="FFFFEB84"/>
        <color rgb="FF63BE7B"/>
      </colorScale>
    </cfRule>
  </conditionalFormatting>
  <conditionalFormatting sqref="Z10:AE43">
    <cfRule type="colorScale" priority="17">
      <colorScale>
        <cfvo type="min"/>
        <cfvo type="percentile" val="50"/>
        <cfvo type="max"/>
        <color rgb="FFF8696B"/>
        <color rgb="FFFFEB84"/>
        <color rgb="FF63BE7B"/>
      </colorScale>
    </cfRule>
  </conditionalFormatting>
  <conditionalFormatting sqref="AH10:AM43">
    <cfRule type="colorScale" priority="18">
      <colorScale>
        <cfvo type="min"/>
        <cfvo type="percentile" val="50"/>
        <cfvo type="max"/>
        <color rgb="FFF8696B"/>
        <color rgb="FFFFEB84"/>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144C-8145-4F90-954B-F33ACD1542C9}">
  <dimension ref="A1:AM50"/>
  <sheetViews>
    <sheetView topLeftCell="R1" workbookViewId="0">
      <selection activeCell="Z12" sqref="Z12"/>
    </sheetView>
  </sheetViews>
  <sheetFormatPr defaultColWidth="8.85546875" defaultRowHeight="15"/>
  <sheetData>
    <row r="1" spans="1:39">
      <c r="A1" s="45" t="s">
        <v>1025</v>
      </c>
      <c r="B1" s="44"/>
      <c r="C1" s="44"/>
      <c r="D1" s="44"/>
      <c r="E1" s="44"/>
      <c r="F1" s="44"/>
      <c r="G1" s="44"/>
      <c r="H1" s="44"/>
    </row>
    <row r="2" spans="1:39">
      <c r="A2" s="20" t="s">
        <v>1020</v>
      </c>
      <c r="B2" s="19"/>
      <c r="C2" s="19"/>
      <c r="D2" s="19"/>
      <c r="E2" s="19"/>
      <c r="F2" s="19"/>
      <c r="G2" s="19"/>
      <c r="I2" s="20" t="s">
        <v>1021</v>
      </c>
      <c r="J2" s="19"/>
      <c r="K2" s="19"/>
      <c r="L2" s="19"/>
      <c r="M2" s="19"/>
      <c r="N2" s="19"/>
      <c r="O2" s="19"/>
      <c r="Q2" s="20" t="s">
        <v>1022</v>
      </c>
      <c r="R2" s="19"/>
      <c r="S2" s="19"/>
      <c r="T2" s="19"/>
      <c r="U2" s="19"/>
      <c r="V2" s="19"/>
      <c r="W2" s="19"/>
      <c r="Y2" s="20" t="s">
        <v>1023</v>
      </c>
      <c r="Z2" s="19"/>
      <c r="AA2" s="19"/>
      <c r="AB2" s="19"/>
      <c r="AC2" s="19"/>
      <c r="AD2" s="19"/>
      <c r="AE2" s="19"/>
      <c r="AG2" s="20" t="s">
        <v>1024</v>
      </c>
      <c r="AH2" s="19"/>
      <c r="AI2" s="19"/>
      <c r="AJ2" s="19"/>
      <c r="AK2" s="19"/>
      <c r="AL2" s="19"/>
      <c r="AM2" s="19"/>
    </row>
    <row r="3" spans="1:39" ht="18.95">
      <c r="A3" s="42" t="s">
        <v>164</v>
      </c>
      <c r="I3" s="42" t="s">
        <v>1026</v>
      </c>
      <c r="Q3" s="42" t="s">
        <v>1027</v>
      </c>
      <c r="Y3" s="42" t="s">
        <v>171</v>
      </c>
      <c r="AG3" s="42" t="s">
        <v>171</v>
      </c>
    </row>
    <row r="4" spans="1:39">
      <c r="A4" s="1" t="s">
        <v>1028</v>
      </c>
      <c r="B4" t="s">
        <v>1029</v>
      </c>
      <c r="I4" s="1" t="s">
        <v>1028</v>
      </c>
      <c r="J4" t="s">
        <v>1029</v>
      </c>
      <c r="Q4" s="1" t="s">
        <v>1028</v>
      </c>
      <c r="R4" t="s">
        <v>1029</v>
      </c>
      <c r="Y4" s="1" t="s">
        <v>1028</v>
      </c>
      <c r="Z4" t="s">
        <v>1029</v>
      </c>
      <c r="AG4" s="1" t="s">
        <v>1028</v>
      </c>
      <c r="AH4" t="s">
        <v>1029</v>
      </c>
    </row>
    <row r="5" spans="1:39">
      <c r="A5" s="1" t="s">
        <v>1030</v>
      </c>
      <c r="B5" t="s">
        <v>1031</v>
      </c>
      <c r="I5" s="1" t="s">
        <v>1030</v>
      </c>
      <c r="J5" t="s">
        <v>1032</v>
      </c>
      <c r="Q5" s="1" t="s">
        <v>1030</v>
      </c>
      <c r="Y5" s="1" t="s">
        <v>1030</v>
      </c>
      <c r="Z5" t="s">
        <v>1033</v>
      </c>
      <c r="AG5" s="1" t="s">
        <v>1030</v>
      </c>
      <c r="AH5" t="s">
        <v>1033</v>
      </c>
    </row>
    <row r="6" spans="1:39">
      <c r="A6" s="1" t="s">
        <v>1034</v>
      </c>
      <c r="B6" s="1">
        <v>2021</v>
      </c>
      <c r="C6" s="1">
        <v>2022</v>
      </c>
      <c r="D6" s="1">
        <v>2023</v>
      </c>
      <c r="E6" s="1">
        <v>2024</v>
      </c>
      <c r="F6" s="1">
        <v>2025</v>
      </c>
      <c r="I6" s="1" t="s">
        <v>1034</v>
      </c>
      <c r="J6" s="1">
        <v>2021</v>
      </c>
      <c r="K6" s="1">
        <v>2022</v>
      </c>
      <c r="L6" s="1">
        <v>2023</v>
      </c>
      <c r="M6" s="1">
        <v>2024</v>
      </c>
      <c r="N6" s="1">
        <v>2025</v>
      </c>
      <c r="Q6" s="1" t="s">
        <v>1034</v>
      </c>
      <c r="R6" s="1"/>
      <c r="S6" s="1"/>
      <c r="T6" s="1"/>
      <c r="U6" s="1"/>
      <c r="V6" s="1">
        <v>2022</v>
      </c>
      <c r="Y6" s="1" t="s">
        <v>1034</v>
      </c>
      <c r="Z6" s="1">
        <v>2021</v>
      </c>
      <c r="AA6" s="1">
        <v>2022</v>
      </c>
      <c r="AB6" s="1">
        <v>2023</v>
      </c>
      <c r="AC6" s="1">
        <v>2024</v>
      </c>
      <c r="AD6" s="1">
        <v>2025</v>
      </c>
      <c r="AG6" s="1" t="s">
        <v>1034</v>
      </c>
      <c r="AH6" s="1">
        <v>2021</v>
      </c>
      <c r="AI6" s="1">
        <v>2022</v>
      </c>
      <c r="AJ6" s="1">
        <v>2023</v>
      </c>
      <c r="AK6" s="1">
        <v>2024</v>
      </c>
      <c r="AL6" s="1">
        <v>2025</v>
      </c>
    </row>
    <row r="7" spans="1:39">
      <c r="A7" t="s">
        <v>1035</v>
      </c>
      <c r="B7" s="43">
        <v>8.8427009443168973</v>
      </c>
      <c r="C7" s="43">
        <v>8.2286612637084851</v>
      </c>
      <c r="D7" s="43">
        <v>7.6489308979425008</v>
      </c>
      <c r="E7" s="43">
        <v>7.1031772129091495</v>
      </c>
      <c r="F7" s="43">
        <v>6.590867907874717</v>
      </c>
      <c r="I7" t="s">
        <v>1035</v>
      </c>
      <c r="J7" s="43">
        <v>751.13725176057392</v>
      </c>
      <c r="K7" s="43">
        <v>737.74175018406561</v>
      </c>
      <c r="L7" s="43">
        <v>726.16697833626461</v>
      </c>
      <c r="M7" s="43">
        <v>716.37814045217931</v>
      </c>
      <c r="N7" s="43">
        <v>708.31417309219535</v>
      </c>
      <c r="R7" s="43"/>
      <c r="S7" s="43"/>
      <c r="T7" s="43"/>
      <c r="U7" s="43"/>
      <c r="V7" s="43"/>
      <c r="Z7" s="43"/>
      <c r="AA7" s="43"/>
      <c r="AB7" s="43"/>
      <c r="AC7" s="43"/>
      <c r="AD7" s="43"/>
      <c r="AH7" s="43"/>
      <c r="AI7" s="43"/>
      <c r="AJ7" s="43"/>
      <c r="AK7" s="43"/>
      <c r="AL7" s="43"/>
    </row>
    <row r="8" spans="1:39">
      <c r="A8" t="s">
        <v>9</v>
      </c>
      <c r="B8" s="43">
        <v>7.189257788334638</v>
      </c>
      <c r="C8" s="43">
        <v>6.6888900090578529</v>
      </c>
      <c r="D8" s="43">
        <v>6.2115265699456517</v>
      </c>
      <c r="E8" s="43">
        <v>5.7570393132760787</v>
      </c>
      <c r="F8" s="43">
        <v>5.3252328623979217</v>
      </c>
      <c r="H8" s="46" t="s">
        <v>9</v>
      </c>
      <c r="I8" t="s">
        <v>123</v>
      </c>
      <c r="J8" s="43">
        <v>31.202645027541003</v>
      </c>
      <c r="K8" s="43">
        <v>31.753594603374466</v>
      </c>
      <c r="L8" s="43">
        <v>32.307094515051269</v>
      </c>
      <c r="M8" s="43">
        <v>32.86288486263301</v>
      </c>
      <c r="N8" s="43">
        <v>33.420693634221806</v>
      </c>
      <c r="P8" s="46" t="s">
        <v>9</v>
      </c>
      <c r="Q8" t="s">
        <v>123</v>
      </c>
      <c r="R8" s="43"/>
      <c r="S8" s="43"/>
      <c r="T8" s="43"/>
      <c r="U8" s="43"/>
      <c r="V8" s="66">
        <v>0.37859999999999999</v>
      </c>
      <c r="X8" s="46" t="s">
        <v>9</v>
      </c>
      <c r="Y8" t="s">
        <v>123</v>
      </c>
      <c r="Z8" s="43">
        <v>1062.1580331999901</v>
      </c>
      <c r="AA8" s="43">
        <v>1066.28860098679</v>
      </c>
      <c r="AB8" s="43">
        <v>1070.46887931063</v>
      </c>
      <c r="AC8" s="43">
        <v>1074.6999178165199</v>
      </c>
      <c r="AD8" s="43">
        <v>1078.9827968055399</v>
      </c>
      <c r="AF8" s="46" t="s">
        <v>9</v>
      </c>
      <c r="AG8" t="s">
        <v>123</v>
      </c>
      <c r="AH8" s="43">
        <v>1062.1580331999901</v>
      </c>
      <c r="AI8" s="43">
        <v>1066.28860098679</v>
      </c>
      <c r="AJ8" s="43">
        <v>1070.46887931063</v>
      </c>
      <c r="AK8" s="43">
        <v>1074.6999178165199</v>
      </c>
      <c r="AL8" s="43">
        <v>1078.9827968055399</v>
      </c>
    </row>
    <row r="9" spans="1:39">
      <c r="A9" t="s">
        <v>10</v>
      </c>
      <c r="B9" s="43">
        <v>9.1504665426194762</v>
      </c>
      <c r="C9" s="43">
        <v>8.9091661920724032</v>
      </c>
      <c r="D9" s="43">
        <v>8.6634743137498393</v>
      </c>
      <c r="E9" s="43">
        <v>8.4138443636594769</v>
      </c>
      <c r="F9" s="43">
        <v>8.1607439588173118</v>
      </c>
      <c r="H9" s="46" t="s">
        <v>10</v>
      </c>
      <c r="I9" t="s">
        <v>124</v>
      </c>
      <c r="J9" s="43">
        <v>26.653278776238004</v>
      </c>
      <c r="K9" s="43">
        <v>25.96567738406975</v>
      </c>
      <c r="L9" s="43">
        <v>25.269419835568133</v>
      </c>
      <c r="M9" s="43">
        <v>24.565485383062249</v>
      </c>
      <c r="N9" s="43">
        <v>23.854887619882447</v>
      </c>
      <c r="P9" s="46" t="s">
        <v>10</v>
      </c>
      <c r="Q9" t="s">
        <v>124</v>
      </c>
      <c r="R9" s="43"/>
      <c r="S9" s="43"/>
      <c r="T9" s="43"/>
      <c r="U9" s="43"/>
      <c r="V9" s="66">
        <v>0.42020000000000002</v>
      </c>
      <c r="X9" s="46" t="s">
        <v>10</v>
      </c>
      <c r="Y9" t="s">
        <v>124</v>
      </c>
      <c r="Z9" s="43">
        <v>267.73907960000003</v>
      </c>
      <c r="AA9" s="43">
        <v>273.34463420968098</v>
      </c>
      <c r="AB9" s="43">
        <v>279.09723013930602</v>
      </c>
      <c r="AC9" s="43">
        <v>285.00085062601102</v>
      </c>
      <c r="AD9" s="43">
        <v>291.05959129262402</v>
      </c>
      <c r="AF9" s="46" t="s">
        <v>10</v>
      </c>
      <c r="AG9" t="s">
        <v>124</v>
      </c>
      <c r="AH9" s="43">
        <v>267.73907960000003</v>
      </c>
      <c r="AI9" s="43">
        <v>273.34463420968098</v>
      </c>
      <c r="AJ9" s="43">
        <v>279.09723013930602</v>
      </c>
      <c r="AK9" s="43">
        <v>285.00085062601102</v>
      </c>
      <c r="AL9" s="43">
        <v>291.05959129262402</v>
      </c>
    </row>
    <row r="10" spans="1:39">
      <c r="A10" t="s">
        <v>11</v>
      </c>
      <c r="B10" s="43">
        <v>18.912089683887856</v>
      </c>
      <c r="C10" s="43">
        <v>18.415277888436794</v>
      </c>
      <c r="D10" s="43">
        <v>17.911491722528627</v>
      </c>
      <c r="E10" s="43">
        <v>17.401678259623136</v>
      </c>
      <c r="F10" s="43">
        <v>16.886799251922032</v>
      </c>
      <c r="H10" s="46" t="s">
        <v>11</v>
      </c>
      <c r="I10" t="s">
        <v>125</v>
      </c>
      <c r="J10" s="43">
        <v>208.51838245259097</v>
      </c>
      <c r="K10" s="43">
        <v>213.67868332096438</v>
      </c>
      <c r="L10" s="43">
        <v>218.95233510307645</v>
      </c>
      <c r="M10" s="43">
        <v>224.34122586995986</v>
      </c>
      <c r="N10" s="43">
        <v>229.84724507706335</v>
      </c>
      <c r="P10" s="46" t="s">
        <v>11</v>
      </c>
      <c r="Q10" t="s">
        <v>125</v>
      </c>
      <c r="R10" s="43"/>
      <c r="S10" s="43"/>
      <c r="T10" s="43"/>
      <c r="U10" s="43"/>
      <c r="V10" s="66">
        <v>0.61539999999999995</v>
      </c>
      <c r="X10" s="46" t="s">
        <v>11</v>
      </c>
      <c r="Y10" t="s">
        <v>125</v>
      </c>
      <c r="Z10" s="43">
        <v>354.39023769999898</v>
      </c>
      <c r="AA10" s="43">
        <v>363.35389500703599</v>
      </c>
      <c r="AB10" s="43">
        <v>372.57065881653199</v>
      </c>
      <c r="AC10" s="43">
        <v>382.04803712420397</v>
      </c>
      <c r="AD10" s="43">
        <v>391.79377206257402</v>
      </c>
      <c r="AF10" s="46" t="s">
        <v>11</v>
      </c>
      <c r="AG10" t="s">
        <v>125</v>
      </c>
      <c r="AH10" s="43">
        <v>354.39023769999898</v>
      </c>
      <c r="AI10" s="43">
        <v>363.35389500703599</v>
      </c>
      <c r="AJ10" s="43">
        <v>372.57065881653199</v>
      </c>
      <c r="AK10" s="43">
        <v>382.04803712420397</v>
      </c>
      <c r="AL10" s="43">
        <v>391.79377206257402</v>
      </c>
    </row>
    <row r="11" spans="1:39">
      <c r="A11" t="s">
        <v>12</v>
      </c>
      <c r="B11" s="43">
        <v>22.510157496840979</v>
      </c>
      <c r="C11" s="43">
        <v>21.490211492056954</v>
      </c>
      <c r="D11" s="43">
        <v>20.474437042882101</v>
      </c>
      <c r="E11" s="43">
        <v>19.465188117849685</v>
      </c>
      <c r="F11" s="43">
        <v>18.464847171557157</v>
      </c>
      <c r="H11" s="46" t="s">
        <v>12</v>
      </c>
      <c r="I11" t="s">
        <v>126</v>
      </c>
      <c r="J11" s="43">
        <v>236.00367301078398</v>
      </c>
      <c r="K11" s="43">
        <v>241.91652112312005</v>
      </c>
      <c r="L11" s="43">
        <v>247.9683413098237</v>
      </c>
      <c r="M11" s="43">
        <v>254.16185965965454</v>
      </c>
      <c r="N11" s="43">
        <v>260.49981891812621</v>
      </c>
      <c r="P11" s="46" t="s">
        <v>12</v>
      </c>
      <c r="Q11" t="s">
        <v>126</v>
      </c>
      <c r="R11" s="43"/>
      <c r="S11" s="43"/>
      <c r="T11" s="43"/>
      <c r="U11" s="43"/>
      <c r="V11" s="66">
        <v>0.51</v>
      </c>
      <c r="X11" s="46" t="s">
        <v>12</v>
      </c>
      <c r="Y11" t="s">
        <v>126</v>
      </c>
      <c r="Z11" s="43">
        <v>505.23433779999903</v>
      </c>
      <c r="AA11" s="43">
        <v>525.74193172002697</v>
      </c>
      <c r="AB11" s="43">
        <v>547.25019877286104</v>
      </c>
      <c r="AC11" s="43">
        <v>569.81421939826498</v>
      </c>
      <c r="AD11" s="43">
        <v>593.49231856741903</v>
      </c>
      <c r="AF11" s="46" t="s">
        <v>12</v>
      </c>
      <c r="AG11" t="s">
        <v>126</v>
      </c>
      <c r="AH11" s="43">
        <v>505.23433779999903</v>
      </c>
      <c r="AI11" s="43">
        <v>525.74193172002697</v>
      </c>
      <c r="AJ11" s="43">
        <v>547.25019877286104</v>
      </c>
      <c r="AK11" s="43">
        <v>569.81421939826498</v>
      </c>
      <c r="AL11" s="43">
        <v>593.49231856741903</v>
      </c>
    </row>
    <row r="12" spans="1:39">
      <c r="A12" t="s">
        <v>13</v>
      </c>
      <c r="B12" s="43">
        <v>15.036351706564599</v>
      </c>
      <c r="C12" s="43">
        <v>13.50078028350624</v>
      </c>
      <c r="D12" s="43">
        <v>12.058387451156024</v>
      </c>
      <c r="E12" s="43">
        <v>10.711231438637608</v>
      </c>
      <c r="F12" s="43">
        <v>9.4604490055199957</v>
      </c>
      <c r="H12" s="46" t="s">
        <v>13</v>
      </c>
      <c r="I12" t="s">
        <v>127</v>
      </c>
      <c r="J12" s="43">
        <v>218.39156405784001</v>
      </c>
      <c r="K12" s="43">
        <v>201.5897722148423</v>
      </c>
      <c r="L12" s="43">
        <v>184.85463916050571</v>
      </c>
      <c r="M12" s="43">
        <v>168.30041581248173</v>
      </c>
      <c r="N12" s="43">
        <v>152.04615532444177</v>
      </c>
      <c r="P12" s="46" t="s">
        <v>13</v>
      </c>
      <c r="Q12" t="s">
        <v>127</v>
      </c>
      <c r="R12" s="43"/>
      <c r="S12" s="43"/>
      <c r="T12" s="43"/>
      <c r="U12" s="43"/>
      <c r="V12" s="66">
        <v>0.45419999999999999</v>
      </c>
      <c r="X12" s="46" t="s">
        <v>13</v>
      </c>
      <c r="Y12" t="s">
        <v>127</v>
      </c>
      <c r="Z12" s="43">
        <v>1147.9064971</v>
      </c>
      <c r="AA12" s="43">
        <v>1173.4687375036799</v>
      </c>
      <c r="AB12" s="43">
        <v>1199.89171130677</v>
      </c>
      <c r="AC12" s="43">
        <v>1227.21236255293</v>
      </c>
      <c r="AD12" s="43">
        <v>1255.4694063147499</v>
      </c>
      <c r="AF12" s="46" t="s">
        <v>13</v>
      </c>
      <c r="AG12" t="s">
        <v>127</v>
      </c>
      <c r="AH12" s="43">
        <v>1147.9064971</v>
      </c>
      <c r="AI12" s="43">
        <v>1173.4687375036799</v>
      </c>
      <c r="AJ12" s="43">
        <v>1199.89171130677</v>
      </c>
      <c r="AK12" s="43">
        <v>1227.21236255293</v>
      </c>
      <c r="AL12" s="43">
        <v>1255.4694063147499</v>
      </c>
    </row>
    <row r="13" spans="1:39">
      <c r="A13" t="s">
        <v>14</v>
      </c>
      <c r="B13" s="43">
        <v>2.9870488021794319</v>
      </c>
      <c r="C13" s="43">
        <v>2.5739841419947318</v>
      </c>
      <c r="D13" s="43">
        <v>2.2066180562943205</v>
      </c>
      <c r="E13" s="43">
        <v>1.8817104779205431</v>
      </c>
      <c r="F13" s="43">
        <v>1.5959853639845589</v>
      </c>
      <c r="H13" s="46" t="s">
        <v>14</v>
      </c>
      <c r="I13" t="s">
        <v>128</v>
      </c>
      <c r="J13" s="43">
        <v>26.133490986860004</v>
      </c>
      <c r="K13" s="43">
        <v>19.027453374174026</v>
      </c>
      <c r="L13" s="43">
        <v>13.39578296965856</v>
      </c>
      <c r="M13" s="43">
        <v>9.0857768127044309</v>
      </c>
      <c r="N13" s="43">
        <v>5.9136254183677561</v>
      </c>
      <c r="P13" s="46" t="s">
        <v>14</v>
      </c>
      <c r="Q13" t="s">
        <v>128</v>
      </c>
      <c r="R13" s="43"/>
      <c r="S13" s="43"/>
      <c r="T13" s="43"/>
      <c r="U13" s="43"/>
      <c r="V13" s="66">
        <v>0.24260000000000001</v>
      </c>
      <c r="X13" s="46" t="s">
        <v>14</v>
      </c>
      <c r="Y13" t="s">
        <v>128</v>
      </c>
      <c r="Z13" s="43">
        <v>1143.6131478</v>
      </c>
      <c r="AA13" s="43">
        <v>1149.66145638643</v>
      </c>
      <c r="AB13" s="43">
        <v>1155.8696368969599</v>
      </c>
      <c r="AC13" s="43">
        <v>1162.2410301637799</v>
      </c>
      <c r="AD13" s="43">
        <v>1168.7790565616399</v>
      </c>
      <c r="AF13" s="46" t="s">
        <v>14</v>
      </c>
      <c r="AG13" t="s">
        <v>128</v>
      </c>
      <c r="AH13" s="43">
        <v>1143.6131478</v>
      </c>
      <c r="AI13" s="43">
        <v>1149.66145638643</v>
      </c>
      <c r="AJ13" s="43">
        <v>1155.8696368969599</v>
      </c>
      <c r="AK13" s="43">
        <v>1162.2410301637799</v>
      </c>
      <c r="AL13" s="43">
        <v>1168.7790565616399</v>
      </c>
    </row>
    <row r="14" spans="1:39">
      <c r="A14" t="s">
        <v>1036</v>
      </c>
      <c r="B14" s="43">
        <v>0.19396867700303067</v>
      </c>
      <c r="C14" s="43">
        <v>0.16222959464390801</v>
      </c>
      <c r="D14" s="43">
        <v>0.13500923981592319</v>
      </c>
      <c r="E14" s="43">
        <v>0.11178664942711797</v>
      </c>
      <c r="F14" s="43">
        <v>9.2080432363058851E-2</v>
      </c>
      <c r="I14" t="s">
        <v>1036</v>
      </c>
      <c r="J14" s="43">
        <v>4.2342174487200008</v>
      </c>
      <c r="K14" s="43">
        <v>3.8100481635207495</v>
      </c>
      <c r="L14" s="43">
        <v>3.4193654425808968</v>
      </c>
      <c r="M14" s="43">
        <v>3.0604920516834158</v>
      </c>
      <c r="N14" s="43">
        <v>2.7317471000920599</v>
      </c>
      <c r="R14" s="43"/>
      <c r="S14" s="43"/>
      <c r="T14" s="43"/>
      <c r="U14" s="43"/>
      <c r="V14" s="43"/>
      <c r="Y14" t="s">
        <v>1036</v>
      </c>
      <c r="Z14" s="43">
        <v>1235.3439584999901</v>
      </c>
      <c r="AA14" s="43">
        <v>1232.40275979129</v>
      </c>
      <c r="AB14" s="43">
        <v>1229.5572147294399</v>
      </c>
      <c r="AC14" s="43">
        <v>1226.8079964993999</v>
      </c>
      <c r="AD14" s="43">
        <v>1224.1558080457801</v>
      </c>
      <c r="AG14" t="s">
        <v>1036</v>
      </c>
      <c r="AH14" s="43">
        <v>1235.3439584999901</v>
      </c>
      <c r="AI14" s="43">
        <v>1232.40275979129</v>
      </c>
      <c r="AJ14" s="43">
        <v>1229.5572147294399</v>
      </c>
      <c r="AK14" s="43">
        <v>1226.8079964993999</v>
      </c>
      <c r="AL14" s="43">
        <v>1224.1558080457801</v>
      </c>
    </row>
    <row r="16" spans="1:39" ht="18.95">
      <c r="A16" s="42" t="s">
        <v>1037</v>
      </c>
    </row>
    <row r="17" spans="1:38">
      <c r="A17" s="1" t="s">
        <v>1028</v>
      </c>
      <c r="B17" t="s">
        <v>1029</v>
      </c>
    </row>
    <row r="18" spans="1:38">
      <c r="A18" s="1" t="s">
        <v>1030</v>
      </c>
      <c r="B18" t="s">
        <v>1038</v>
      </c>
      <c r="C18" s="1"/>
    </row>
    <row r="19" spans="1:38">
      <c r="A19" s="1" t="s">
        <v>1034</v>
      </c>
      <c r="B19" s="1">
        <v>2021</v>
      </c>
      <c r="C19" s="1">
        <v>2022</v>
      </c>
      <c r="D19" s="1">
        <v>2023</v>
      </c>
      <c r="E19" s="1">
        <v>2024</v>
      </c>
      <c r="F19" s="1">
        <v>2025</v>
      </c>
    </row>
    <row r="20" spans="1:38">
      <c r="A20" t="s">
        <v>123</v>
      </c>
      <c r="B20" s="43">
        <v>0.62585913000000004</v>
      </c>
      <c r="C20" s="43">
        <v>0.63200592704091596</v>
      </c>
      <c r="D20" s="43">
        <v>0.63821309407893101</v>
      </c>
      <c r="E20" s="43">
        <v>0.64448122403040797</v>
      </c>
      <c r="F20" s="43">
        <v>0.65081091563496496</v>
      </c>
      <c r="H20" s="46" t="s">
        <v>9</v>
      </c>
      <c r="P20" s="46" t="s">
        <v>9</v>
      </c>
      <c r="X20" s="46" t="s">
        <v>9</v>
      </c>
      <c r="AF20" s="46" t="s">
        <v>9</v>
      </c>
    </row>
    <row r="21" spans="1:38">
      <c r="A21" t="s">
        <v>124</v>
      </c>
      <c r="B21" s="43">
        <v>0.57952241000000004</v>
      </c>
      <c r="C21" s="43">
        <v>0.58956460225483898</v>
      </c>
      <c r="D21" s="43">
        <v>0.59978080956680702</v>
      </c>
      <c r="E21" s="43">
        <v>0.610174047337255</v>
      </c>
      <c r="F21" s="43">
        <v>0.62074738321959699</v>
      </c>
      <c r="H21" s="46" t="s">
        <v>10</v>
      </c>
      <c r="P21" s="46" t="s">
        <v>10</v>
      </c>
      <c r="X21" s="46" t="s">
        <v>10</v>
      </c>
      <c r="AF21" s="46" t="s">
        <v>10</v>
      </c>
    </row>
    <row r="22" spans="1:38">
      <c r="A22" t="s">
        <v>125</v>
      </c>
      <c r="B22" s="43">
        <v>0.57430313</v>
      </c>
      <c r="C22" s="43">
        <v>0.59050323005799599</v>
      </c>
      <c r="D22" s="43">
        <v>0.60716030697747903</v>
      </c>
      <c r="E22" s="43">
        <v>0.62428725128697404</v>
      </c>
      <c r="F22" s="43">
        <v>0.64189731713456999</v>
      </c>
      <c r="H22" s="46" t="s">
        <v>11</v>
      </c>
      <c r="P22" s="46" t="s">
        <v>11</v>
      </c>
      <c r="X22" s="46" t="s">
        <v>11</v>
      </c>
      <c r="AF22" s="46" t="s">
        <v>11</v>
      </c>
    </row>
    <row r="23" spans="1:38">
      <c r="A23" t="s">
        <v>126</v>
      </c>
      <c r="B23" s="43">
        <v>0.60676063000000002</v>
      </c>
      <c r="C23" s="43">
        <v>0.622624200128016</v>
      </c>
      <c r="D23" s="43">
        <v>0.63890251841990997</v>
      </c>
      <c r="E23" s="43">
        <v>0.65560642833891702</v>
      </c>
      <c r="F23" s="43">
        <v>0.67274705684728398</v>
      </c>
      <c r="H23" s="46" t="s">
        <v>12</v>
      </c>
      <c r="P23" s="46" t="s">
        <v>12</v>
      </c>
      <c r="X23" s="46" t="s">
        <v>12</v>
      </c>
      <c r="AF23" s="46" t="s">
        <v>12</v>
      </c>
    </row>
    <row r="24" spans="1:38">
      <c r="A24" t="s">
        <v>127</v>
      </c>
      <c r="B24" s="43">
        <v>1.9019116</v>
      </c>
      <c r="C24" s="43">
        <v>1.92552185042086</v>
      </c>
      <c r="D24" s="43">
        <v>1.94942519749507</v>
      </c>
      <c r="E24" s="43">
        <v>1.9736252797121301</v>
      </c>
      <c r="F24" s="43">
        <v>1.9981257807296</v>
      </c>
      <c r="H24" s="46" t="s">
        <v>13</v>
      </c>
      <c r="P24" s="46" t="s">
        <v>13</v>
      </c>
      <c r="X24" s="46" t="s">
        <v>13</v>
      </c>
      <c r="AF24" s="46" t="s">
        <v>13</v>
      </c>
    </row>
    <row r="25" spans="1:38">
      <c r="A25" t="s">
        <v>128</v>
      </c>
      <c r="B25" s="43">
        <v>2.1236554000000001</v>
      </c>
      <c r="C25" s="43">
        <v>2.1382814767136402</v>
      </c>
      <c r="D25" s="43">
        <v>2.1530082863993201</v>
      </c>
      <c r="E25" s="43">
        <v>2.1678365228269301</v>
      </c>
      <c r="F25" s="43">
        <v>2.1827668845445101</v>
      </c>
      <c r="H25" s="46" t="s">
        <v>14</v>
      </c>
      <c r="P25" s="46" t="s">
        <v>14</v>
      </c>
      <c r="X25" s="46" t="s">
        <v>14</v>
      </c>
      <c r="AF25" s="46" t="s">
        <v>14</v>
      </c>
    </row>
    <row r="26" spans="1:38">
      <c r="A26" t="s">
        <v>1036</v>
      </c>
      <c r="B26" s="43">
        <v>1.4526614</v>
      </c>
      <c r="C26" s="43">
        <v>1.45796043266939</v>
      </c>
      <c r="D26" s="43">
        <v>1.46327879520274</v>
      </c>
      <c r="E26" s="43">
        <v>1.4686165581117101</v>
      </c>
      <c r="F26" s="43">
        <v>1.4739737921651801</v>
      </c>
    </row>
    <row r="28" spans="1:38" ht="18.95">
      <c r="A28" s="42" t="s">
        <v>1039</v>
      </c>
      <c r="I28" s="42" t="s">
        <v>1040</v>
      </c>
      <c r="Q28" s="42" t="s">
        <v>1041</v>
      </c>
      <c r="Y28" s="42" t="s">
        <v>1042</v>
      </c>
      <c r="AG28" s="42" t="s">
        <v>1042</v>
      </c>
    </row>
    <row r="29" spans="1:38">
      <c r="F29" s="1">
        <v>2025</v>
      </c>
      <c r="N29" s="1">
        <v>2025</v>
      </c>
      <c r="V29" s="1">
        <v>2022</v>
      </c>
      <c r="AD29" s="1">
        <v>2025</v>
      </c>
      <c r="AL29" s="1">
        <v>2025</v>
      </c>
    </row>
    <row r="30" spans="1:38">
      <c r="A30" s="46" t="s">
        <v>9</v>
      </c>
      <c r="F30" s="48">
        <f>F20*F8</f>
        <v>3.4657196751465968</v>
      </c>
      <c r="H30" s="46" t="s">
        <v>9</v>
      </c>
      <c r="N30" s="48">
        <f>N8</f>
        <v>33.420693634221806</v>
      </c>
      <c r="P30" s="46" t="s">
        <v>9</v>
      </c>
      <c r="V30" s="48">
        <f>V8</f>
        <v>0.37859999999999999</v>
      </c>
      <c r="X30" s="46" t="s">
        <v>9</v>
      </c>
      <c r="AD30" s="48">
        <f>AD8</f>
        <v>1078.9827968055399</v>
      </c>
      <c r="AF30" s="46" t="s">
        <v>9</v>
      </c>
      <c r="AL30" s="48">
        <f>AL8</f>
        <v>1078.9827968055399</v>
      </c>
    </row>
    <row r="31" spans="1:38">
      <c r="A31" s="46" t="s">
        <v>10</v>
      </c>
      <c r="F31" s="48">
        <f t="shared" ref="F31:F35" si="0">F21*F9</f>
        <v>5.0657604575609811</v>
      </c>
      <c r="H31" s="46" t="s">
        <v>10</v>
      </c>
      <c r="N31" s="48">
        <f t="shared" ref="N31:N35" si="1">N9</f>
        <v>23.854887619882447</v>
      </c>
      <c r="P31" s="46" t="s">
        <v>10</v>
      </c>
      <c r="V31" s="48">
        <f t="shared" ref="V31:V35" si="2">V9</f>
        <v>0.42020000000000002</v>
      </c>
      <c r="X31" s="46" t="s">
        <v>10</v>
      </c>
      <c r="AD31" s="48">
        <f t="shared" ref="AD31:AD35" si="3">AD9</f>
        <v>291.05959129262402</v>
      </c>
      <c r="AF31" s="46" t="s">
        <v>10</v>
      </c>
      <c r="AL31" s="48">
        <f t="shared" ref="AL31:AL35" si="4">AL9</f>
        <v>291.05959129262402</v>
      </c>
    </row>
    <row r="32" spans="1:38">
      <c r="A32" s="46" t="s">
        <v>11</v>
      </c>
      <c r="F32" s="48">
        <f t="shared" si="0"/>
        <v>10.839591134798816</v>
      </c>
      <c r="H32" s="46" t="s">
        <v>11</v>
      </c>
      <c r="N32" s="48">
        <f t="shared" si="1"/>
        <v>229.84724507706335</v>
      </c>
      <c r="P32" s="46" t="s">
        <v>11</v>
      </c>
      <c r="V32" s="48">
        <f t="shared" si="2"/>
        <v>0.61539999999999995</v>
      </c>
      <c r="X32" s="46" t="s">
        <v>11</v>
      </c>
      <c r="AD32" s="48">
        <f t="shared" si="3"/>
        <v>391.79377206257402</v>
      </c>
      <c r="AF32" s="46" t="s">
        <v>11</v>
      </c>
      <c r="AL32" s="48">
        <f t="shared" si="4"/>
        <v>391.79377206257402</v>
      </c>
    </row>
    <row r="33" spans="1:39">
      <c r="A33" s="46" t="s">
        <v>12</v>
      </c>
      <c r="F33" s="48">
        <f t="shared" si="0"/>
        <v>12.422171589799973</v>
      </c>
      <c r="H33" s="46" t="s">
        <v>12</v>
      </c>
      <c r="N33" s="48">
        <f t="shared" si="1"/>
        <v>260.49981891812621</v>
      </c>
      <c r="P33" s="46" t="s">
        <v>12</v>
      </c>
      <c r="V33" s="48">
        <f t="shared" si="2"/>
        <v>0.51</v>
      </c>
      <c r="X33" s="46" t="s">
        <v>12</v>
      </c>
      <c r="AD33" s="48">
        <f t="shared" si="3"/>
        <v>593.49231856741903</v>
      </c>
      <c r="AF33" s="46" t="s">
        <v>12</v>
      </c>
      <c r="AL33" s="48">
        <f t="shared" si="4"/>
        <v>593.49231856741903</v>
      </c>
    </row>
    <row r="34" spans="1:39">
      <c r="A34" s="46" t="s">
        <v>13</v>
      </c>
      <c r="F34" s="48">
        <f t="shared" si="0"/>
        <v>18.903167055207209</v>
      </c>
      <c r="H34" s="46" t="s">
        <v>13</v>
      </c>
      <c r="N34" s="48">
        <f t="shared" si="1"/>
        <v>152.04615532444177</v>
      </c>
      <c r="P34" s="46" t="s">
        <v>13</v>
      </c>
      <c r="V34" s="48">
        <f t="shared" si="2"/>
        <v>0.45419999999999999</v>
      </c>
      <c r="X34" s="46" t="s">
        <v>13</v>
      </c>
      <c r="AD34" s="48">
        <f t="shared" si="3"/>
        <v>1255.4694063147499</v>
      </c>
      <c r="AF34" s="46" t="s">
        <v>13</v>
      </c>
      <c r="AL34" s="48">
        <f t="shared" si="4"/>
        <v>1255.4694063147499</v>
      </c>
    </row>
    <row r="35" spans="1:39">
      <c r="A35" s="46" t="s">
        <v>14</v>
      </c>
      <c r="F35" s="48">
        <f t="shared" si="0"/>
        <v>3.4836640007232118</v>
      </c>
      <c r="H35" s="46" t="s">
        <v>14</v>
      </c>
      <c r="N35" s="48">
        <f t="shared" si="1"/>
        <v>5.9136254183677561</v>
      </c>
      <c r="P35" s="46" t="s">
        <v>14</v>
      </c>
      <c r="V35" s="48">
        <f t="shared" si="2"/>
        <v>0.24260000000000001</v>
      </c>
      <c r="X35" s="46" t="s">
        <v>14</v>
      </c>
      <c r="AD35" s="48">
        <f t="shared" si="3"/>
        <v>1168.7790565616399</v>
      </c>
      <c r="AF35" s="46" t="s">
        <v>14</v>
      </c>
      <c r="AL35" s="48">
        <f t="shared" si="4"/>
        <v>1168.7790565616399</v>
      </c>
    </row>
    <row r="37" spans="1:39" ht="18.95">
      <c r="A37" s="42" t="s">
        <v>1043</v>
      </c>
    </row>
    <row r="38" spans="1:39">
      <c r="F38" s="1">
        <v>2025</v>
      </c>
      <c r="N38" s="1">
        <v>2025</v>
      </c>
      <c r="V38" s="1">
        <v>2022</v>
      </c>
      <c r="AD38" s="1">
        <v>2025</v>
      </c>
      <c r="AL38" s="1">
        <v>2025</v>
      </c>
    </row>
    <row r="39" spans="1:39">
      <c r="A39" s="46" t="s">
        <v>9</v>
      </c>
      <c r="F39" s="48">
        <f>F30/SUM($F$30:$F$35)</f>
        <v>6.3966684148429778E-2</v>
      </c>
      <c r="H39" s="46" t="s">
        <v>9</v>
      </c>
      <c r="N39" s="48">
        <f>N30/SUM($N$30:$N$35)</f>
        <v>4.73661083426642E-2</v>
      </c>
      <c r="P39" s="46" t="s">
        <v>9</v>
      </c>
      <c r="V39" s="48">
        <f>V30/SUM($V$30:$V$35)</f>
        <v>0.14444868370850819</v>
      </c>
      <c r="X39" s="46" t="s">
        <v>9</v>
      </c>
      <c r="AD39" s="48">
        <f>AD30/SUM($AD$30:$AD$35)</f>
        <v>0.22574859867060026</v>
      </c>
      <c r="AF39" s="46" t="s">
        <v>9</v>
      </c>
      <c r="AL39" s="48">
        <f>AL30/SUM($AL$30:$AL$35)</f>
        <v>0.22574859867060026</v>
      </c>
    </row>
    <row r="40" spans="1:39">
      <c r="A40" s="46" t="s">
        <v>10</v>
      </c>
      <c r="F40" s="48">
        <f t="shared" ref="F40:F44" si="5">F31/SUM($F$30:$F$35)</f>
        <v>9.3498588903241794E-2</v>
      </c>
      <c r="H40" s="46" t="s">
        <v>10</v>
      </c>
      <c r="N40" s="48">
        <f t="shared" ref="N40:N44" si="6">N31/SUM($N$30:$N$35)</f>
        <v>3.3808789364815371E-2</v>
      </c>
      <c r="P40" s="46" t="s">
        <v>10</v>
      </c>
      <c r="V40" s="48">
        <f t="shared" ref="V40:V44" si="7">V31/SUM($V$30:$V$35)</f>
        <v>0.16032048836322016</v>
      </c>
      <c r="X40" s="46" t="s">
        <v>10</v>
      </c>
      <c r="AD40" s="48">
        <f t="shared" ref="AD40:AD44" si="8">AD31/SUM($AD$30:$AD$35)</f>
        <v>6.0896517589046843E-2</v>
      </c>
      <c r="AF40" s="46" t="s">
        <v>10</v>
      </c>
      <c r="AL40" s="48">
        <f t="shared" ref="AL40:AL44" si="9">AL31/SUM($AL$30:$AL$35)</f>
        <v>6.0896517589046843E-2</v>
      </c>
    </row>
    <row r="41" spans="1:39">
      <c r="A41" s="46" t="s">
        <v>11</v>
      </c>
      <c r="F41" s="48">
        <f t="shared" si="5"/>
        <v>0.20006600862444718</v>
      </c>
      <c r="H41" s="46" t="s">
        <v>11</v>
      </c>
      <c r="N41" s="48">
        <f t="shared" si="6"/>
        <v>0.32575534283451069</v>
      </c>
      <c r="P41" s="46" t="s">
        <v>11</v>
      </c>
      <c r="V41" s="48">
        <f t="shared" si="7"/>
        <v>0.23479587943533001</v>
      </c>
      <c r="X41" s="46" t="s">
        <v>11</v>
      </c>
      <c r="AD41" s="48">
        <f t="shared" si="8"/>
        <v>8.1972479332249298E-2</v>
      </c>
      <c r="AF41" s="46" t="s">
        <v>11</v>
      </c>
      <c r="AL41" s="48">
        <f t="shared" si="9"/>
        <v>8.1972479332249298E-2</v>
      </c>
    </row>
    <row r="42" spans="1:39">
      <c r="A42" s="46" t="s">
        <v>12</v>
      </c>
      <c r="F42" s="48">
        <f t="shared" si="5"/>
        <v>0.22927564863962102</v>
      </c>
      <c r="H42" s="46" t="s">
        <v>12</v>
      </c>
      <c r="N42" s="48">
        <f t="shared" si="6"/>
        <v>0.36919828119562842</v>
      </c>
      <c r="P42" s="46" t="s">
        <v>12</v>
      </c>
      <c r="V42" s="48">
        <f t="shared" si="7"/>
        <v>0.19458222052651661</v>
      </c>
      <c r="X42" s="46" t="s">
        <v>12</v>
      </c>
      <c r="AD42" s="48">
        <f t="shared" si="8"/>
        <v>0.12417256293151718</v>
      </c>
      <c r="AF42" s="46" t="s">
        <v>12</v>
      </c>
      <c r="AL42" s="48">
        <f t="shared" si="9"/>
        <v>0.12417256293151718</v>
      </c>
    </row>
    <row r="43" spans="1:39">
      <c r="A43" s="46" t="s">
        <v>13</v>
      </c>
      <c r="F43" s="48">
        <f t="shared" si="5"/>
        <v>0.34889518765660005</v>
      </c>
      <c r="H43" s="46" t="s">
        <v>13</v>
      </c>
      <c r="N43" s="48">
        <f t="shared" si="6"/>
        <v>0.21549028111159821</v>
      </c>
      <c r="P43" s="46" t="s">
        <v>13</v>
      </c>
      <c r="V43" s="48">
        <f t="shared" si="7"/>
        <v>0.17329263639832124</v>
      </c>
      <c r="X43" s="46" t="s">
        <v>13</v>
      </c>
      <c r="AD43" s="48">
        <f t="shared" si="8"/>
        <v>0.26267375160055012</v>
      </c>
      <c r="AF43" s="46" t="s">
        <v>13</v>
      </c>
      <c r="AL43" s="48">
        <f t="shared" si="9"/>
        <v>0.26267375160055012</v>
      </c>
    </row>
    <row r="44" spans="1:39">
      <c r="A44" s="46" t="s">
        <v>14</v>
      </c>
      <c r="F44" s="48">
        <f t="shared" si="5"/>
        <v>6.4297882027660264E-2</v>
      </c>
      <c r="H44" s="46" t="s">
        <v>14</v>
      </c>
      <c r="N44" s="48">
        <f t="shared" si="6"/>
        <v>8.3811971507832591E-3</v>
      </c>
      <c r="P44" s="46" t="s">
        <v>14</v>
      </c>
      <c r="V44" s="48">
        <f t="shared" si="7"/>
        <v>9.2560091568103783E-2</v>
      </c>
      <c r="X44" s="46" t="s">
        <v>14</v>
      </c>
      <c r="AD44" s="48">
        <f t="shared" si="8"/>
        <v>0.24453608987603623</v>
      </c>
      <c r="AF44" s="46" t="s">
        <v>14</v>
      </c>
      <c r="AL44" s="48">
        <f t="shared" si="9"/>
        <v>0.24453608987603623</v>
      </c>
    </row>
    <row r="45" spans="1:39">
      <c r="F45" s="48"/>
    </row>
    <row r="46" spans="1:39" ht="18.95">
      <c r="A46" s="42" t="s">
        <v>1044</v>
      </c>
    </row>
    <row r="47" spans="1:39">
      <c r="A47" s="20" t="s">
        <v>1020</v>
      </c>
      <c r="B47" s="19"/>
      <c r="C47" s="19"/>
      <c r="D47" s="19"/>
      <c r="E47" s="19"/>
      <c r="F47" s="19"/>
      <c r="G47" s="19"/>
      <c r="I47" s="20" t="s">
        <v>1021</v>
      </c>
      <c r="J47" s="19"/>
      <c r="K47" s="19"/>
      <c r="L47" s="19"/>
      <c r="M47" s="19"/>
      <c r="N47" s="19"/>
      <c r="O47" s="19"/>
      <c r="Q47" s="20" t="s">
        <v>1022</v>
      </c>
      <c r="R47" s="19"/>
      <c r="S47" s="19"/>
      <c r="T47" s="19"/>
      <c r="U47" s="19"/>
      <c r="V47" s="19"/>
      <c r="W47" s="19"/>
      <c r="Y47" s="20" t="s">
        <v>1023</v>
      </c>
      <c r="Z47" s="19"/>
      <c r="AA47" s="19"/>
      <c r="AB47" s="19"/>
      <c r="AC47" s="19"/>
      <c r="AD47" s="19"/>
      <c r="AE47" s="19"/>
      <c r="AG47" s="20" t="s">
        <v>1024</v>
      </c>
      <c r="AH47" s="19"/>
      <c r="AI47" s="19"/>
      <c r="AJ47" s="19"/>
      <c r="AK47" s="19"/>
      <c r="AL47" s="19"/>
      <c r="AM47" s="19"/>
    </row>
    <row r="48" spans="1:39" ht="15.95" thickBot="1"/>
    <row r="49" spans="2:39" ht="15.95" thickBot="1">
      <c r="B49" s="6" t="s">
        <v>9</v>
      </c>
      <c r="C49" s="7" t="s">
        <v>10</v>
      </c>
      <c r="D49" s="7" t="s">
        <v>11</v>
      </c>
      <c r="E49" s="7" t="s">
        <v>12</v>
      </c>
      <c r="F49" s="7" t="s">
        <v>13</v>
      </c>
      <c r="G49" s="8" t="s">
        <v>14</v>
      </c>
      <c r="J49" s="6" t="s">
        <v>9</v>
      </c>
      <c r="K49" s="7" t="s">
        <v>10</v>
      </c>
      <c r="L49" s="7" t="s">
        <v>11</v>
      </c>
      <c r="M49" s="7" t="s">
        <v>12</v>
      </c>
      <c r="N49" s="7" t="s">
        <v>13</v>
      </c>
      <c r="O49" s="8" t="s">
        <v>14</v>
      </c>
      <c r="R49" s="6" t="s">
        <v>9</v>
      </c>
      <c r="S49" s="7" t="s">
        <v>10</v>
      </c>
      <c r="T49" s="7" t="s">
        <v>11</v>
      </c>
      <c r="U49" s="7" t="s">
        <v>12</v>
      </c>
      <c r="V49" s="7" t="s">
        <v>13</v>
      </c>
      <c r="W49" s="8" t="s">
        <v>14</v>
      </c>
      <c r="Z49" s="6" t="s">
        <v>9</v>
      </c>
      <c r="AA49" s="7" t="s">
        <v>10</v>
      </c>
      <c r="AB49" s="7" t="s">
        <v>11</v>
      </c>
      <c r="AC49" s="7" t="s">
        <v>12</v>
      </c>
      <c r="AD49" s="7" t="s">
        <v>13</v>
      </c>
      <c r="AE49" s="8" t="s">
        <v>14</v>
      </c>
      <c r="AH49" s="6" t="s">
        <v>9</v>
      </c>
      <c r="AI49" s="7" t="s">
        <v>10</v>
      </c>
      <c r="AJ49" s="7" t="s">
        <v>11</v>
      </c>
      <c r="AK49" s="7" t="s">
        <v>12</v>
      </c>
      <c r="AL49" s="7" t="s">
        <v>13</v>
      </c>
      <c r="AM49" s="8" t="s">
        <v>14</v>
      </c>
    </row>
    <row r="50" spans="2:39">
      <c r="B50" s="48">
        <f>F39</f>
        <v>6.3966684148429778E-2</v>
      </c>
      <c r="C50" s="48">
        <f>F40</f>
        <v>9.3498588903241794E-2</v>
      </c>
      <c r="D50" s="48">
        <f>F41</f>
        <v>0.20006600862444718</v>
      </c>
      <c r="E50" s="48">
        <f>F42</f>
        <v>0.22927564863962102</v>
      </c>
      <c r="F50" s="48">
        <f>F43</f>
        <v>0.34889518765660005</v>
      </c>
      <c r="G50" s="48">
        <f>F44</f>
        <v>6.4297882027660264E-2</v>
      </c>
      <c r="J50" s="48">
        <f>N39</f>
        <v>4.73661083426642E-2</v>
      </c>
      <c r="K50" s="48">
        <f>N40</f>
        <v>3.3808789364815371E-2</v>
      </c>
      <c r="L50" s="48">
        <f>N41</f>
        <v>0.32575534283451069</v>
      </c>
      <c r="M50" s="48">
        <f>N42</f>
        <v>0.36919828119562842</v>
      </c>
      <c r="N50" s="48">
        <f>N43</f>
        <v>0.21549028111159821</v>
      </c>
      <c r="O50" s="48">
        <f>N44</f>
        <v>8.3811971507832591E-3</v>
      </c>
      <c r="R50" s="48">
        <f>V39</f>
        <v>0.14444868370850819</v>
      </c>
      <c r="S50" s="48">
        <f>V40</f>
        <v>0.16032048836322016</v>
      </c>
      <c r="T50" s="48">
        <f>V41</f>
        <v>0.23479587943533001</v>
      </c>
      <c r="U50" s="48">
        <f>V42</f>
        <v>0.19458222052651661</v>
      </c>
      <c r="V50" s="48">
        <f>V43</f>
        <v>0.17329263639832124</v>
      </c>
      <c r="W50" s="48">
        <f>V44</f>
        <v>9.2560091568103783E-2</v>
      </c>
      <c r="Z50" s="48">
        <f>AD39</f>
        <v>0.22574859867060026</v>
      </c>
      <c r="AA50" s="48">
        <f>AD40</f>
        <v>6.0896517589046843E-2</v>
      </c>
      <c r="AB50" s="48">
        <f>AD41</f>
        <v>8.1972479332249298E-2</v>
      </c>
      <c r="AC50" s="48">
        <f>AD42</f>
        <v>0.12417256293151718</v>
      </c>
      <c r="AD50" s="48">
        <f>AD43</f>
        <v>0.26267375160055012</v>
      </c>
      <c r="AE50" s="48">
        <f>AD44</f>
        <v>0.24453608987603623</v>
      </c>
      <c r="AH50" s="48">
        <f>AL39</f>
        <v>0.22574859867060026</v>
      </c>
      <c r="AI50" s="48">
        <f>AL40</f>
        <v>6.0896517589046843E-2</v>
      </c>
      <c r="AJ50" s="48">
        <f>AL41</f>
        <v>8.1972479332249298E-2</v>
      </c>
      <c r="AK50" s="48">
        <f>AL42</f>
        <v>0.12417256293151718</v>
      </c>
      <c r="AL50" s="48">
        <f>AL43</f>
        <v>0.26267375160055012</v>
      </c>
      <c r="AM50" s="48">
        <f>AL44</f>
        <v>0.24453608987603623</v>
      </c>
    </row>
  </sheetData>
  <sheetProtection algorithmName="SHA-512" hashValue="qVJzz+GEha3UN/YusHZqRbPM/Ww9xITmNkIoTVzR3jICybsmOCnXoHq/OKidkCzDS/WtkRD7Fsm1BW5NWnRyhA==" saltValue="YVnjBvAVsijmrUgOAw44sQ==" spinCount="100000" sheet="1" objects="1" scenarios="1"/>
  <hyperlinks>
    <hyperlink ref="A1" r:id="rId1" display="../../../../../../../:x:/s/CGIARTransitionandInception-Generaldocsandinfo/EUrrNnmcbpxJp6h1nzB3aVoB2rjCi2V55kl0yLoR5PVrqA?e=1fWTnL" xr:uid="{CE7E3214-F671-4C6C-A01A-28682387FEA9}"/>
  </hyperlinks>
  <pageMargins left="0.7" right="0.7" top="0.75" bottom="0.75" header="0.3" footer="0.3"/>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F8B4-1AA8-44AC-9EF4-A0BD45099B84}">
  <dimension ref="A1:H40"/>
  <sheetViews>
    <sheetView workbookViewId="0">
      <selection activeCell="F17" sqref="A16:F17"/>
    </sheetView>
  </sheetViews>
  <sheetFormatPr defaultColWidth="8.85546875" defaultRowHeight="15"/>
  <cols>
    <col min="9" max="9" width="32.42578125" bestFit="1" customWidth="1"/>
    <col min="10" max="14" width="14.140625" customWidth="1"/>
  </cols>
  <sheetData>
    <row r="1" spans="1:8">
      <c r="A1" s="45"/>
      <c r="B1" s="44"/>
      <c r="C1" s="44"/>
      <c r="D1" s="44"/>
      <c r="E1" s="44"/>
      <c r="F1" s="44"/>
      <c r="G1" s="44"/>
      <c r="H1" s="44"/>
    </row>
    <row r="2" spans="1:8" ht="18.95">
      <c r="A2" s="42"/>
    </row>
    <row r="3" spans="1:8">
      <c r="A3" s="1"/>
    </row>
    <row r="4" spans="1:8">
      <c r="A4" s="1" t="s">
        <v>1045</v>
      </c>
    </row>
    <row r="5" spans="1:8">
      <c r="A5" s="1"/>
      <c r="B5" s="1"/>
      <c r="C5" s="1" t="s">
        <v>1046</v>
      </c>
      <c r="D5" s="1" t="s">
        <v>1047</v>
      </c>
      <c r="E5" s="1" t="s">
        <v>1047</v>
      </c>
      <c r="F5" s="1" t="s">
        <v>1047</v>
      </c>
      <c r="G5" s="1" t="s">
        <v>1046</v>
      </c>
    </row>
    <row r="6" spans="1:8">
      <c r="A6" s="1"/>
      <c r="B6" s="49" t="s">
        <v>1034</v>
      </c>
      <c r="C6" s="49" t="s">
        <v>1048</v>
      </c>
      <c r="D6" s="49" t="s">
        <v>1049</v>
      </c>
      <c r="E6" s="49" t="s">
        <v>1050</v>
      </c>
      <c r="F6" s="49" t="s">
        <v>1051</v>
      </c>
      <c r="G6" s="49" t="s">
        <v>1052</v>
      </c>
    </row>
    <row r="7" spans="1:8">
      <c r="A7" s="46" t="s">
        <v>9</v>
      </c>
      <c r="B7" t="s">
        <v>1053</v>
      </c>
      <c r="C7" s="47">
        <v>0.54302380585249799</v>
      </c>
      <c r="D7" s="47">
        <v>34.42075546019808</v>
      </c>
      <c r="E7" s="47">
        <v>62.024683812869689</v>
      </c>
      <c r="F7" s="47">
        <v>10.48036477778391</v>
      </c>
      <c r="G7" s="47">
        <v>70.558656465902601</v>
      </c>
      <c r="H7" s="46" t="s">
        <v>9</v>
      </c>
    </row>
    <row r="8" spans="1:8">
      <c r="A8" s="46" t="s">
        <v>10</v>
      </c>
      <c r="B8" t="s">
        <v>1054</v>
      </c>
      <c r="C8" s="47">
        <v>0.1258831715735762</v>
      </c>
      <c r="D8" s="47">
        <v>31.026146749705859</v>
      </c>
      <c r="E8" s="47">
        <v>59.67366365424607</v>
      </c>
      <c r="F8" s="47">
        <v>3.0737837831890231</v>
      </c>
      <c r="G8" s="47">
        <v>81.957032494455731</v>
      </c>
      <c r="H8" s="46" t="s">
        <v>10</v>
      </c>
    </row>
    <row r="9" spans="1:8">
      <c r="A9" s="46" t="s">
        <v>11</v>
      </c>
      <c r="B9" t="s">
        <v>1055</v>
      </c>
      <c r="C9" s="47">
        <v>0.32215883118437388</v>
      </c>
      <c r="D9" s="47">
        <v>28.54820743798361</v>
      </c>
      <c r="E9" s="47">
        <v>51.795414166574673</v>
      </c>
      <c r="F9" s="47">
        <v>5.4335250271814521</v>
      </c>
      <c r="G9" s="47">
        <v>94.133002854204136</v>
      </c>
      <c r="H9" s="46" t="s">
        <v>11</v>
      </c>
    </row>
    <row r="10" spans="1:8">
      <c r="A10" s="46" t="s">
        <v>12</v>
      </c>
      <c r="B10" t="s">
        <v>1056</v>
      </c>
      <c r="C10" s="47">
        <v>0.1178505837087607</v>
      </c>
      <c r="D10" s="47">
        <v>32.889927734365678</v>
      </c>
      <c r="E10" s="47">
        <v>54.702176187783763</v>
      </c>
      <c r="F10" s="47">
        <v>5.9487617403193669</v>
      </c>
      <c r="G10" s="47">
        <v>88.468946467438911</v>
      </c>
      <c r="H10" s="46" t="s">
        <v>12</v>
      </c>
    </row>
    <row r="11" spans="1:8">
      <c r="A11" s="46" t="s">
        <v>13</v>
      </c>
      <c r="B11" t="s">
        <v>1057</v>
      </c>
      <c r="C11" s="47">
        <v>0.40586822017970792</v>
      </c>
      <c r="D11" s="47">
        <v>36.281215992879908</v>
      </c>
      <c r="E11" s="47">
        <v>67.183582712691134</v>
      </c>
      <c r="F11" s="47">
        <v>6.495346805043404</v>
      </c>
      <c r="G11" s="47">
        <v>77.355628943752635</v>
      </c>
      <c r="H11" s="46" t="s">
        <v>13</v>
      </c>
    </row>
    <row r="12" spans="1:8">
      <c r="A12" s="46" t="s">
        <v>14</v>
      </c>
      <c r="B12" t="s">
        <v>1058</v>
      </c>
      <c r="C12" s="47">
        <v>6.9992242710021288E-2</v>
      </c>
      <c r="D12" s="47">
        <v>42.533783655618421</v>
      </c>
      <c r="E12" s="47">
        <v>74.72229623938037</v>
      </c>
      <c r="F12" s="47">
        <v>2.6347802142471139</v>
      </c>
      <c r="G12" s="47">
        <v>63.410872871462921</v>
      </c>
      <c r="H12" s="46" t="s">
        <v>14</v>
      </c>
    </row>
    <row r="13" spans="1:8">
      <c r="B13" s="50" t="s">
        <v>1059</v>
      </c>
      <c r="C13" s="51">
        <v>0.1080281938897836</v>
      </c>
      <c r="D13" s="51">
        <v>55.441589599413227</v>
      </c>
      <c r="E13" s="51">
        <v>77.12072644091235</v>
      </c>
      <c r="F13" s="51">
        <v>9.1956478365800915</v>
      </c>
      <c r="G13" s="51">
        <v>49.207110977511689</v>
      </c>
    </row>
    <row r="14" spans="1:8">
      <c r="B14" s="50" t="s">
        <v>1060</v>
      </c>
      <c r="C14" s="51">
        <v>1.986387719462113E-2</v>
      </c>
      <c r="D14" s="51">
        <v>69.711937111378845</v>
      </c>
      <c r="E14" s="51">
        <v>83.553626279793704</v>
      </c>
      <c r="F14" s="51">
        <v>11.10170530162555</v>
      </c>
      <c r="G14" s="51">
        <v>42.614980037085488</v>
      </c>
    </row>
    <row r="15" spans="1:8" ht="18.95">
      <c r="A15" s="42"/>
    </row>
    <row r="16" spans="1:8">
      <c r="A16" s="1"/>
    </row>
    <row r="17" spans="1:8">
      <c r="A17" s="1"/>
      <c r="C17" s="1"/>
    </row>
    <row r="18" spans="1:8">
      <c r="A18" s="1"/>
      <c r="B18" s="49" t="s">
        <v>1034</v>
      </c>
      <c r="C18" s="1" t="s">
        <v>1047</v>
      </c>
      <c r="D18" s="1" t="s">
        <v>1047</v>
      </c>
      <c r="E18" s="1" t="s">
        <v>1047</v>
      </c>
      <c r="F18" s="1" t="s">
        <v>1047</v>
      </c>
      <c r="G18" s="1" t="s">
        <v>1047</v>
      </c>
    </row>
    <row r="19" spans="1:8">
      <c r="A19" s="46" t="s">
        <v>9</v>
      </c>
      <c r="B19" t="s">
        <v>1053</v>
      </c>
      <c r="C19" s="43">
        <f>1-(C7-0)</f>
        <v>0.45697619414750201</v>
      </c>
      <c r="D19" s="43">
        <f>D7/100</f>
        <v>0.34420755460198083</v>
      </c>
      <c r="E19" s="43">
        <f>E7/100</f>
        <v>0.62024683812869685</v>
      </c>
      <c r="F19" s="43">
        <f>(F7/14)</f>
        <v>0.74859748412742211</v>
      </c>
      <c r="G19" s="43">
        <f>1-(G7/100)</f>
        <v>0.29441343534097397</v>
      </c>
      <c r="H19" s="46" t="s">
        <v>9</v>
      </c>
    </row>
    <row r="20" spans="1:8">
      <c r="A20" s="46" t="s">
        <v>10</v>
      </c>
      <c r="B20" t="s">
        <v>1054</v>
      </c>
      <c r="C20" s="43">
        <f t="shared" ref="C20:C24" si="0">1-(C8-0)</f>
        <v>0.8741168284264238</v>
      </c>
      <c r="D20" s="43">
        <f t="shared" ref="D20:E24" si="1">D8/100</f>
        <v>0.31026146749705857</v>
      </c>
      <c r="E20" s="43">
        <f t="shared" si="1"/>
        <v>0.59673663654246067</v>
      </c>
      <c r="F20" s="43">
        <f t="shared" ref="F20:F24" si="2">(F8/14)</f>
        <v>0.21955598451350164</v>
      </c>
      <c r="G20" s="43">
        <f t="shared" ref="G20:G24" si="3">1-(G8/100)</f>
        <v>0.18042967505544272</v>
      </c>
      <c r="H20" s="46" t="s">
        <v>10</v>
      </c>
    </row>
    <row r="21" spans="1:8">
      <c r="A21" s="46" t="s">
        <v>11</v>
      </c>
      <c r="B21" t="s">
        <v>1055</v>
      </c>
      <c r="C21" s="43">
        <f t="shared" si="0"/>
        <v>0.67784116881562606</v>
      </c>
      <c r="D21" s="43">
        <f t="shared" si="1"/>
        <v>0.28548207437983608</v>
      </c>
      <c r="E21" s="43">
        <f t="shared" si="1"/>
        <v>0.51795414166574671</v>
      </c>
      <c r="F21" s="43">
        <f t="shared" si="2"/>
        <v>0.38810893051296086</v>
      </c>
      <c r="G21" s="43">
        <f t="shared" si="3"/>
        <v>5.8669971457958603E-2</v>
      </c>
      <c r="H21" s="46" t="s">
        <v>11</v>
      </c>
    </row>
    <row r="22" spans="1:8">
      <c r="A22" s="46" t="s">
        <v>12</v>
      </c>
      <c r="B22" t="s">
        <v>1056</v>
      </c>
      <c r="C22" s="43">
        <f t="shared" si="0"/>
        <v>0.88214941629123933</v>
      </c>
      <c r="D22" s="43">
        <f t="shared" si="1"/>
        <v>0.32889927734365676</v>
      </c>
      <c r="E22" s="43">
        <f t="shared" si="1"/>
        <v>0.54702176187783769</v>
      </c>
      <c r="F22" s="43">
        <f t="shared" si="2"/>
        <v>0.4249115528799548</v>
      </c>
      <c r="G22" s="43">
        <f t="shared" si="3"/>
        <v>0.11531053532561086</v>
      </c>
      <c r="H22" s="46" t="s">
        <v>12</v>
      </c>
    </row>
    <row r="23" spans="1:8">
      <c r="A23" s="46" t="s">
        <v>13</v>
      </c>
      <c r="B23" t="s">
        <v>1057</v>
      </c>
      <c r="C23" s="43">
        <f t="shared" si="0"/>
        <v>0.59413177982029208</v>
      </c>
      <c r="D23" s="43">
        <f t="shared" si="1"/>
        <v>0.36281215992879906</v>
      </c>
      <c r="E23" s="43">
        <f t="shared" si="1"/>
        <v>0.67183582712691137</v>
      </c>
      <c r="F23" s="43">
        <f t="shared" si="2"/>
        <v>0.46395334321738602</v>
      </c>
      <c r="G23" s="43">
        <f t="shared" si="3"/>
        <v>0.2264437105624737</v>
      </c>
      <c r="H23" s="46" t="s">
        <v>13</v>
      </c>
    </row>
    <row r="24" spans="1:8">
      <c r="A24" s="46" t="s">
        <v>14</v>
      </c>
      <c r="B24" t="s">
        <v>1058</v>
      </c>
      <c r="C24" s="43">
        <f t="shared" si="0"/>
        <v>0.93000775728997875</v>
      </c>
      <c r="D24" s="43">
        <f t="shared" si="1"/>
        <v>0.42533783655618423</v>
      </c>
      <c r="E24" s="43">
        <f t="shared" si="1"/>
        <v>0.7472229623938037</v>
      </c>
      <c r="F24" s="43">
        <f t="shared" si="2"/>
        <v>0.18819858673193671</v>
      </c>
      <c r="G24" s="43">
        <f t="shared" si="3"/>
        <v>0.3658912712853708</v>
      </c>
      <c r="H24" s="46" t="s">
        <v>14</v>
      </c>
    </row>
    <row r="25" spans="1:8">
      <c r="B25" s="43"/>
      <c r="C25" s="43"/>
      <c r="D25" s="43"/>
      <c r="E25" s="43"/>
      <c r="F25" s="43"/>
    </row>
    <row r="27" spans="1:8" ht="18.95">
      <c r="A27" s="42" t="s">
        <v>1061</v>
      </c>
    </row>
    <row r="28" spans="1:8">
      <c r="C28" t="s">
        <v>1062</v>
      </c>
    </row>
    <row r="29" spans="1:8">
      <c r="A29" s="46" t="s">
        <v>9</v>
      </c>
      <c r="C29" s="43">
        <f>AVERAGE(C19:G19)</f>
        <v>0.49288830126931515</v>
      </c>
      <c r="H29" s="46" t="s">
        <v>9</v>
      </c>
    </row>
    <row r="30" spans="1:8">
      <c r="A30" s="46" t="s">
        <v>10</v>
      </c>
      <c r="C30" s="43">
        <f t="shared" ref="C30:C34" si="4">AVERAGE(C20:G20)</f>
        <v>0.4362201184069775</v>
      </c>
      <c r="H30" s="46" t="s">
        <v>10</v>
      </c>
    </row>
    <row r="31" spans="1:8">
      <c r="A31" s="46" t="s">
        <v>11</v>
      </c>
      <c r="C31" s="43">
        <f t="shared" si="4"/>
        <v>0.38561125736642565</v>
      </c>
      <c r="H31" s="46" t="s">
        <v>11</v>
      </c>
    </row>
    <row r="32" spans="1:8">
      <c r="A32" s="46" t="s">
        <v>12</v>
      </c>
      <c r="C32" s="43">
        <f t="shared" si="4"/>
        <v>0.45965850874365993</v>
      </c>
      <c r="H32" s="46" t="s">
        <v>12</v>
      </c>
    </row>
    <row r="33" spans="1:8">
      <c r="A33" s="46" t="s">
        <v>13</v>
      </c>
      <c r="C33" s="43">
        <f t="shared" si="4"/>
        <v>0.46383536413117243</v>
      </c>
      <c r="H33" s="46" t="s">
        <v>13</v>
      </c>
    </row>
    <row r="34" spans="1:8">
      <c r="A34" s="46" t="s">
        <v>14</v>
      </c>
      <c r="C34" s="43">
        <f t="shared" si="4"/>
        <v>0.53133168285145482</v>
      </c>
      <c r="H34" s="46" t="s">
        <v>14</v>
      </c>
    </row>
    <row r="36" spans="1:8">
      <c r="F36" s="48"/>
    </row>
    <row r="37" spans="1:8" ht="18.95">
      <c r="A37" s="42" t="s">
        <v>1044</v>
      </c>
    </row>
    <row r="38" spans="1:8" ht="15.95" thickBot="1"/>
    <row r="39" spans="1:8" ht="15.95" thickBot="1">
      <c r="B39" s="6" t="s">
        <v>9</v>
      </c>
      <c r="C39" s="7" t="s">
        <v>10</v>
      </c>
      <c r="D39" s="7" t="s">
        <v>11</v>
      </c>
      <c r="E39" s="7" t="s">
        <v>12</v>
      </c>
      <c r="F39" s="7" t="s">
        <v>13</v>
      </c>
      <c r="G39" s="8" t="s">
        <v>14</v>
      </c>
    </row>
    <row r="40" spans="1:8">
      <c r="B40" s="48">
        <f>C29</f>
        <v>0.49288830126931515</v>
      </c>
      <c r="C40" s="48">
        <f>C30</f>
        <v>0.4362201184069775</v>
      </c>
      <c r="D40" s="48">
        <f>C31</f>
        <v>0.38561125736642565</v>
      </c>
      <c r="E40" s="48">
        <f>C32</f>
        <v>0.45965850874365993</v>
      </c>
      <c r="F40" s="48">
        <f>C33</f>
        <v>0.46383536413117243</v>
      </c>
      <c r="G40" s="48">
        <f>C34</f>
        <v>0.53133168285145482</v>
      </c>
    </row>
  </sheetData>
  <sheetProtection algorithmName="SHA-512" hashValue="8D+TPuqB2ch4SCmGhOdRCtld+AWG9+1e3aU6fi6au2PaLUJVBwj14vlP5A7EM7JCKMyPdo3qgXgZk7qh/aOp6w==" saltValue="fXY20RlVGQIM3tIoh+bj/Q==" spinCount="100000" sheet="1" objects="1" scenarios="1"/>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994A7-2FD3-46AD-A7C4-5D7EFB6B19F1}">
  <dimension ref="A1:AM42"/>
  <sheetViews>
    <sheetView topLeftCell="H1" workbookViewId="0">
      <selection activeCell="U50" sqref="U50"/>
    </sheetView>
  </sheetViews>
  <sheetFormatPr defaultColWidth="8.85546875" defaultRowHeight="15"/>
  <cols>
    <col min="1" max="1" width="30.140625" customWidth="1"/>
  </cols>
  <sheetData>
    <row r="1" spans="1:39" s="36" customFormat="1" ht="29.25" customHeight="1" thickBot="1">
      <c r="A1" s="88" t="s">
        <v>1063</v>
      </c>
      <c r="B1" s="88"/>
      <c r="C1" s="88"/>
      <c r="D1" s="88"/>
      <c r="E1" s="88"/>
      <c r="F1" s="88"/>
      <c r="G1" s="88"/>
      <c r="H1" s="88"/>
      <c r="I1" s="88"/>
      <c r="J1" s="88"/>
      <c r="K1" s="88"/>
      <c r="L1" s="88"/>
      <c r="M1" s="88"/>
      <c r="N1" s="88"/>
      <c r="O1" s="88"/>
      <c r="P1" s="88"/>
    </row>
    <row r="2" spans="1:39" ht="13.5" customHeight="1">
      <c r="A2" s="9" t="s">
        <v>71</v>
      </c>
      <c r="B2" s="64"/>
      <c r="C2" s="64"/>
      <c r="D2" s="64"/>
      <c r="E2" s="64"/>
      <c r="F2" s="64"/>
      <c r="G2" s="64"/>
      <c r="H2" s="64"/>
      <c r="I2" s="64"/>
      <c r="J2" s="64"/>
      <c r="K2" s="64"/>
      <c r="L2" s="64"/>
      <c r="M2" s="64"/>
      <c r="N2" s="64"/>
      <c r="O2" s="64"/>
      <c r="P2" s="64"/>
    </row>
    <row r="3" spans="1:39" ht="13.5" customHeight="1">
      <c r="A3" s="10" t="s">
        <v>72</v>
      </c>
      <c r="B3" s="64"/>
      <c r="C3" s="64"/>
      <c r="D3" s="64"/>
      <c r="E3" s="64"/>
      <c r="F3" s="64"/>
      <c r="G3" s="64"/>
      <c r="H3" s="64"/>
      <c r="I3" s="64"/>
      <c r="J3" s="64"/>
      <c r="K3" s="64"/>
      <c r="L3" s="64"/>
      <c r="M3" s="64"/>
      <c r="N3" s="64"/>
      <c r="O3" s="64"/>
      <c r="P3" s="64"/>
    </row>
    <row r="4" spans="1:39" ht="13.5" customHeight="1">
      <c r="A4" s="11" t="s">
        <v>73</v>
      </c>
      <c r="B4" s="64"/>
      <c r="C4" s="64"/>
      <c r="D4" s="64"/>
      <c r="E4" s="64"/>
      <c r="F4" s="64"/>
      <c r="G4" s="64"/>
      <c r="H4" s="64"/>
      <c r="I4" s="64"/>
      <c r="J4" s="64"/>
      <c r="K4" s="64"/>
      <c r="L4" s="64"/>
      <c r="M4" s="64"/>
      <c r="N4" s="64"/>
      <c r="O4" s="64"/>
      <c r="P4" s="64"/>
    </row>
    <row r="5" spans="1:39" ht="13.5" customHeight="1">
      <c r="A5" s="12" t="s">
        <v>74</v>
      </c>
      <c r="B5" s="64"/>
      <c r="C5" s="64"/>
      <c r="D5" s="64"/>
      <c r="E5" s="64"/>
      <c r="F5" s="64"/>
      <c r="G5" s="64"/>
      <c r="H5" s="64"/>
      <c r="I5" s="64"/>
      <c r="J5" s="64"/>
      <c r="K5" s="64"/>
      <c r="L5" s="64"/>
      <c r="M5" s="64"/>
      <c r="N5" s="64"/>
      <c r="O5" s="64"/>
      <c r="P5" s="64"/>
    </row>
    <row r="6" spans="1:39" ht="13.5" customHeight="1" thickBot="1">
      <c r="A6" s="13" t="s">
        <v>75</v>
      </c>
      <c r="B6" s="64"/>
      <c r="C6" s="64"/>
      <c r="D6" s="64"/>
      <c r="E6" s="64"/>
      <c r="F6" s="64"/>
      <c r="G6" s="64"/>
      <c r="H6" s="64"/>
      <c r="I6" s="64"/>
      <c r="J6" s="64"/>
      <c r="K6" s="64"/>
      <c r="L6" s="64"/>
      <c r="M6" s="64"/>
      <c r="N6" s="64"/>
      <c r="O6" s="64"/>
      <c r="P6" s="64"/>
    </row>
    <row r="7" spans="1:39" ht="15.95" thickBot="1">
      <c r="A7" s="20" t="s">
        <v>1020</v>
      </c>
      <c r="B7" s="19"/>
      <c r="C7" s="19"/>
      <c r="D7" s="19"/>
      <c r="E7" s="19"/>
      <c r="F7" s="19"/>
      <c r="G7" s="19"/>
      <c r="I7" s="20" t="s">
        <v>1021</v>
      </c>
      <c r="J7" s="19"/>
      <c r="K7" s="19"/>
      <c r="L7" s="19"/>
      <c r="M7" s="19"/>
      <c r="N7" s="19"/>
      <c r="O7" s="19"/>
      <c r="Q7" s="20" t="s">
        <v>1022</v>
      </c>
      <c r="R7" s="19"/>
      <c r="S7" s="19"/>
      <c r="T7" s="19"/>
      <c r="U7" s="19"/>
      <c r="V7" s="19"/>
      <c r="W7" s="19"/>
      <c r="Y7" s="20" t="s">
        <v>1023</v>
      </c>
      <c r="Z7" s="19"/>
      <c r="AA7" s="19"/>
      <c r="AB7" s="19"/>
      <c r="AC7" s="19"/>
      <c r="AD7" s="19"/>
      <c r="AE7" s="19"/>
      <c r="AG7" s="20" t="s">
        <v>1024</v>
      </c>
      <c r="AH7" s="19"/>
      <c r="AI7" s="19"/>
      <c r="AJ7" s="19"/>
      <c r="AK7" s="19"/>
      <c r="AL7" s="19"/>
      <c r="AM7" s="19"/>
    </row>
    <row r="8" spans="1:39" ht="15.95" thickBot="1">
      <c r="A8" s="21" t="s">
        <v>184</v>
      </c>
      <c r="B8" s="6" t="s">
        <v>9</v>
      </c>
      <c r="C8" s="7" t="s">
        <v>10</v>
      </c>
      <c r="D8" s="7" t="s">
        <v>11</v>
      </c>
      <c r="E8" s="7" t="s">
        <v>12</v>
      </c>
      <c r="F8" s="7" t="s">
        <v>13</v>
      </c>
      <c r="G8" s="8" t="s">
        <v>14</v>
      </c>
      <c r="I8" s="21" t="s">
        <v>184</v>
      </c>
      <c r="J8" s="6" t="s">
        <v>9</v>
      </c>
      <c r="K8" s="7" t="s">
        <v>10</v>
      </c>
      <c r="L8" s="7" t="s">
        <v>11</v>
      </c>
      <c r="M8" s="7" t="s">
        <v>12</v>
      </c>
      <c r="N8" s="7" t="s">
        <v>13</v>
      </c>
      <c r="O8" s="8" t="s">
        <v>14</v>
      </c>
      <c r="Q8" s="21" t="s">
        <v>184</v>
      </c>
      <c r="R8" s="6" t="s">
        <v>9</v>
      </c>
      <c r="S8" s="7" t="s">
        <v>10</v>
      </c>
      <c r="T8" s="7" t="s">
        <v>11</v>
      </c>
      <c r="U8" s="7" t="s">
        <v>12</v>
      </c>
      <c r="V8" s="7" t="s">
        <v>13</v>
      </c>
      <c r="W8" s="8" t="s">
        <v>14</v>
      </c>
      <c r="Y8" s="21" t="s">
        <v>184</v>
      </c>
      <c r="Z8" s="6" t="s">
        <v>9</v>
      </c>
      <c r="AA8" s="7" t="s">
        <v>10</v>
      </c>
      <c r="AB8" s="7" t="s">
        <v>11</v>
      </c>
      <c r="AC8" s="7" t="s">
        <v>12</v>
      </c>
      <c r="AD8" s="7" t="s">
        <v>13</v>
      </c>
      <c r="AE8" s="8" t="s">
        <v>14</v>
      </c>
      <c r="AG8" s="21" t="s">
        <v>184</v>
      </c>
      <c r="AH8" s="6" t="s">
        <v>9</v>
      </c>
      <c r="AI8" s="7" t="s">
        <v>10</v>
      </c>
      <c r="AJ8" s="7" t="s">
        <v>11</v>
      </c>
      <c r="AK8" s="7" t="s">
        <v>12</v>
      </c>
      <c r="AL8" s="7" t="s">
        <v>13</v>
      </c>
      <c r="AM8" s="8" t="s">
        <v>14</v>
      </c>
    </row>
    <row r="9" spans="1:39">
      <c r="A9" s="28" t="str">
        <f>IF(NOT(ISBLANK(HLOs!D8)),HLOs!D8,"")</f>
        <v>HLO 1.1: Quantified climate change-related hazards that affect the delivery of agronomic gain</v>
      </c>
      <c r="B9" s="5">
        <f>'Step B - Weight by Scl Impact'!B10*'Step C weights'!B$40</f>
        <v>0.12611372115100153</v>
      </c>
      <c r="C9" s="5">
        <f>'Step B - Weight by Scl Impact'!C10*'Step C weights'!C$40</f>
        <v>0.16314386208902978</v>
      </c>
      <c r="D9" s="5">
        <f>'Step B - Weight by Scl Impact'!D10*'Step C weights'!D$40</f>
        <v>0.23144311542586568</v>
      </c>
      <c r="E9" s="5">
        <f>'Step B - Weight by Scl Impact'!E10*'Step C weights'!E$40</f>
        <v>0.31616550823477063</v>
      </c>
      <c r="F9" s="5">
        <f>'Step B - Weight by Scl Impact'!F10*'Step C weights'!F$40</f>
        <v>0.6473197056412513</v>
      </c>
      <c r="G9" s="5">
        <f>'Step B - Weight by Scl Impact'!G10*'Step C weights'!G$40</f>
        <v>0.13665400744616416</v>
      </c>
      <c r="I9" s="28" t="str">
        <f>A9</f>
        <v>HLO 1.1: Quantified climate change-related hazards that affect the delivery of agronomic gain</v>
      </c>
      <c r="J9" s="5">
        <f>'Step B - Weight by Scl Impact'!J10*'Step C weights'!B$40</f>
        <v>9.3384802715016382E-2</v>
      </c>
      <c r="K9" s="5">
        <f>'Step B - Weight by Scl Impact'!K10*'Step C weights'!C$40</f>
        <v>5.8992296399665294E-2</v>
      </c>
      <c r="L9" s="5">
        <f>'Step B - Weight by Scl Impact'!L10*'Step C weights'!D$40</f>
        <v>0.37684478203274019</v>
      </c>
      <c r="M9" s="5">
        <f>'Step B - Weight by Scl Impact'!M10*'Step C weights'!E$40</f>
        <v>0.50911539409531492</v>
      </c>
      <c r="N9" s="5">
        <f>'Step B - Weight by Scl Impact'!N10*'Step C weights'!F$40</f>
        <v>0.39980805202450748</v>
      </c>
      <c r="O9" s="5">
        <f>'Step B - Weight by Scl Impact'!O10*'Step C weights'!G$40</f>
        <v>1.7812782345741948E-2</v>
      </c>
      <c r="Q9" s="28" t="str">
        <f>I9</f>
        <v>HLO 1.1: Quantified climate change-related hazards that affect the delivery of agronomic gain</v>
      </c>
      <c r="R9" s="5">
        <f>'Step B - Weight by Scl Impact'!R10*'Step C weights'!B$40</f>
        <v>0.28478826533470081</v>
      </c>
      <c r="S9" s="5">
        <f>'Step B - Weight by Scl Impact'!S10*'Step C weights'!C$40</f>
        <v>0.27974008966747343</v>
      </c>
      <c r="T9" s="5">
        <f>'Step B - Weight by Scl Impact'!T10*'Step C weights'!D$40</f>
        <v>0.36215973717405314</v>
      </c>
      <c r="U9" s="5">
        <f>'Step B - Weight by Scl Impact'!U10*'Step C weights'!E$40</f>
        <v>0.35776549326099438</v>
      </c>
      <c r="V9" s="5">
        <f>'Step B - Weight by Scl Impact'!V10*'Step C weights'!F$40</f>
        <v>0.24113775931519857</v>
      </c>
      <c r="W9" s="5">
        <f>'Step B - Weight by Scl Impact'!W10*'Step C weights'!G$40</f>
        <v>0.19672043687106136</v>
      </c>
      <c r="Y9" s="28" t="str">
        <f>A9</f>
        <v>HLO 1.1: Quantified climate change-related hazards that affect the delivery of agronomic gain</v>
      </c>
      <c r="Z9" s="5">
        <f>'Step B - Weight by Scl Impact'!Z10*'Step C weights'!B$40</f>
        <v>0.44507537325072216</v>
      </c>
      <c r="AA9" s="5">
        <f>'Step B - Weight by Scl Impact'!AA10*'Step C weights'!C$40</f>
        <v>0.132821430566333</v>
      </c>
      <c r="AB9" s="5">
        <f>'Step B - Weight by Scl Impact'!AB10*'Step C weights'!D$40</f>
        <v>9.4828532474255975E-2</v>
      </c>
      <c r="AC9" s="5">
        <f>'Step B - Weight by Scl Impact'!AC10*'Step C weights'!E$40</f>
        <v>0.28538487551989722</v>
      </c>
      <c r="AD9" s="5">
        <f>'Step B - Weight by Scl Impact'!AD10*'Step C weights'!F$40</f>
        <v>0.60918687610671152</v>
      </c>
      <c r="AE9" s="5">
        <f>'Step B - Weight by Scl Impact'!AE10*'Step C weights'!G$40</f>
        <v>0.64964886075874462</v>
      </c>
      <c r="AG9" s="28" t="str">
        <f>A9</f>
        <v>HLO 1.1: Quantified climate change-related hazards that affect the delivery of agronomic gain</v>
      </c>
      <c r="AH9" s="5">
        <f>'Step B - Weight by Scl Impact'!AH10*'Step C weights'!B$40</f>
        <v>0.44507537325072216</v>
      </c>
      <c r="AI9" s="5">
        <f>'Step B - Weight by Scl Impact'!AI10*'Step C weights'!C$40</f>
        <v>0.1062571444530664</v>
      </c>
      <c r="AJ9" s="5">
        <f>'Step B - Weight by Scl Impact'!AJ10*'Step C weights'!D$40</f>
        <v>0.12643804329900796</v>
      </c>
      <c r="AK9" s="5">
        <f>'Step B - Weight by Scl Impact'!AK10*'Step C weights'!E$40</f>
        <v>0.17123092531193837</v>
      </c>
      <c r="AL9" s="5">
        <f>'Step B - Weight by Scl Impact'!AL10*'Step C weights'!F$40</f>
        <v>0.48734950088536921</v>
      </c>
      <c r="AM9" s="5">
        <f>'Step B - Weight by Scl Impact'!AM10*'Step C weights'!G$40</f>
        <v>0.25985954430349789</v>
      </c>
    </row>
    <row r="10" spans="1:39">
      <c r="A10" s="28" t="str">
        <f>IF(NOT(ISBLANK(HLOs!D9)),HLOs!D9,"")</f>
        <v>HLO 1.2: Climate hazard-specific inclusive sustainable farming system innovations</v>
      </c>
      <c r="B10" s="5">
        <f>'Step B - Weight by Scl Impact'!B11*'Step C weights'!B$40</f>
        <v>0.12611372115100153</v>
      </c>
      <c r="C10" s="5">
        <f>'Step B - Weight by Scl Impact'!C11*'Step C weights'!C$40</f>
        <v>0.16314386208902978</v>
      </c>
      <c r="D10" s="5">
        <f>'Step B - Weight by Scl Impact'!D11*'Step C weights'!D$40</f>
        <v>0.23144311542586568</v>
      </c>
      <c r="E10" s="5">
        <f>'Step B - Weight by Scl Impact'!E11*'Step C weights'!E$40</f>
        <v>0.31616550823477063</v>
      </c>
      <c r="F10" s="5">
        <f>'Step B - Weight by Scl Impact'!F11*'Step C weights'!F$40</f>
        <v>0.6473197056412513</v>
      </c>
      <c r="G10" s="5">
        <f>'Step B - Weight by Scl Impact'!G11*'Step C weights'!G$40</f>
        <v>0.13665400744616416</v>
      </c>
      <c r="I10" s="28" t="str">
        <f t="shared" ref="I10:I30" si="0">A10</f>
        <v>HLO 1.2: Climate hazard-specific inclusive sustainable farming system innovations</v>
      </c>
      <c r="J10" s="5">
        <f>'Step B - Weight by Scl Impact'!J11*'Step C weights'!B$40</f>
        <v>9.3384802715016382E-2</v>
      </c>
      <c r="K10" s="5">
        <f>'Step B - Weight by Scl Impact'!K11*'Step C weights'!C$40</f>
        <v>5.8992296399665294E-2</v>
      </c>
      <c r="L10" s="5">
        <f>'Step B - Weight by Scl Impact'!L11*'Step C weights'!D$40</f>
        <v>0.37684478203274019</v>
      </c>
      <c r="M10" s="5">
        <f>'Step B - Weight by Scl Impact'!M11*'Step C weights'!E$40</f>
        <v>0.50911539409531492</v>
      </c>
      <c r="N10" s="5">
        <f>'Step B - Weight by Scl Impact'!N11*'Step C weights'!F$40</f>
        <v>0.39980805202450748</v>
      </c>
      <c r="O10" s="5">
        <f>'Step B - Weight by Scl Impact'!O11*'Step C weights'!G$40</f>
        <v>2.2265977932177439E-2</v>
      </c>
      <c r="Q10" s="28" t="str">
        <f t="shared" ref="Q10:Q30" si="1">I10</f>
        <v>HLO 1.2: Climate hazard-specific inclusive sustainable farming system innovations</v>
      </c>
      <c r="R10" s="5">
        <f>'Step B - Weight by Scl Impact'!R11*'Step C weights'!B$40</f>
        <v>0.28478826533470081</v>
      </c>
      <c r="S10" s="5">
        <f>'Step B - Weight by Scl Impact'!S11*'Step C weights'!C$40</f>
        <v>0.27974008966747343</v>
      </c>
      <c r="T10" s="5">
        <f>'Step B - Weight by Scl Impact'!T11*'Step C weights'!D$40</f>
        <v>0.36215973717405314</v>
      </c>
      <c r="U10" s="5">
        <f>'Step B - Weight by Scl Impact'!U11*'Step C weights'!E$40</f>
        <v>0.35776549326099438</v>
      </c>
      <c r="V10" s="5">
        <f>'Step B - Weight by Scl Impact'!V11*'Step C weights'!F$40</f>
        <v>0.24113775931519857</v>
      </c>
      <c r="W10" s="5">
        <f>'Step B - Weight by Scl Impact'!W11*'Step C weights'!G$40</f>
        <v>0.19672043687106136</v>
      </c>
      <c r="Y10" s="28" t="str">
        <f t="shared" ref="Y10:Y30" si="2">Q10</f>
        <v>HLO 1.2: Climate hazard-specific inclusive sustainable farming system innovations</v>
      </c>
      <c r="Z10" s="5">
        <f>'Step B - Weight by Scl Impact'!Z11*'Step C weights'!B$40</f>
        <v>0.55634421656340272</v>
      </c>
      <c r="AA10" s="5">
        <f>'Step B - Weight by Scl Impact'!AA11*'Step C weights'!C$40</f>
        <v>0.132821430566333</v>
      </c>
      <c r="AB10" s="5">
        <f>'Step B - Weight by Scl Impact'!AB11*'Step C weights'!D$40</f>
        <v>9.4828532474255975E-2</v>
      </c>
      <c r="AC10" s="5">
        <f>'Step B - Weight by Scl Impact'!AC11*'Step C weights'!E$40</f>
        <v>0.28538487551989722</v>
      </c>
      <c r="AD10" s="5">
        <f>'Step B - Weight by Scl Impact'!AD11*'Step C weights'!F$40</f>
        <v>0.60918687610671152</v>
      </c>
      <c r="AE10" s="5">
        <f>'Step B - Weight by Scl Impact'!AE11*'Step C weights'!G$40</f>
        <v>0.51971908860699578</v>
      </c>
      <c r="AG10" s="28" t="str">
        <f t="shared" ref="AG10:AG30" si="3">A10</f>
        <v>HLO 1.2: Climate hazard-specific inclusive sustainable farming system innovations</v>
      </c>
      <c r="AH10" s="5">
        <f>'Step B - Weight by Scl Impact'!AH11*'Step C weights'!B$40</f>
        <v>0.44507537325072216</v>
      </c>
      <c r="AI10" s="5">
        <f>'Step B - Weight by Scl Impact'!AI11*'Step C weights'!C$40</f>
        <v>0.1062571444530664</v>
      </c>
      <c r="AJ10" s="5">
        <f>'Step B - Weight by Scl Impact'!AJ11*'Step C weights'!D$40</f>
        <v>0.12643804329900796</v>
      </c>
      <c r="AK10" s="5">
        <f>'Step B - Weight by Scl Impact'!AK11*'Step C weights'!E$40</f>
        <v>0.17123092531193837</v>
      </c>
      <c r="AL10" s="5">
        <f>'Step B - Weight by Scl Impact'!AL11*'Step C weights'!F$40</f>
        <v>0.48734950088536921</v>
      </c>
      <c r="AM10" s="5">
        <f>'Step B - Weight by Scl Impact'!AM11*'Step C weights'!G$40</f>
        <v>0.25985954430349789</v>
      </c>
    </row>
    <row r="11" spans="1:39">
      <c r="A11" s="28" t="str">
        <f>IF(NOT(ISBLANK(HLOs!D10)),HLOs!D10,"")</f>
        <v>HLO 1.3: Training materials for climate adaptation and mitigation</v>
      </c>
      <c r="B11" s="5">
        <f>'Step B - Weight by Scl Impact'!B12*'Step C weights'!B$40</f>
        <v>0.12611372115100153</v>
      </c>
      <c r="C11" s="5">
        <f>'Step B - Weight by Scl Impact'!C12*'Step C weights'!C$40</f>
        <v>8.1571931044514892E-2</v>
      </c>
      <c r="D11" s="5">
        <f>'Step B - Weight by Scl Impact'!D12*'Step C weights'!D$40</f>
        <v>0.23144311542586568</v>
      </c>
      <c r="E11" s="5">
        <f>'Step B - Weight by Scl Impact'!E12*'Step C weights'!E$40</f>
        <v>0.31616550823477063</v>
      </c>
      <c r="F11" s="5">
        <f>'Step B - Weight by Scl Impact'!F12*'Step C weights'!F$40</f>
        <v>0.6473197056412513</v>
      </c>
      <c r="G11" s="5">
        <f>'Step B - Weight by Scl Impact'!G12*'Step C weights'!G$40</f>
        <v>0.13665400744616416</v>
      </c>
      <c r="I11" s="28" t="str">
        <f t="shared" si="0"/>
        <v>HLO 1.3: Training materials for climate adaptation and mitigation</v>
      </c>
      <c r="J11" s="5">
        <f>'Step B - Weight by Scl Impact'!J12*'Step C weights'!B$40</f>
        <v>9.3384802715016382E-2</v>
      </c>
      <c r="K11" s="5">
        <f>'Step B - Weight by Scl Impact'!K12*'Step C weights'!C$40</f>
        <v>5.8992296399665294E-2</v>
      </c>
      <c r="L11" s="5">
        <f>'Step B - Weight by Scl Impact'!L12*'Step C weights'!D$40</f>
        <v>0.37684478203274019</v>
      </c>
      <c r="M11" s="5">
        <f>'Step B - Weight by Scl Impact'!M12*'Step C weights'!E$40</f>
        <v>0.50911539409531492</v>
      </c>
      <c r="N11" s="5">
        <f>'Step B - Weight by Scl Impact'!N12*'Step C weights'!F$40</f>
        <v>0.39980805202450748</v>
      </c>
      <c r="O11" s="5">
        <f>'Step B - Weight by Scl Impact'!O12*'Step C weights'!G$40</f>
        <v>1.7812782345741948E-2</v>
      </c>
      <c r="Q11" s="28" t="str">
        <f t="shared" si="1"/>
        <v>HLO 1.3: Training materials for climate adaptation and mitigation</v>
      </c>
      <c r="R11" s="5">
        <f>'Step B - Weight by Scl Impact'!R12*'Step C weights'!B$40</f>
        <v>0.28478826533470081</v>
      </c>
      <c r="S11" s="5">
        <f>'Step B - Weight by Scl Impact'!S12*'Step C weights'!C$40</f>
        <v>0.27974008966747343</v>
      </c>
      <c r="T11" s="5">
        <f>'Step B - Weight by Scl Impact'!T12*'Step C weights'!D$40</f>
        <v>0.36215973717405314</v>
      </c>
      <c r="U11" s="5">
        <f>'Step B - Weight by Scl Impact'!U12*'Step C weights'!E$40</f>
        <v>0.35776549326099438</v>
      </c>
      <c r="V11" s="5">
        <f>'Step B - Weight by Scl Impact'!V12*'Step C weights'!F$40</f>
        <v>0.24113775931519857</v>
      </c>
      <c r="W11" s="5">
        <f>'Step B - Weight by Scl Impact'!W12*'Step C weights'!G$40</f>
        <v>0.19672043687106136</v>
      </c>
      <c r="Y11" s="28" t="str">
        <f t="shared" si="2"/>
        <v>HLO 1.3: Training materials for climate adaptation and mitigation</v>
      </c>
      <c r="Z11" s="5">
        <f>'Step B - Weight by Scl Impact'!Z12*'Step C weights'!B$40</f>
        <v>0.44507537325072216</v>
      </c>
      <c r="AA11" s="5">
        <f>'Step B - Weight by Scl Impact'!AA12*'Step C weights'!C$40</f>
        <v>0.132821430566333</v>
      </c>
      <c r="AB11" s="5">
        <f>'Step B - Weight by Scl Impact'!AB12*'Step C weights'!D$40</f>
        <v>9.4828532474255975E-2</v>
      </c>
      <c r="AC11" s="5">
        <f>'Step B - Weight by Scl Impact'!AC12*'Step C weights'!E$40</f>
        <v>0.17123092531193837</v>
      </c>
      <c r="AD11" s="5">
        <f>'Step B - Weight by Scl Impact'!AD12*'Step C weights'!F$40</f>
        <v>0.60918687610671152</v>
      </c>
      <c r="AE11" s="5">
        <f>'Step B - Weight by Scl Impact'!AE12*'Step C weights'!G$40</f>
        <v>0.64964886075874462</v>
      </c>
      <c r="AG11" s="28" t="str">
        <f t="shared" si="3"/>
        <v>HLO 1.3: Training materials for climate adaptation and mitigation</v>
      </c>
      <c r="AH11" s="5">
        <f>'Step B - Weight by Scl Impact'!AH12*'Step C weights'!B$40</f>
        <v>0.44507537325072216</v>
      </c>
      <c r="AI11" s="5">
        <f>'Step B - Weight by Scl Impact'!AI12*'Step C weights'!C$40</f>
        <v>0.1062571444530664</v>
      </c>
      <c r="AJ11" s="5">
        <f>'Step B - Weight by Scl Impact'!AJ12*'Step C weights'!D$40</f>
        <v>0.12643804329900796</v>
      </c>
      <c r="AK11" s="5">
        <f>'Step B - Weight by Scl Impact'!AK12*'Step C weights'!E$40</f>
        <v>0.17123092531193837</v>
      </c>
      <c r="AL11" s="5">
        <f>'Step B - Weight by Scl Impact'!AL12*'Step C weights'!F$40</f>
        <v>0.48734950088536921</v>
      </c>
      <c r="AM11" s="5">
        <f>'Step B - Weight by Scl Impact'!AM12*'Step C weights'!G$40</f>
        <v>0.25985954430349789</v>
      </c>
    </row>
    <row r="12" spans="1:39">
      <c r="A12" s="28" t="str">
        <f>IF(NOT(ISBLANK(HLOs!D11)),HLOs!D11,"")</f>
        <v>HLO 1.4: Policy and investment-ready information on sustainable farming solutions</v>
      </c>
      <c r="B12" s="5">
        <f>'Step B - Weight by Scl Impact'!B13*'Step C weights'!B$40</f>
        <v>0.12611372115100153</v>
      </c>
      <c r="C12" s="5">
        <f>'Step B - Weight by Scl Impact'!C13*'Step C weights'!C$40</f>
        <v>0.16314386208902978</v>
      </c>
      <c r="D12" s="5">
        <f>'Step B - Weight by Scl Impact'!D13*'Step C weights'!D$40</f>
        <v>0.23144311542586568</v>
      </c>
      <c r="E12" s="5">
        <f>'Step B - Weight by Scl Impact'!E13*'Step C weights'!E$40</f>
        <v>0.2107770054898471</v>
      </c>
      <c r="F12" s="5">
        <f>'Step B - Weight by Scl Impact'!F13*'Step C weights'!F$40</f>
        <v>0.6473197056412513</v>
      </c>
      <c r="G12" s="5">
        <f>'Step B - Weight by Scl Impact'!G13*'Step C weights'!G$40</f>
        <v>0.13665400744616416</v>
      </c>
      <c r="I12" s="28" t="str">
        <f t="shared" si="0"/>
        <v>HLO 1.4: Policy and investment-ready information on sustainable farming solutions</v>
      </c>
      <c r="J12" s="5">
        <f>'Step B - Weight by Scl Impact'!J13*'Step C weights'!B$40</f>
        <v>9.3384802715016382E-2</v>
      </c>
      <c r="K12" s="5">
        <f>'Step B - Weight by Scl Impact'!K13*'Step C weights'!C$40</f>
        <v>5.8992296399665294E-2</v>
      </c>
      <c r="L12" s="5">
        <f>'Step B - Weight by Scl Impact'!L13*'Step C weights'!D$40</f>
        <v>0.37684478203274019</v>
      </c>
      <c r="M12" s="5">
        <f>'Step B - Weight by Scl Impact'!M13*'Step C weights'!E$40</f>
        <v>0.50911539409531492</v>
      </c>
      <c r="N12" s="5">
        <f>'Step B - Weight by Scl Impact'!N13*'Step C weights'!F$40</f>
        <v>0.39980805202450748</v>
      </c>
      <c r="O12" s="5">
        <f>'Step B - Weight by Scl Impact'!O13*'Step C weights'!G$40</f>
        <v>1.7812782345741948E-2</v>
      </c>
      <c r="Q12" s="28" t="str">
        <f t="shared" si="1"/>
        <v>HLO 1.4: Policy and investment-ready information on sustainable farming solutions</v>
      </c>
      <c r="R12" s="5">
        <f>'Step B - Weight by Scl Impact'!R13*'Step C weights'!B$40</f>
        <v>0.28478826533470081</v>
      </c>
      <c r="S12" s="5">
        <f>'Step B - Weight by Scl Impact'!S13*'Step C weights'!C$40</f>
        <v>0.27974008966747343</v>
      </c>
      <c r="T12" s="5">
        <f>'Step B - Weight by Scl Impact'!T13*'Step C weights'!D$40</f>
        <v>0.36215973717405314</v>
      </c>
      <c r="U12" s="5">
        <f>'Step B - Weight by Scl Impact'!U13*'Step C weights'!E$40</f>
        <v>0.35776549326099438</v>
      </c>
      <c r="V12" s="5">
        <f>'Step B - Weight by Scl Impact'!V13*'Step C weights'!F$40</f>
        <v>0.24113775931519857</v>
      </c>
      <c r="W12" s="5">
        <f>'Step B - Weight by Scl Impact'!W13*'Step C weights'!G$40</f>
        <v>0.19672043687106136</v>
      </c>
      <c r="Y12" s="28" t="str">
        <f t="shared" si="2"/>
        <v>HLO 1.4: Policy and investment-ready information on sustainable farming solutions</v>
      </c>
      <c r="Z12" s="5">
        <f>'Step B - Weight by Scl Impact'!Z13*'Step C weights'!B$40</f>
        <v>0.55634421656340272</v>
      </c>
      <c r="AA12" s="5">
        <f>'Step B - Weight by Scl Impact'!AA13*'Step C weights'!C$40</f>
        <v>0.1062571444530664</v>
      </c>
      <c r="AB12" s="5">
        <f>'Step B - Weight by Scl Impact'!AB13*'Step C weights'!D$40</f>
        <v>9.4828532474255975E-2</v>
      </c>
      <c r="AC12" s="5">
        <f>'Step B - Weight by Scl Impact'!AC13*'Step C weights'!E$40</f>
        <v>0.17123092531193837</v>
      </c>
      <c r="AD12" s="5">
        <f>'Step B - Weight by Scl Impact'!AD13*'Step C weights'!F$40</f>
        <v>0.60918687610671152</v>
      </c>
      <c r="AE12" s="5">
        <f>'Step B - Weight by Scl Impact'!AE13*'Step C weights'!G$40</f>
        <v>0.64964886075874462</v>
      </c>
      <c r="AG12" s="28" t="str">
        <f t="shared" si="3"/>
        <v>HLO 1.4: Policy and investment-ready information on sustainable farming solutions</v>
      </c>
      <c r="AH12" s="5">
        <f>'Step B - Weight by Scl Impact'!AH13*'Step C weights'!B$40</f>
        <v>0.44507537325072216</v>
      </c>
      <c r="AI12" s="5">
        <f>'Step B - Weight by Scl Impact'!AI13*'Step C weights'!C$40</f>
        <v>0.1062571444530664</v>
      </c>
      <c r="AJ12" s="5">
        <f>'Step B - Weight by Scl Impact'!AJ13*'Step C weights'!D$40</f>
        <v>9.4828532474255975E-2</v>
      </c>
      <c r="AK12" s="5">
        <f>'Step B - Weight by Scl Impact'!AK13*'Step C weights'!E$40</f>
        <v>0.17123092531193837</v>
      </c>
      <c r="AL12" s="5">
        <f>'Step B - Weight by Scl Impact'!AL13*'Step C weights'!F$40</f>
        <v>0.48734950088536921</v>
      </c>
      <c r="AM12" s="5">
        <f>'Step B - Weight by Scl Impact'!AM13*'Step C weights'!G$40</f>
        <v>0.25985954430349789</v>
      </c>
    </row>
    <row r="13" spans="1:39">
      <c r="A13" s="28" t="str">
        <f>IF(NOT(ISBLANK(HLOs!D12)),HLOs!D12,"")</f>
        <v>HLO 2.1: Spatially-explicit recommendation decision support models for soil nutrient constraints</v>
      </c>
      <c r="B13" s="5">
        <f>'Step B - Weight by Scl Impact'!B14*'Step C weights'!B$40</f>
        <v>0.1576421514387519</v>
      </c>
      <c r="C13" s="5">
        <f>'Step B - Weight by Scl Impact'!C14*'Step C weights'!C$40</f>
        <v>0.20392982761128725</v>
      </c>
      <c r="D13" s="5">
        <f>'Step B - Weight by Scl Impact'!D14*'Step C weights'!D$40</f>
        <v>0.23144311542586568</v>
      </c>
      <c r="E13" s="5">
        <f>'Step B - Weight by Scl Impact'!E14*'Step C weights'!E$40</f>
        <v>0.52694251372461776</v>
      </c>
      <c r="F13" s="5">
        <f>'Step B - Weight by Scl Impact'!F14*'Step C weights'!F$40</f>
        <v>0.80914963205156409</v>
      </c>
      <c r="G13" s="5">
        <f>'Step B - Weight by Scl Impact'!G14*'Step C weights'!G$40</f>
        <v>0.17081750930770523</v>
      </c>
      <c r="I13" s="28" t="str">
        <f t="shared" si="0"/>
        <v>HLO 2.1: Spatially-explicit recommendation decision support models for soil nutrient constraints</v>
      </c>
      <c r="J13" s="5">
        <f>'Step B - Weight by Scl Impact'!J14*'Step C weights'!B$40</f>
        <v>0.11673100339377046</v>
      </c>
      <c r="K13" s="5">
        <f>'Step B - Weight by Scl Impact'!K14*'Step C weights'!C$40</f>
        <v>7.3740370499581612E-2</v>
      </c>
      <c r="L13" s="5">
        <f>'Step B - Weight by Scl Impact'!L14*'Step C weights'!D$40</f>
        <v>0.62807463672123354</v>
      </c>
      <c r="M13" s="5">
        <f>'Step B - Weight by Scl Impact'!M14*'Step C weights'!E$40</f>
        <v>0.50911539409531492</v>
      </c>
      <c r="N13" s="5">
        <f>'Step B - Weight by Scl Impact'!N14*'Step C weights'!F$40</f>
        <v>0.49976006503063436</v>
      </c>
      <c r="O13" s="5">
        <f>'Step B - Weight by Scl Impact'!O14*'Step C weights'!G$40</f>
        <v>2.2265977932177439E-2</v>
      </c>
      <c r="Q13" s="28" t="str">
        <f t="shared" si="1"/>
        <v>HLO 2.1: Spatially-explicit recommendation decision support models for soil nutrient constraints</v>
      </c>
      <c r="R13" s="5">
        <f>'Step B - Weight by Scl Impact'!R14*'Step C weights'!B$40</f>
        <v>0.35598533166837598</v>
      </c>
      <c r="S13" s="5">
        <f>'Step B - Weight by Scl Impact'!S14*'Step C weights'!C$40</f>
        <v>0.20980506725060508</v>
      </c>
      <c r="T13" s="5">
        <f>'Step B - Weight by Scl Impact'!T14*'Step C weights'!D$40</f>
        <v>0.36215973717405314</v>
      </c>
      <c r="U13" s="5">
        <f>'Step B - Weight by Scl Impact'!U14*'Step C weights'!E$40</f>
        <v>0.44720686657624303</v>
      </c>
      <c r="V13" s="5">
        <f>'Step B - Weight by Scl Impact'!V14*'Step C weights'!F$40</f>
        <v>0.40189626552533098</v>
      </c>
      <c r="W13" s="5">
        <f>'Step B - Weight by Scl Impact'!W14*'Step C weights'!G$40</f>
        <v>0.24590054608882669</v>
      </c>
      <c r="Y13" s="28" t="str">
        <f t="shared" si="2"/>
        <v>HLO 2.1: Spatially-explicit recommendation decision support models for soil nutrient constraints</v>
      </c>
      <c r="Z13" s="5">
        <f>'Step B - Weight by Scl Impact'!Z14*'Step C weights'!B$40</f>
        <v>0.55634421656340272</v>
      </c>
      <c r="AA13" s="5">
        <f>'Step B - Weight by Scl Impact'!AA14*'Step C weights'!C$40</f>
        <v>0.132821430566333</v>
      </c>
      <c r="AB13" s="5">
        <f>'Step B - Weight by Scl Impact'!AB14*'Step C weights'!D$40</f>
        <v>9.4828532474255975E-2</v>
      </c>
      <c r="AC13" s="5">
        <f>'Step B - Weight by Scl Impact'!AC14*'Step C weights'!E$40</f>
        <v>0.17123092531193837</v>
      </c>
      <c r="AD13" s="5">
        <f>'Step B - Weight by Scl Impact'!AD14*'Step C weights'!F$40</f>
        <v>0.60918687610671152</v>
      </c>
      <c r="AE13" s="5">
        <f>'Step B - Weight by Scl Impact'!AE14*'Step C weights'!G$40</f>
        <v>0.64964886075874462</v>
      </c>
      <c r="AG13" s="28" t="str">
        <f t="shared" si="3"/>
        <v>HLO 2.1: Spatially-explicit recommendation decision support models for soil nutrient constraints</v>
      </c>
      <c r="AH13" s="5">
        <f>'Step B - Weight by Scl Impact'!AH14*'Step C weights'!B$40</f>
        <v>0.55634421656340272</v>
      </c>
      <c r="AI13" s="5">
        <f>'Step B - Weight by Scl Impact'!AI14*'Step C weights'!C$40</f>
        <v>0.132821430566333</v>
      </c>
      <c r="AJ13" s="5">
        <f>'Step B - Weight by Scl Impact'!AJ14*'Step C weights'!D$40</f>
        <v>0.15804755412375995</v>
      </c>
      <c r="AK13" s="5">
        <f>'Step B - Weight by Scl Impact'!AK14*'Step C weights'!E$40</f>
        <v>0.28538487551989722</v>
      </c>
      <c r="AL13" s="5">
        <f>'Step B - Weight by Scl Impact'!AL14*'Step C weights'!F$40</f>
        <v>0.60918687610671152</v>
      </c>
      <c r="AM13" s="5">
        <f>'Step B - Weight by Scl Impact'!AM14*'Step C weights'!G$40</f>
        <v>0.64964886075874462</v>
      </c>
    </row>
    <row r="14" spans="1:39">
      <c r="A14" s="28" t="str">
        <f>IF(NOT(ISBLANK(HLOs!D13)),HLOs!D13,"")</f>
        <v>HLO 2.2: Expanded data-driven agronomic recommendations for site-specific nutrient management</v>
      </c>
      <c r="B14" s="5">
        <f>'Step B - Weight by Scl Impact'!B15*'Step C weights'!B$40</f>
        <v>0.1576421514387519</v>
      </c>
      <c r="C14" s="5">
        <f>'Step B - Weight by Scl Impact'!C15*'Step C weights'!C$40</f>
        <v>0.16314386208902978</v>
      </c>
      <c r="D14" s="5">
        <f>'Step B - Weight by Scl Impact'!D15*'Step C weights'!D$40</f>
        <v>0.23144311542586568</v>
      </c>
      <c r="E14" s="5">
        <f>'Step B - Weight by Scl Impact'!E15*'Step C weights'!E$40</f>
        <v>0.52694251372461776</v>
      </c>
      <c r="F14" s="5">
        <f>'Step B - Weight by Scl Impact'!F15*'Step C weights'!F$40</f>
        <v>0.80914963205156409</v>
      </c>
      <c r="G14" s="5">
        <f>'Step B - Weight by Scl Impact'!G15*'Step C weights'!G$40</f>
        <v>0.13665400744616416</v>
      </c>
      <c r="I14" s="28" t="str">
        <f t="shared" si="0"/>
        <v>HLO 2.2: Expanded data-driven agronomic recommendations for site-specific nutrient management</v>
      </c>
      <c r="J14" s="5">
        <f>'Step B - Weight by Scl Impact'!J15*'Step C weights'!B$40</f>
        <v>0.11673100339377046</v>
      </c>
      <c r="K14" s="5">
        <f>'Step B - Weight by Scl Impact'!K15*'Step C weights'!C$40</f>
        <v>5.8992296399665294E-2</v>
      </c>
      <c r="L14" s="5">
        <f>'Step B - Weight by Scl Impact'!L15*'Step C weights'!D$40</f>
        <v>0.37684478203274019</v>
      </c>
      <c r="M14" s="5">
        <f>'Step B - Weight by Scl Impact'!M15*'Step C weights'!E$40</f>
        <v>0.50911539409531492</v>
      </c>
      <c r="N14" s="5">
        <f>'Step B - Weight by Scl Impact'!N15*'Step C weights'!F$40</f>
        <v>0.49976006503063436</v>
      </c>
      <c r="O14" s="5">
        <f>'Step B - Weight by Scl Impact'!O15*'Step C weights'!G$40</f>
        <v>8.9063911728709741E-3</v>
      </c>
      <c r="Q14" s="28" t="str">
        <f t="shared" si="1"/>
        <v>HLO 2.2: Expanded data-driven agronomic recommendations for site-specific nutrient management</v>
      </c>
      <c r="R14" s="5">
        <f>'Step B - Weight by Scl Impact'!R15*'Step C weights'!B$40</f>
        <v>0.35598533166837598</v>
      </c>
      <c r="S14" s="5">
        <f>'Step B - Weight by Scl Impact'!S15*'Step C weights'!C$40</f>
        <v>0.13987004483373672</v>
      </c>
      <c r="T14" s="5">
        <f>'Step B - Weight by Scl Impact'!T15*'Step C weights'!D$40</f>
        <v>0.27161980288053988</v>
      </c>
      <c r="U14" s="5">
        <f>'Step B - Weight by Scl Impact'!U15*'Step C weights'!E$40</f>
        <v>0.26832411994574579</v>
      </c>
      <c r="V14" s="5">
        <f>'Step B - Weight by Scl Impact'!V15*'Step C weights'!F$40</f>
        <v>0.24113775931519857</v>
      </c>
      <c r="W14" s="5">
        <f>'Step B - Weight by Scl Impact'!W15*'Step C weights'!G$40</f>
        <v>0.24590054608882669</v>
      </c>
      <c r="Y14" s="28" t="str">
        <f t="shared" si="2"/>
        <v>HLO 2.2: Expanded data-driven agronomic recommendations for site-specific nutrient management</v>
      </c>
      <c r="Z14" s="5">
        <f>'Step B - Weight by Scl Impact'!Z15*'Step C weights'!B$40</f>
        <v>0.44507537325072216</v>
      </c>
      <c r="AA14" s="5">
        <f>'Step B - Weight by Scl Impact'!AA15*'Step C weights'!C$40</f>
        <v>5.3128572226533201E-2</v>
      </c>
      <c r="AB14" s="5">
        <f>'Step B - Weight by Scl Impact'!AB15*'Step C weights'!D$40</f>
        <v>9.4828532474255975E-2</v>
      </c>
      <c r="AC14" s="5">
        <f>'Step B - Weight by Scl Impact'!AC15*'Step C weights'!E$40</f>
        <v>0.1141539502079589</v>
      </c>
      <c r="AD14" s="5">
        <f>'Step B - Weight by Scl Impact'!AD15*'Step C weights'!F$40</f>
        <v>0.60918687610671152</v>
      </c>
      <c r="AE14" s="5">
        <f>'Step B - Weight by Scl Impact'!AE15*'Step C weights'!G$40</f>
        <v>0.51971908860699578</v>
      </c>
      <c r="AG14" s="28" t="str">
        <f t="shared" si="3"/>
        <v>HLO 2.2: Expanded data-driven agronomic recommendations for site-specific nutrient management</v>
      </c>
      <c r="AH14" s="5">
        <f>'Step B - Weight by Scl Impact'!AH15*'Step C weights'!B$40</f>
        <v>0.55634421656340272</v>
      </c>
      <c r="AI14" s="5">
        <f>'Step B - Weight by Scl Impact'!AI15*'Step C weights'!C$40</f>
        <v>0.132821430566333</v>
      </c>
      <c r="AJ14" s="5">
        <f>'Step B - Weight by Scl Impact'!AJ15*'Step C weights'!D$40</f>
        <v>9.4828532474255975E-2</v>
      </c>
      <c r="AK14" s="5">
        <f>'Step B - Weight by Scl Impact'!AK15*'Step C weights'!E$40</f>
        <v>0.17123092531193837</v>
      </c>
      <c r="AL14" s="5">
        <f>'Step B - Weight by Scl Impact'!AL15*'Step C weights'!F$40</f>
        <v>0.60918687610671152</v>
      </c>
      <c r="AM14" s="5">
        <f>'Step B - Weight by Scl Impact'!AM15*'Step C weights'!G$40</f>
        <v>0.25985954430349789</v>
      </c>
    </row>
    <row r="15" spans="1:39">
      <c r="A15" s="28" t="str">
        <f>IF(NOT(ISBLANK(HLOs!D14)),HLOs!D14,"")</f>
        <v>HLO 2.3: Training materials for site-specific nutrient management</v>
      </c>
      <c r="B15" s="5">
        <f>'Step B - Weight by Scl Impact'!B16*'Step C weights'!B$40</f>
        <v>0.1576421514387519</v>
      </c>
      <c r="C15" s="5">
        <f>'Step B - Weight by Scl Impact'!C16*'Step C weights'!C$40</f>
        <v>8.1571931044514892E-2</v>
      </c>
      <c r="D15" s="5">
        <f>'Step B - Weight by Scl Impact'!D16*'Step C weights'!D$40</f>
        <v>0.23144311542586568</v>
      </c>
      <c r="E15" s="5">
        <f>'Step B - Weight by Scl Impact'!E16*'Step C weights'!E$40</f>
        <v>0.31616550823477063</v>
      </c>
      <c r="F15" s="5">
        <f>'Step B - Weight by Scl Impact'!F16*'Step C weights'!F$40</f>
        <v>0.80914963205156409</v>
      </c>
      <c r="G15" s="5">
        <f>'Step B - Weight by Scl Impact'!G16*'Step C weights'!G$40</f>
        <v>0.13665400744616416</v>
      </c>
      <c r="I15" s="28" t="str">
        <f t="shared" si="0"/>
        <v>HLO 2.3: Training materials for site-specific nutrient management</v>
      </c>
      <c r="J15" s="5">
        <f>'Step B - Weight by Scl Impact'!J16*'Step C weights'!B$40</f>
        <v>0.11673100339377046</v>
      </c>
      <c r="K15" s="5">
        <f>'Step B - Weight by Scl Impact'!K16*'Step C weights'!C$40</f>
        <v>7.3740370499581612E-2</v>
      </c>
      <c r="L15" s="5">
        <f>'Step B - Weight by Scl Impact'!L16*'Step C weights'!D$40</f>
        <v>0.37684478203274019</v>
      </c>
      <c r="M15" s="5">
        <f>'Step B - Weight by Scl Impact'!M16*'Step C weights'!E$40</f>
        <v>0.50911539409531492</v>
      </c>
      <c r="N15" s="5">
        <f>'Step B - Weight by Scl Impact'!N16*'Step C weights'!F$40</f>
        <v>0.49976006503063436</v>
      </c>
      <c r="O15" s="5">
        <f>'Step B - Weight by Scl Impact'!O16*'Step C weights'!G$40</f>
        <v>1.7812782345741948E-2</v>
      </c>
      <c r="Q15" s="28" t="str">
        <f t="shared" si="1"/>
        <v>HLO 2.3: Training materials for site-specific nutrient management</v>
      </c>
      <c r="R15" s="5">
        <f>'Step B - Weight by Scl Impact'!R16*'Step C weights'!B$40</f>
        <v>0.35598533166837598</v>
      </c>
      <c r="S15" s="5">
        <f>'Step B - Weight by Scl Impact'!S16*'Step C weights'!C$40</f>
        <v>0.13987004483373672</v>
      </c>
      <c r="T15" s="5">
        <f>'Step B - Weight by Scl Impact'!T16*'Step C weights'!D$40</f>
        <v>0.27161980288053988</v>
      </c>
      <c r="U15" s="5">
        <f>'Step B - Weight by Scl Impact'!U16*'Step C weights'!E$40</f>
        <v>0.26832411994574579</v>
      </c>
      <c r="V15" s="5">
        <f>'Step B - Weight by Scl Impact'!V16*'Step C weights'!F$40</f>
        <v>0.16075850621013241</v>
      </c>
      <c r="W15" s="5">
        <f>'Step B - Weight by Scl Impact'!W16*'Step C weights'!G$40</f>
        <v>0.24590054608882669</v>
      </c>
      <c r="Y15" s="28" t="str">
        <f t="shared" si="2"/>
        <v>HLO 2.3: Training materials for site-specific nutrient management</v>
      </c>
      <c r="Z15" s="5">
        <f>'Step B - Weight by Scl Impact'!Z16*'Step C weights'!B$40</f>
        <v>0.55634421656340272</v>
      </c>
      <c r="AA15" s="5">
        <f>'Step B - Weight by Scl Impact'!AA16*'Step C weights'!C$40</f>
        <v>5.3128572226533201E-2</v>
      </c>
      <c r="AB15" s="5">
        <f>'Step B - Weight by Scl Impact'!AB16*'Step C weights'!D$40</f>
        <v>6.3219021649503979E-2</v>
      </c>
      <c r="AC15" s="5">
        <f>'Step B - Weight by Scl Impact'!AC16*'Step C weights'!E$40</f>
        <v>0.17123092531193837</v>
      </c>
      <c r="AD15" s="5">
        <f>'Step B - Weight by Scl Impact'!AD16*'Step C weights'!F$40</f>
        <v>0.60918687610671152</v>
      </c>
      <c r="AE15" s="5">
        <f>'Step B - Weight by Scl Impact'!AE16*'Step C weights'!G$40</f>
        <v>0.25985954430349789</v>
      </c>
      <c r="AG15" s="28" t="str">
        <f t="shared" si="3"/>
        <v>HLO 2.3: Training materials for site-specific nutrient management</v>
      </c>
      <c r="AH15" s="5">
        <f>'Step B - Weight by Scl Impact'!AH16*'Step C weights'!B$40</f>
        <v>0.55634421656340272</v>
      </c>
      <c r="AI15" s="5">
        <f>'Step B - Weight by Scl Impact'!AI16*'Step C weights'!C$40</f>
        <v>0.132821430566333</v>
      </c>
      <c r="AJ15" s="5">
        <f>'Step B - Weight by Scl Impact'!AJ16*'Step C weights'!D$40</f>
        <v>9.4828532474255975E-2</v>
      </c>
      <c r="AK15" s="5">
        <f>'Step B - Weight by Scl Impact'!AK16*'Step C weights'!E$40</f>
        <v>0.1141539502079589</v>
      </c>
      <c r="AL15" s="5">
        <f>'Step B - Weight by Scl Impact'!AL16*'Step C weights'!F$40</f>
        <v>0.24367475044268461</v>
      </c>
      <c r="AM15" s="5">
        <f>'Step B - Weight by Scl Impact'!AM16*'Step C weights'!G$40</f>
        <v>0.38978931645524678</v>
      </c>
    </row>
    <row r="16" spans="1:39">
      <c r="A16" s="28" t="str">
        <f>IF(NOT(ISBLANK(HLOs!D15)),HLOs!D15,"")</f>
        <v>HLO 2.4: Evidence for policy recommendations for precision nutrient management</v>
      </c>
      <c r="B16" s="5">
        <f>'Step B - Weight by Scl Impact'!B17*'Step C weights'!B$40</f>
        <v>0.12611372115100153</v>
      </c>
      <c r="C16" s="5">
        <f>'Step B - Weight by Scl Impact'!C17*'Step C weights'!C$40</f>
        <v>0.16314386208902978</v>
      </c>
      <c r="D16" s="5">
        <f>'Step B - Weight by Scl Impact'!D17*'Step C weights'!D$40</f>
        <v>0.15429541028391047</v>
      </c>
      <c r="E16" s="5">
        <f>'Step B - Weight by Scl Impact'!E17*'Step C weights'!E$40</f>
        <v>0.52694251372461776</v>
      </c>
      <c r="F16" s="5">
        <f>'Step B - Weight by Scl Impact'!F17*'Step C weights'!F$40</f>
        <v>0.6473197056412513</v>
      </c>
      <c r="G16" s="5">
        <f>'Step B - Weight by Scl Impact'!G17*'Step C weights'!G$40</f>
        <v>0.13665400744616416</v>
      </c>
      <c r="I16" s="28" t="str">
        <f t="shared" si="0"/>
        <v>HLO 2.4: Evidence for policy recommendations for precision nutrient management</v>
      </c>
      <c r="J16" s="5">
        <f>'Step B - Weight by Scl Impact'!J17*'Step C weights'!B$40</f>
        <v>9.3384802715016382E-2</v>
      </c>
      <c r="K16" s="5">
        <f>'Step B - Weight by Scl Impact'!K17*'Step C weights'!C$40</f>
        <v>5.8992296399665294E-2</v>
      </c>
      <c r="L16" s="5">
        <f>'Step B - Weight by Scl Impact'!L17*'Step C weights'!D$40</f>
        <v>0.25122985468849346</v>
      </c>
      <c r="M16" s="5">
        <f>'Step B - Weight by Scl Impact'!M17*'Step C weights'!E$40</f>
        <v>0.33941026273020997</v>
      </c>
      <c r="N16" s="5">
        <f>'Step B - Weight by Scl Impact'!N17*'Step C weights'!F$40</f>
        <v>0.19990402601225374</v>
      </c>
      <c r="O16" s="5">
        <f>'Step B - Weight by Scl Impact'!O17*'Step C weights'!G$40</f>
        <v>8.9063911728709741E-3</v>
      </c>
      <c r="Q16" s="28" t="str">
        <f t="shared" si="1"/>
        <v>HLO 2.4: Evidence for policy recommendations for precision nutrient management</v>
      </c>
      <c r="R16" s="5">
        <f>'Step B - Weight by Scl Impact'!R17*'Step C weights'!B$40</f>
        <v>0.28478826533470081</v>
      </c>
      <c r="S16" s="5">
        <f>'Step B - Weight by Scl Impact'!S17*'Step C weights'!C$40</f>
        <v>0.13987004483373672</v>
      </c>
      <c r="T16" s="5">
        <f>'Step B - Weight by Scl Impact'!T17*'Step C weights'!D$40</f>
        <v>0.27161980288053988</v>
      </c>
      <c r="U16" s="5">
        <f>'Step B - Weight by Scl Impact'!U17*'Step C weights'!E$40</f>
        <v>0.26832411994574579</v>
      </c>
      <c r="V16" s="5">
        <f>'Step B - Weight by Scl Impact'!V17*'Step C weights'!F$40</f>
        <v>0.16075850621013241</v>
      </c>
      <c r="W16" s="5">
        <f>'Step B - Weight by Scl Impact'!W17*'Step C weights'!G$40</f>
        <v>0.19672043687106136</v>
      </c>
      <c r="Y16" s="28" t="str">
        <f t="shared" si="2"/>
        <v>HLO 2.4: Evidence for policy recommendations for precision nutrient management</v>
      </c>
      <c r="Z16" s="5">
        <f>'Step B - Weight by Scl Impact'!Z17*'Step C weights'!B$40</f>
        <v>0.55634421656340272</v>
      </c>
      <c r="AA16" s="5">
        <f>'Step B - Weight by Scl Impact'!AA17*'Step C weights'!C$40</f>
        <v>5.3128572226533201E-2</v>
      </c>
      <c r="AB16" s="5">
        <f>'Step B - Weight by Scl Impact'!AB17*'Step C weights'!D$40</f>
        <v>6.3219021649503979E-2</v>
      </c>
      <c r="AC16" s="5">
        <f>'Step B - Weight by Scl Impact'!AC17*'Step C weights'!E$40</f>
        <v>0.17123092531193837</v>
      </c>
      <c r="AD16" s="5">
        <f>'Step B - Weight by Scl Impact'!AD17*'Step C weights'!F$40</f>
        <v>0.24367475044268461</v>
      </c>
      <c r="AE16" s="5">
        <f>'Step B - Weight by Scl Impact'!AE17*'Step C weights'!G$40</f>
        <v>0.25985954430349789</v>
      </c>
      <c r="AG16" s="28" t="str">
        <f t="shared" si="3"/>
        <v>HLO 2.4: Evidence for policy recommendations for precision nutrient management</v>
      </c>
      <c r="AH16" s="5">
        <f>'Step B - Weight by Scl Impact'!AH17*'Step C weights'!B$40</f>
        <v>0.22253768662536108</v>
      </c>
      <c r="AI16" s="5">
        <f>'Step B - Weight by Scl Impact'!AI17*'Step C weights'!C$40</f>
        <v>0.1062571444530664</v>
      </c>
      <c r="AJ16" s="5">
        <f>'Step B - Weight by Scl Impact'!AJ17*'Step C weights'!D$40</f>
        <v>9.4828532474255975E-2</v>
      </c>
      <c r="AK16" s="5">
        <f>'Step B - Weight by Scl Impact'!AK17*'Step C weights'!E$40</f>
        <v>0.1141539502079589</v>
      </c>
      <c r="AL16" s="5">
        <f>'Step B - Weight by Scl Impact'!AL17*'Step C weights'!F$40</f>
        <v>0.60918687610671152</v>
      </c>
      <c r="AM16" s="5">
        <f>'Step B - Weight by Scl Impact'!AM17*'Step C weights'!G$40</f>
        <v>0.25985954430349789</v>
      </c>
    </row>
    <row r="17" spans="1:39">
      <c r="A17" s="28" t="str">
        <f>IF(NOT(ISBLANK(HLOs!D16)),HLOs!D16,"")</f>
        <v>HLO 3.1: Soil health monitoring and assessment framework operationalized</v>
      </c>
      <c r="B17" s="5">
        <f>'Step B - Weight by Scl Impact'!B18*'Step C weights'!B$40</f>
        <v>0.1576421514387519</v>
      </c>
      <c r="C17" s="5">
        <f>'Step B - Weight by Scl Impact'!C18*'Step C weights'!C$40</f>
        <v>0.20392982761128725</v>
      </c>
      <c r="D17" s="5">
        <f>'Step B - Weight by Scl Impact'!D18*'Step C weights'!D$40</f>
        <v>0.15429541028391047</v>
      </c>
      <c r="E17" s="5">
        <f>'Step B - Weight by Scl Impact'!E18*'Step C weights'!E$40</f>
        <v>0.2107770054898471</v>
      </c>
      <c r="F17" s="5">
        <f>'Step B - Weight by Scl Impact'!F18*'Step C weights'!F$40</f>
        <v>0.6473197056412513</v>
      </c>
      <c r="G17" s="5">
        <f>'Step B - Weight by Scl Impact'!G18*'Step C weights'!G$40</f>
        <v>0.17081750930770523</v>
      </c>
      <c r="I17" s="28" t="str">
        <f t="shared" si="0"/>
        <v>HLO 3.1: Soil health monitoring and assessment framework operationalized</v>
      </c>
      <c r="J17" s="5">
        <f>'Step B - Weight by Scl Impact'!J18*'Step C weights'!B$40</f>
        <v>0.11673100339377046</v>
      </c>
      <c r="K17" s="5">
        <f>'Step B - Weight by Scl Impact'!K18*'Step C weights'!C$40</f>
        <v>7.3740370499581612E-2</v>
      </c>
      <c r="L17" s="5">
        <f>'Step B - Weight by Scl Impact'!L18*'Step C weights'!D$40</f>
        <v>0.25122985468849346</v>
      </c>
      <c r="M17" s="5">
        <f>'Step B - Weight by Scl Impact'!M18*'Step C weights'!E$40</f>
        <v>0.33941026273020997</v>
      </c>
      <c r="N17" s="5">
        <f>'Step B - Weight by Scl Impact'!N18*'Step C weights'!F$40</f>
        <v>0.19990402601225374</v>
      </c>
      <c r="O17" s="5">
        <f>'Step B - Weight by Scl Impact'!O18*'Step C weights'!G$40</f>
        <v>2.2265977932177439E-2</v>
      </c>
      <c r="Q17" s="28" t="str">
        <f t="shared" si="1"/>
        <v>HLO 3.1: Soil health monitoring and assessment framework operationalized</v>
      </c>
      <c r="R17" s="5">
        <f>'Step B - Weight by Scl Impact'!R18*'Step C weights'!B$40</f>
        <v>0.35598533166837598</v>
      </c>
      <c r="S17" s="5">
        <f>'Step B - Weight by Scl Impact'!S18*'Step C weights'!C$40</f>
        <v>0.13987004483373672</v>
      </c>
      <c r="T17" s="5">
        <f>'Step B - Weight by Scl Impact'!T18*'Step C weights'!D$40</f>
        <v>0.27161980288053988</v>
      </c>
      <c r="U17" s="5">
        <f>'Step B - Weight by Scl Impact'!U18*'Step C weights'!E$40</f>
        <v>0.26832411994574579</v>
      </c>
      <c r="V17" s="5">
        <f>'Step B - Weight by Scl Impact'!V18*'Step C weights'!F$40</f>
        <v>0.40189626552533098</v>
      </c>
      <c r="W17" s="5">
        <f>'Step B - Weight by Scl Impact'!W18*'Step C weights'!G$40</f>
        <v>0.24590054608882669</v>
      </c>
      <c r="Y17" s="28" t="str">
        <f t="shared" si="2"/>
        <v>HLO 3.1: Soil health monitoring and assessment framework operationalized</v>
      </c>
      <c r="Z17" s="5">
        <f>'Step B - Weight by Scl Impact'!Z18*'Step C weights'!B$40</f>
        <v>0.55634421656340272</v>
      </c>
      <c r="AA17" s="5">
        <f>'Step B - Weight by Scl Impact'!AA18*'Step C weights'!C$40</f>
        <v>0.1062571444530664</v>
      </c>
      <c r="AB17" s="5">
        <f>'Step B - Weight by Scl Impact'!AB18*'Step C weights'!D$40</f>
        <v>0.12643804329900796</v>
      </c>
      <c r="AC17" s="5">
        <f>'Step B - Weight by Scl Impact'!AC18*'Step C weights'!E$40</f>
        <v>0.1141539502079589</v>
      </c>
      <c r="AD17" s="5">
        <f>'Step B - Weight by Scl Impact'!AD18*'Step C weights'!F$40</f>
        <v>0.24367475044268461</v>
      </c>
      <c r="AE17" s="5">
        <f>'Step B - Weight by Scl Impact'!AE18*'Step C weights'!G$40</f>
        <v>0.64964886075874462</v>
      </c>
      <c r="AG17" s="28" t="str">
        <f t="shared" si="3"/>
        <v>HLO 3.1: Soil health monitoring and assessment framework operationalized</v>
      </c>
      <c r="AH17" s="5">
        <f>'Step B - Weight by Scl Impact'!AH18*'Step C weights'!B$40</f>
        <v>0.55634421656340272</v>
      </c>
      <c r="AI17" s="5">
        <f>'Step B - Weight by Scl Impact'!AI18*'Step C weights'!C$40</f>
        <v>0.132821430566333</v>
      </c>
      <c r="AJ17" s="5">
        <f>'Step B - Weight by Scl Impact'!AJ18*'Step C weights'!D$40</f>
        <v>0.12643804329900796</v>
      </c>
      <c r="AK17" s="5">
        <f>'Step B - Weight by Scl Impact'!AK18*'Step C weights'!E$40</f>
        <v>0.28538487551989722</v>
      </c>
      <c r="AL17" s="5">
        <f>'Step B - Weight by Scl Impact'!AL18*'Step C weights'!F$40</f>
        <v>0.60918687610671152</v>
      </c>
      <c r="AM17" s="5">
        <f>'Step B - Weight by Scl Impact'!AM18*'Step C weights'!G$40</f>
        <v>0.64964886075874462</v>
      </c>
    </row>
    <row r="18" spans="1:39">
      <c r="A18" s="28" t="str">
        <f>IF(NOT(ISBLANK(HLOs!D17)),HLOs!D17,"")</f>
        <v>HLO 3.2: Network of long-term monitoring sites for carbon storage assessment</v>
      </c>
      <c r="B18" s="5">
        <f>'Step B - Weight by Scl Impact'!B19*'Step C weights'!B$40</f>
        <v>0.12611372115100153</v>
      </c>
      <c r="C18" s="5">
        <f>'Step B - Weight by Scl Impact'!C19*'Step C weights'!C$40</f>
        <v>0.20392982761128725</v>
      </c>
      <c r="D18" s="5">
        <f>'Step B - Weight by Scl Impact'!D19*'Step C weights'!D$40</f>
        <v>0.15429541028391047</v>
      </c>
      <c r="E18" s="5">
        <f>'Step B - Weight by Scl Impact'!E19*'Step C weights'!E$40</f>
        <v>0.2107770054898471</v>
      </c>
      <c r="F18" s="5">
        <f>'Step B - Weight by Scl Impact'!F19*'Step C weights'!F$40</f>
        <v>0.32365985282062565</v>
      </c>
      <c r="G18" s="5">
        <f>'Step B - Weight by Scl Impact'!G19*'Step C weights'!G$40</f>
        <v>0.13665400744616416</v>
      </c>
      <c r="I18" s="28" t="str">
        <f t="shared" si="0"/>
        <v>HLO 3.2: Network of long-term monitoring sites for carbon storage assessment</v>
      </c>
      <c r="J18" s="5">
        <f>'Step B - Weight by Scl Impact'!J19*'Step C weights'!B$40</f>
        <v>9.3384802715016382E-2</v>
      </c>
      <c r="K18" s="5">
        <f>'Step B - Weight by Scl Impact'!K19*'Step C weights'!C$40</f>
        <v>2.9496148199832647E-2</v>
      </c>
      <c r="L18" s="5">
        <f>'Step B - Weight by Scl Impact'!L19*'Step C weights'!D$40</f>
        <v>0.25122985468849346</v>
      </c>
      <c r="M18" s="5">
        <f>'Step B - Weight by Scl Impact'!M19*'Step C weights'!E$40</f>
        <v>0.33941026273020997</v>
      </c>
      <c r="N18" s="5">
        <f>'Step B - Weight by Scl Impact'!N19*'Step C weights'!F$40</f>
        <v>0.19990402601225374</v>
      </c>
      <c r="O18" s="5">
        <f>'Step B - Weight by Scl Impact'!O19*'Step C weights'!G$40</f>
        <v>8.9063911728709741E-3</v>
      </c>
      <c r="Q18" s="28" t="str">
        <f t="shared" si="1"/>
        <v>HLO 3.2: Network of long-term monitoring sites for carbon storage assessment</v>
      </c>
      <c r="R18" s="5">
        <f>'Step B - Weight by Scl Impact'!R19*'Step C weights'!B$40</f>
        <v>0.28478826533470081</v>
      </c>
      <c r="S18" s="5">
        <f>'Step B - Weight by Scl Impact'!S19*'Step C weights'!C$40</f>
        <v>0.13987004483373672</v>
      </c>
      <c r="T18" s="5">
        <f>'Step B - Weight by Scl Impact'!T19*'Step C weights'!D$40</f>
        <v>0.27161980288053988</v>
      </c>
      <c r="U18" s="5">
        <f>'Step B - Weight by Scl Impact'!U19*'Step C weights'!E$40</f>
        <v>0.26832411994574579</v>
      </c>
      <c r="V18" s="5">
        <f>'Step B - Weight by Scl Impact'!V19*'Step C weights'!F$40</f>
        <v>0.16075850621013241</v>
      </c>
      <c r="W18" s="5">
        <f>'Step B - Weight by Scl Impact'!W19*'Step C weights'!G$40</f>
        <v>9.836021843553068E-2</v>
      </c>
      <c r="Y18" s="28" t="str">
        <f t="shared" si="2"/>
        <v>HLO 3.2: Network of long-term monitoring sites for carbon storage assessment</v>
      </c>
      <c r="Z18" s="5">
        <f>'Step B - Weight by Scl Impact'!Z19*'Step C weights'!B$40</f>
        <v>0.44507537325072216</v>
      </c>
      <c r="AA18" s="5">
        <f>'Step B - Weight by Scl Impact'!AA19*'Step C weights'!C$40</f>
        <v>0.1062571444530664</v>
      </c>
      <c r="AB18" s="5">
        <f>'Step B - Weight by Scl Impact'!AB19*'Step C weights'!D$40</f>
        <v>6.3219021649503979E-2</v>
      </c>
      <c r="AC18" s="5">
        <f>'Step B - Weight by Scl Impact'!AC19*'Step C weights'!E$40</f>
        <v>0.28538487551989722</v>
      </c>
      <c r="AD18" s="5">
        <f>'Step B - Weight by Scl Impact'!AD19*'Step C weights'!F$40</f>
        <v>0.24367475044268461</v>
      </c>
      <c r="AE18" s="5">
        <f>'Step B - Weight by Scl Impact'!AE19*'Step C weights'!G$40</f>
        <v>0.64964886075874462</v>
      </c>
      <c r="AG18" s="28" t="str">
        <f t="shared" si="3"/>
        <v>HLO 3.2: Network of long-term monitoring sites for carbon storage assessment</v>
      </c>
      <c r="AH18" s="5">
        <f>'Step B - Weight by Scl Impact'!AH19*'Step C weights'!B$40</f>
        <v>0.22253768662536108</v>
      </c>
      <c r="AI18" s="5">
        <f>'Step B - Weight by Scl Impact'!AI19*'Step C weights'!C$40</f>
        <v>0.1062571444530664</v>
      </c>
      <c r="AJ18" s="5">
        <f>'Step B - Weight by Scl Impact'!AJ19*'Step C weights'!D$40</f>
        <v>9.4828532474255975E-2</v>
      </c>
      <c r="AK18" s="5">
        <f>'Step B - Weight by Scl Impact'!AK19*'Step C weights'!E$40</f>
        <v>0.1141539502079589</v>
      </c>
      <c r="AL18" s="5">
        <f>'Step B - Weight by Scl Impact'!AL19*'Step C weights'!F$40</f>
        <v>0.24367475044268461</v>
      </c>
      <c r="AM18" s="5">
        <f>'Step B - Weight by Scl Impact'!AM19*'Step C weights'!G$40</f>
        <v>0.12992977215174895</v>
      </c>
    </row>
    <row r="19" spans="1:39">
      <c r="A19" s="28" t="str">
        <f>IF(NOT(ISBLANK(HLOs!D18)),HLOs!D18,"")</f>
        <v>HLO 3.3: Impacts of agricultural practices quantified and catalogued</v>
      </c>
      <c r="B19" s="5">
        <f>'Step B - Weight by Scl Impact'!B20*'Step C weights'!B$40</f>
        <v>0.12611372115100153</v>
      </c>
      <c r="C19" s="5">
        <f>'Step B - Weight by Scl Impact'!C20*'Step C weights'!C$40</f>
        <v>8.1571931044514892E-2</v>
      </c>
      <c r="D19" s="5">
        <f>'Step B - Weight by Scl Impact'!D20*'Step C weights'!D$40</f>
        <v>0.15429541028391047</v>
      </c>
      <c r="E19" s="5">
        <f>'Step B - Weight by Scl Impact'!E20*'Step C weights'!E$40</f>
        <v>0.2107770054898471</v>
      </c>
      <c r="F19" s="5">
        <f>'Step B - Weight by Scl Impact'!F20*'Step C weights'!F$40</f>
        <v>0.32365985282062565</v>
      </c>
      <c r="G19" s="5">
        <f>'Step B - Weight by Scl Impact'!G20*'Step C weights'!G$40</f>
        <v>6.8327003723082078E-2</v>
      </c>
      <c r="I19" s="28" t="str">
        <f t="shared" si="0"/>
        <v>HLO 3.3: Impacts of agricultural practices quantified and catalogued</v>
      </c>
      <c r="J19" s="5">
        <f>'Step B - Weight by Scl Impact'!J20*'Step C weights'!B$40</f>
        <v>9.3384802715016382E-2</v>
      </c>
      <c r="K19" s="5">
        <f>'Step B - Weight by Scl Impact'!K20*'Step C weights'!C$40</f>
        <v>2.9496148199832647E-2</v>
      </c>
      <c r="L19" s="5">
        <f>'Step B - Weight by Scl Impact'!L20*'Step C weights'!D$40</f>
        <v>0.25122985468849346</v>
      </c>
      <c r="M19" s="5">
        <f>'Step B - Weight by Scl Impact'!M20*'Step C weights'!E$40</f>
        <v>0.33941026273020997</v>
      </c>
      <c r="N19" s="5">
        <f>'Step B - Weight by Scl Impact'!N20*'Step C weights'!F$40</f>
        <v>0.19990402601225374</v>
      </c>
      <c r="O19" s="5">
        <f>'Step B - Weight by Scl Impact'!O20*'Step C weights'!G$40</f>
        <v>8.9063911728709741E-3</v>
      </c>
      <c r="Q19" s="28" t="str">
        <f t="shared" si="1"/>
        <v>HLO 3.3: Impacts of agricultural practices quantified and catalogued</v>
      </c>
      <c r="R19" s="5">
        <f>'Step B - Weight by Scl Impact'!R20*'Step C weights'!B$40</f>
        <v>0.28478826533470081</v>
      </c>
      <c r="S19" s="5">
        <f>'Step B - Weight by Scl Impact'!S20*'Step C weights'!C$40</f>
        <v>0.13987004483373672</v>
      </c>
      <c r="T19" s="5">
        <f>'Step B - Weight by Scl Impact'!T20*'Step C weights'!D$40</f>
        <v>0.27161980288053988</v>
      </c>
      <c r="U19" s="5">
        <f>'Step B - Weight by Scl Impact'!U20*'Step C weights'!E$40</f>
        <v>0.26832411994574579</v>
      </c>
      <c r="V19" s="5">
        <f>'Step B - Weight by Scl Impact'!V20*'Step C weights'!F$40</f>
        <v>0.16075850621013241</v>
      </c>
      <c r="W19" s="5">
        <f>'Step B - Weight by Scl Impact'!W20*'Step C weights'!G$40</f>
        <v>9.836021843553068E-2</v>
      </c>
      <c r="Y19" s="28" t="str">
        <f t="shared" si="2"/>
        <v>HLO 3.3: Impacts of agricultural practices quantified and catalogued</v>
      </c>
      <c r="Z19" s="5">
        <f>'Step B - Weight by Scl Impact'!Z20*'Step C weights'!B$40</f>
        <v>0.44507537325072216</v>
      </c>
      <c r="AA19" s="5">
        <f>'Step B - Weight by Scl Impact'!AA20*'Step C weights'!C$40</f>
        <v>0.1062571444530664</v>
      </c>
      <c r="AB19" s="5">
        <f>'Step B - Weight by Scl Impact'!AB20*'Step C weights'!D$40</f>
        <v>6.3219021649503979E-2</v>
      </c>
      <c r="AC19" s="5">
        <f>'Step B - Weight by Scl Impact'!AC20*'Step C weights'!E$40</f>
        <v>0.28538487551989722</v>
      </c>
      <c r="AD19" s="5">
        <f>'Step B - Weight by Scl Impact'!AD20*'Step C weights'!F$40</f>
        <v>0.24367475044268461</v>
      </c>
      <c r="AE19" s="5">
        <f>'Step B - Weight by Scl Impact'!AE20*'Step C weights'!G$40</f>
        <v>0.51971908860699578</v>
      </c>
      <c r="AG19" s="28" t="str">
        <f t="shared" si="3"/>
        <v>HLO 3.3: Impacts of agricultural practices quantified and catalogued</v>
      </c>
      <c r="AH19" s="5">
        <f>'Step B - Weight by Scl Impact'!AH20*'Step C weights'!B$40</f>
        <v>0.44507537325072216</v>
      </c>
      <c r="AI19" s="5">
        <f>'Step B - Weight by Scl Impact'!AI20*'Step C weights'!C$40</f>
        <v>5.3128572226533201E-2</v>
      </c>
      <c r="AJ19" s="5">
        <f>'Step B - Weight by Scl Impact'!AJ20*'Step C weights'!D$40</f>
        <v>6.3219021649503979E-2</v>
      </c>
      <c r="AK19" s="5">
        <f>'Step B - Weight by Scl Impact'!AK20*'Step C weights'!E$40</f>
        <v>0.1141539502079589</v>
      </c>
      <c r="AL19" s="5">
        <f>'Step B - Weight by Scl Impact'!AL20*'Step C weights'!F$40</f>
        <v>0.24367475044268461</v>
      </c>
      <c r="AM19" s="5">
        <f>'Step B - Weight by Scl Impact'!AM20*'Step C weights'!G$40</f>
        <v>0.64964886075874462</v>
      </c>
    </row>
    <row r="20" spans="1:39">
      <c r="A20" s="28" t="str">
        <f>IF(NOT(ISBLANK(HLOs!D19)),HLOs!D19,"")</f>
        <v>HLO 3.4: Evidence for policy makers on soil health translated to accessible formats</v>
      </c>
      <c r="B20" s="5">
        <f>'Step B - Weight by Scl Impact'!B21*'Step C weights'!B$40</f>
        <v>0.12611372115100153</v>
      </c>
      <c r="C20" s="5">
        <f>'Step B - Weight by Scl Impact'!C21*'Step C weights'!C$40</f>
        <v>8.1571931044514892E-2</v>
      </c>
      <c r="D20" s="5">
        <f>'Step B - Weight by Scl Impact'!D21*'Step C weights'!D$40</f>
        <v>0.15429541028391047</v>
      </c>
      <c r="E20" s="5">
        <f>'Step B - Weight by Scl Impact'!E21*'Step C weights'!E$40</f>
        <v>0.2107770054898471</v>
      </c>
      <c r="F20" s="5">
        <f>'Step B - Weight by Scl Impact'!F21*'Step C weights'!F$40</f>
        <v>0.32365985282062565</v>
      </c>
      <c r="G20" s="5">
        <f>'Step B - Weight by Scl Impact'!G21*'Step C weights'!G$40</f>
        <v>6.8327003723082078E-2</v>
      </c>
      <c r="I20" s="28" t="str">
        <f t="shared" si="0"/>
        <v>HLO 3.4: Evidence for policy makers on soil health translated to accessible formats</v>
      </c>
      <c r="J20" s="5">
        <f>'Step B - Weight by Scl Impact'!J21*'Step C weights'!B$40</f>
        <v>9.3384802715016382E-2</v>
      </c>
      <c r="K20" s="5">
        <f>'Step B - Weight by Scl Impact'!K21*'Step C weights'!C$40</f>
        <v>2.9496148199832647E-2</v>
      </c>
      <c r="L20" s="5">
        <f>'Step B - Weight by Scl Impact'!L21*'Step C weights'!D$40</f>
        <v>0.25122985468849346</v>
      </c>
      <c r="M20" s="5">
        <f>'Step B - Weight by Scl Impact'!M21*'Step C weights'!E$40</f>
        <v>0.33941026273020997</v>
      </c>
      <c r="N20" s="5">
        <f>'Step B - Weight by Scl Impact'!N21*'Step C weights'!F$40</f>
        <v>0.19990402601225374</v>
      </c>
      <c r="O20" s="5">
        <f>'Step B - Weight by Scl Impact'!O21*'Step C weights'!G$40</f>
        <v>8.9063911728709741E-3</v>
      </c>
      <c r="Q20" s="28" t="str">
        <f t="shared" si="1"/>
        <v>HLO 3.4: Evidence for policy makers on soil health translated to accessible formats</v>
      </c>
      <c r="R20" s="5">
        <f>'Step B - Weight by Scl Impact'!R21*'Step C weights'!B$40</f>
        <v>0.28478826533470081</v>
      </c>
      <c r="S20" s="5">
        <f>'Step B - Weight by Scl Impact'!S21*'Step C weights'!C$40</f>
        <v>6.9935022416868359E-2</v>
      </c>
      <c r="T20" s="5">
        <f>'Step B - Weight by Scl Impact'!T21*'Step C weights'!D$40</f>
        <v>0.27161980288053988</v>
      </c>
      <c r="U20" s="5">
        <f>'Step B - Weight by Scl Impact'!U21*'Step C weights'!E$40</f>
        <v>0.17888274663049719</v>
      </c>
      <c r="V20" s="5">
        <f>'Step B - Weight by Scl Impact'!V21*'Step C weights'!F$40</f>
        <v>0.16075850621013241</v>
      </c>
      <c r="W20" s="5">
        <f>'Step B - Weight by Scl Impact'!W21*'Step C weights'!G$40</f>
        <v>9.836021843553068E-2</v>
      </c>
      <c r="Y20" s="28" t="str">
        <f t="shared" si="2"/>
        <v>HLO 3.4: Evidence for policy makers on soil health translated to accessible formats</v>
      </c>
      <c r="Z20" s="5">
        <f>'Step B - Weight by Scl Impact'!Z21*'Step C weights'!B$40</f>
        <v>0.55634421656340272</v>
      </c>
      <c r="AA20" s="5">
        <f>'Step B - Weight by Scl Impact'!AA21*'Step C weights'!C$40</f>
        <v>0.1062571444530664</v>
      </c>
      <c r="AB20" s="5">
        <f>'Step B - Weight by Scl Impact'!AB21*'Step C weights'!D$40</f>
        <v>0.12643804329900796</v>
      </c>
      <c r="AC20" s="5">
        <f>'Step B - Weight by Scl Impact'!AC21*'Step C weights'!E$40</f>
        <v>0.1141539502079589</v>
      </c>
      <c r="AD20" s="5">
        <f>'Step B - Weight by Scl Impact'!AD21*'Step C weights'!F$40</f>
        <v>0.24367475044268461</v>
      </c>
      <c r="AE20" s="5">
        <f>'Step B - Weight by Scl Impact'!AE21*'Step C weights'!G$40</f>
        <v>0.25985954430349789</v>
      </c>
      <c r="AG20" s="28" t="str">
        <f t="shared" si="3"/>
        <v>HLO 3.4: Evidence for policy makers on soil health translated to accessible formats</v>
      </c>
      <c r="AH20" s="5">
        <f>'Step B - Weight by Scl Impact'!AH21*'Step C weights'!B$40</f>
        <v>0.44507537325072216</v>
      </c>
      <c r="AI20" s="5">
        <f>'Step B - Weight by Scl Impact'!AI21*'Step C weights'!C$40</f>
        <v>5.3128572226533201E-2</v>
      </c>
      <c r="AJ20" s="5">
        <f>'Step B - Weight by Scl Impact'!AJ21*'Step C weights'!D$40</f>
        <v>6.3219021649503979E-2</v>
      </c>
      <c r="AK20" s="5">
        <f>'Step B - Weight by Scl Impact'!AK21*'Step C weights'!E$40</f>
        <v>0.28538487551989722</v>
      </c>
      <c r="AL20" s="5">
        <f>'Step B - Weight by Scl Impact'!AL21*'Step C weights'!F$40</f>
        <v>0.48734950088536921</v>
      </c>
      <c r="AM20" s="5">
        <f>'Step B - Weight by Scl Impact'!AM21*'Step C weights'!G$40</f>
        <v>0.64964886075874462</v>
      </c>
    </row>
    <row r="21" spans="1:39">
      <c r="A21" s="28" t="str">
        <f>IF(NOT(ISBLANK(HLOs!D20)),HLOs!D20,"")</f>
        <v>HLO 4.1: Capacity and networks of plant health practitioners improved</v>
      </c>
      <c r="B21" s="5">
        <f>'Step B - Weight by Scl Impact'!B22*'Step C weights'!B$40</f>
        <v>6.3056860575500764E-2</v>
      </c>
      <c r="C21" s="5">
        <f>'Step B - Weight by Scl Impact'!C22*'Step C weights'!C$40</f>
        <v>8.1571931044514892E-2</v>
      </c>
      <c r="D21" s="5">
        <f>'Step B - Weight by Scl Impact'!D22*'Step C weights'!D$40</f>
        <v>0.15429541028391047</v>
      </c>
      <c r="E21" s="5">
        <f>'Step B - Weight by Scl Impact'!E22*'Step C weights'!E$40</f>
        <v>0.2107770054898471</v>
      </c>
      <c r="F21" s="5">
        <f>'Step B - Weight by Scl Impact'!F22*'Step C weights'!F$40</f>
        <v>0.32365985282062565</v>
      </c>
      <c r="G21" s="5">
        <f>'Step B - Weight by Scl Impact'!G22*'Step C weights'!G$40</f>
        <v>0.13665400744616416</v>
      </c>
      <c r="I21" s="28" t="str">
        <f t="shared" si="0"/>
        <v>HLO 4.1: Capacity and networks of plant health practitioners improved</v>
      </c>
      <c r="J21" s="5">
        <f>'Step B - Weight by Scl Impact'!J22*'Step C weights'!B$40</f>
        <v>4.6692401357508191E-2</v>
      </c>
      <c r="K21" s="5">
        <f>'Step B - Weight by Scl Impact'!K22*'Step C weights'!C$40</f>
        <v>2.9496148199832647E-2</v>
      </c>
      <c r="L21" s="5">
        <f>'Step B - Weight by Scl Impact'!L22*'Step C weights'!D$40</f>
        <v>0.25122985468849346</v>
      </c>
      <c r="M21" s="5">
        <f>'Step B - Weight by Scl Impact'!M22*'Step C weights'!E$40</f>
        <v>0.33941026273020997</v>
      </c>
      <c r="N21" s="5">
        <f>'Step B - Weight by Scl Impact'!N22*'Step C weights'!F$40</f>
        <v>0.19990402601225374</v>
      </c>
      <c r="O21" s="5">
        <f>'Step B - Weight by Scl Impact'!O22*'Step C weights'!G$40</f>
        <v>1.7812782345741948E-2</v>
      </c>
      <c r="Q21" s="28" t="str">
        <f t="shared" si="1"/>
        <v>HLO 4.1: Capacity and networks of plant health practitioners improved</v>
      </c>
      <c r="R21" s="5">
        <f>'Step B - Weight by Scl Impact'!R22*'Step C weights'!B$40</f>
        <v>0.28478826533470081</v>
      </c>
      <c r="S21" s="5">
        <f>'Step B - Weight by Scl Impact'!S22*'Step C weights'!C$40</f>
        <v>0.27974008966747343</v>
      </c>
      <c r="T21" s="5">
        <f>'Step B - Weight by Scl Impact'!T22*'Step C weights'!D$40</f>
        <v>0.36215973717405314</v>
      </c>
      <c r="U21" s="5">
        <f>'Step B - Weight by Scl Impact'!U22*'Step C weights'!E$40</f>
        <v>0.35776549326099438</v>
      </c>
      <c r="V21" s="5">
        <f>'Step B - Weight by Scl Impact'!V22*'Step C weights'!F$40</f>
        <v>0.24113775931519857</v>
      </c>
      <c r="W21" s="5">
        <f>'Step B - Weight by Scl Impact'!W22*'Step C weights'!G$40</f>
        <v>0.147540327653296</v>
      </c>
      <c r="Y21" s="28" t="str">
        <f t="shared" si="2"/>
        <v>HLO 4.1: Capacity and networks of plant health practitioners improved</v>
      </c>
      <c r="Z21" s="5">
        <f>'Step B - Weight by Scl Impact'!Z22*'Step C weights'!B$40</f>
        <v>0.44507537325072216</v>
      </c>
      <c r="AA21" s="5">
        <f>'Step B - Weight by Scl Impact'!AA22*'Step C weights'!C$40</f>
        <v>0.1062571444530664</v>
      </c>
      <c r="AB21" s="5">
        <f>'Step B - Weight by Scl Impact'!AB22*'Step C weights'!D$40</f>
        <v>0.12643804329900796</v>
      </c>
      <c r="AC21" s="5">
        <f>'Step B - Weight by Scl Impact'!AC22*'Step C weights'!E$40</f>
        <v>0.22830790041591781</v>
      </c>
      <c r="AD21" s="5">
        <f>'Step B - Weight by Scl Impact'!AD22*'Step C weights'!F$40</f>
        <v>0.36551212566402691</v>
      </c>
      <c r="AE21" s="5">
        <f>'Step B - Weight by Scl Impact'!AE22*'Step C weights'!G$40</f>
        <v>0.38978931645524678</v>
      </c>
      <c r="AG21" s="28" t="str">
        <f t="shared" si="3"/>
        <v>HLO 4.1: Capacity and networks of plant health practitioners improved</v>
      </c>
      <c r="AH21" s="5">
        <f>'Step B - Weight by Scl Impact'!AH22*'Step C weights'!B$40</f>
        <v>0.22253768662536108</v>
      </c>
      <c r="AI21" s="5">
        <f>'Step B - Weight by Scl Impact'!AI22*'Step C weights'!C$40</f>
        <v>5.3128572226533201E-2</v>
      </c>
      <c r="AJ21" s="5">
        <f>'Step B - Weight by Scl Impact'!AJ22*'Step C weights'!D$40</f>
        <v>6.3219021649503979E-2</v>
      </c>
      <c r="AK21" s="5">
        <f>'Step B - Weight by Scl Impact'!AK22*'Step C weights'!E$40</f>
        <v>0.1141539502079589</v>
      </c>
      <c r="AL21" s="5">
        <f>'Step B - Weight by Scl Impact'!AL22*'Step C weights'!F$40</f>
        <v>0.24367475044268461</v>
      </c>
      <c r="AM21" s="5">
        <f>'Step B - Weight by Scl Impact'!AM22*'Step C weights'!G$40</f>
        <v>0.25985954430349789</v>
      </c>
    </row>
    <row r="22" spans="1:39">
      <c r="A22" s="28" t="str">
        <f>IF(NOT(ISBLANK(HLOs!D21)),HLOs!D21,"")</f>
        <v>HLO 4.2: Improved pest and disease monitoring and modeling tools</v>
      </c>
      <c r="B22" s="5">
        <f>'Step B - Weight by Scl Impact'!B23*'Step C weights'!B$40</f>
        <v>9.4585290863251154E-2</v>
      </c>
      <c r="C22" s="5">
        <f>'Step B - Weight by Scl Impact'!C23*'Step C weights'!C$40</f>
        <v>0.12235789656677233</v>
      </c>
      <c r="D22" s="5">
        <f>'Step B - Weight by Scl Impact'!D23*'Step C weights'!D$40</f>
        <v>0.23144311542586568</v>
      </c>
      <c r="E22" s="5">
        <f>'Step B - Weight by Scl Impact'!E23*'Step C weights'!E$40</f>
        <v>0.31616550823477063</v>
      </c>
      <c r="F22" s="5">
        <f>'Step B - Weight by Scl Impact'!F23*'Step C weights'!F$40</f>
        <v>0.4854897792309385</v>
      </c>
      <c r="G22" s="5">
        <f>'Step B - Weight by Scl Impact'!G23*'Step C weights'!G$40</f>
        <v>0.10249050558462312</v>
      </c>
      <c r="I22" s="28" t="str">
        <f t="shared" si="0"/>
        <v>HLO 4.2: Improved pest and disease monitoring and modeling tools</v>
      </c>
      <c r="J22" s="5">
        <f>'Step B - Weight by Scl Impact'!J23*'Step C weights'!B$40</f>
        <v>7.003860203626229E-2</v>
      </c>
      <c r="K22" s="5">
        <f>'Step B - Weight by Scl Impact'!K23*'Step C weights'!C$40</f>
        <v>4.4244222299748968E-2</v>
      </c>
      <c r="L22" s="5">
        <f>'Step B - Weight by Scl Impact'!L23*'Step C weights'!D$40</f>
        <v>0.37684478203274019</v>
      </c>
      <c r="M22" s="5">
        <f>'Step B - Weight by Scl Impact'!M23*'Step C weights'!E$40</f>
        <v>0.50911539409531492</v>
      </c>
      <c r="N22" s="5">
        <f>'Step B - Weight by Scl Impact'!N23*'Step C weights'!F$40</f>
        <v>0.29985603901838059</v>
      </c>
      <c r="O22" s="5">
        <f>'Step B - Weight by Scl Impact'!O23*'Step C weights'!G$40</f>
        <v>1.3359586759306461E-2</v>
      </c>
      <c r="Q22" s="28" t="str">
        <f t="shared" si="1"/>
        <v>HLO 4.2: Improved pest and disease monitoring and modeling tools</v>
      </c>
      <c r="R22" s="5">
        <f>'Step B - Weight by Scl Impact'!R23*'Step C weights'!B$40</f>
        <v>0.21359119900102561</v>
      </c>
      <c r="S22" s="5">
        <f>'Step B - Weight by Scl Impact'!S23*'Step C weights'!C$40</f>
        <v>0.20980506725060508</v>
      </c>
      <c r="T22" s="5">
        <f>'Step B - Weight by Scl Impact'!T23*'Step C weights'!D$40</f>
        <v>0.27161980288053988</v>
      </c>
      <c r="U22" s="5">
        <f>'Step B - Weight by Scl Impact'!U23*'Step C weights'!E$40</f>
        <v>0.26832411994574579</v>
      </c>
      <c r="V22" s="5">
        <f>'Step B - Weight by Scl Impact'!V23*'Step C weights'!F$40</f>
        <v>0.24113775931519857</v>
      </c>
      <c r="W22" s="5">
        <f>'Step B - Weight by Scl Impact'!W23*'Step C weights'!G$40</f>
        <v>0.147540327653296</v>
      </c>
      <c r="Y22" s="28" t="str">
        <f t="shared" si="2"/>
        <v>HLO 4.2: Improved pest and disease monitoring and modeling tools</v>
      </c>
      <c r="Z22" s="5">
        <f>'Step B - Weight by Scl Impact'!Z23*'Step C weights'!B$40</f>
        <v>0.55634421656340272</v>
      </c>
      <c r="AA22" s="5">
        <f>'Step B - Weight by Scl Impact'!AA23*'Step C weights'!C$40</f>
        <v>0.1062571444530664</v>
      </c>
      <c r="AB22" s="5">
        <f>'Step B - Weight by Scl Impact'!AB23*'Step C weights'!D$40</f>
        <v>0.15804755412375995</v>
      </c>
      <c r="AC22" s="5">
        <f>'Step B - Weight by Scl Impact'!AC23*'Step C weights'!E$40</f>
        <v>0.28538487551989722</v>
      </c>
      <c r="AD22" s="5">
        <f>'Step B - Weight by Scl Impact'!AD23*'Step C weights'!F$40</f>
        <v>0.48734950088536921</v>
      </c>
      <c r="AE22" s="5">
        <f>'Step B - Weight by Scl Impact'!AE23*'Step C weights'!G$40</f>
        <v>0.51971908860699578</v>
      </c>
      <c r="AG22" s="28" t="str">
        <f t="shared" si="3"/>
        <v>HLO 4.2: Improved pest and disease monitoring and modeling tools</v>
      </c>
      <c r="AH22" s="5">
        <f>'Step B - Weight by Scl Impact'!AH23*'Step C weights'!B$40</f>
        <v>0.22253768662536108</v>
      </c>
      <c r="AI22" s="5">
        <f>'Step B - Weight by Scl Impact'!AI23*'Step C weights'!C$40</f>
        <v>5.3128572226533201E-2</v>
      </c>
      <c r="AJ22" s="5">
        <f>'Step B - Weight by Scl Impact'!AJ23*'Step C weights'!D$40</f>
        <v>6.3219021649503979E-2</v>
      </c>
      <c r="AK22" s="5">
        <f>'Step B - Weight by Scl Impact'!AK23*'Step C weights'!E$40</f>
        <v>0.1141539502079589</v>
      </c>
      <c r="AL22" s="5">
        <f>'Step B - Weight by Scl Impact'!AL23*'Step C weights'!F$40</f>
        <v>0.24367475044268461</v>
      </c>
      <c r="AM22" s="5">
        <f>'Step B - Weight by Scl Impact'!AM23*'Step C weights'!G$40</f>
        <v>0.25985954430349789</v>
      </c>
    </row>
    <row r="23" spans="1:39">
      <c r="A23" s="28" t="str">
        <f>IF(NOT(ISBLANK(HLOs!D22)),HLOs!D22,"")</f>
        <v>HLO 4.3: Surveillance data and prevention strategies available</v>
      </c>
      <c r="B23" s="5">
        <f>'Step B - Weight by Scl Impact'!B24*'Step C weights'!B$40</f>
        <v>9.4585290863251154E-2</v>
      </c>
      <c r="C23" s="5">
        <f>'Step B - Weight by Scl Impact'!C24*'Step C weights'!C$40</f>
        <v>8.1571931044514892E-2</v>
      </c>
      <c r="D23" s="5">
        <f>'Step B - Weight by Scl Impact'!D24*'Step C weights'!D$40</f>
        <v>0.30859082056782094</v>
      </c>
      <c r="E23" s="5">
        <f>'Step B - Weight by Scl Impact'!E24*'Step C weights'!E$40</f>
        <v>0.42155401097969419</v>
      </c>
      <c r="F23" s="5">
        <f>'Step B - Weight by Scl Impact'!F24*'Step C weights'!F$40</f>
        <v>0.32365985282062565</v>
      </c>
      <c r="G23" s="5">
        <f>'Step B - Weight by Scl Impact'!G24*'Step C weights'!G$40</f>
        <v>0.10249050558462312</v>
      </c>
      <c r="I23" s="28" t="str">
        <f t="shared" si="0"/>
        <v>HLO 4.3: Surveillance data and prevention strategies available</v>
      </c>
      <c r="J23" s="5">
        <f>'Step B - Weight by Scl Impact'!J24*'Step C weights'!B$40</f>
        <v>7.003860203626229E-2</v>
      </c>
      <c r="K23" s="5">
        <f>'Step B - Weight by Scl Impact'!K24*'Step C weights'!C$40</f>
        <v>2.9496148199832647E-2</v>
      </c>
      <c r="L23" s="5">
        <f>'Step B - Weight by Scl Impact'!L24*'Step C weights'!D$40</f>
        <v>0.50245970937698692</v>
      </c>
      <c r="M23" s="5">
        <f>'Step B - Weight by Scl Impact'!M24*'Step C weights'!E$40</f>
        <v>0.67882052546041993</v>
      </c>
      <c r="N23" s="5">
        <f>'Step B - Weight by Scl Impact'!N24*'Step C weights'!F$40</f>
        <v>0.19990402601225374</v>
      </c>
      <c r="O23" s="5">
        <f>'Step B - Weight by Scl Impact'!O24*'Step C weights'!G$40</f>
        <v>1.3359586759306461E-2</v>
      </c>
      <c r="Q23" s="28" t="str">
        <f t="shared" si="1"/>
        <v>HLO 4.3: Surveillance data and prevention strategies available</v>
      </c>
      <c r="R23" s="5">
        <f>'Step B - Weight by Scl Impact'!R24*'Step C weights'!B$40</f>
        <v>0.21359119900102561</v>
      </c>
      <c r="S23" s="5">
        <f>'Step B - Weight by Scl Impact'!S24*'Step C weights'!C$40</f>
        <v>0.13987004483373672</v>
      </c>
      <c r="T23" s="5">
        <f>'Step B - Weight by Scl Impact'!T24*'Step C weights'!D$40</f>
        <v>0.27161980288053988</v>
      </c>
      <c r="U23" s="5">
        <f>'Step B - Weight by Scl Impact'!U24*'Step C weights'!E$40</f>
        <v>0.26832411994574579</v>
      </c>
      <c r="V23" s="5">
        <f>'Step B - Weight by Scl Impact'!V24*'Step C weights'!F$40</f>
        <v>0.16075850621013241</v>
      </c>
      <c r="W23" s="5">
        <f>'Step B - Weight by Scl Impact'!W24*'Step C weights'!G$40</f>
        <v>0.147540327653296</v>
      </c>
      <c r="Y23" s="28" t="str">
        <f t="shared" si="2"/>
        <v>HLO 4.3: Surveillance data and prevention strategies available</v>
      </c>
      <c r="Z23" s="5">
        <f>'Step B - Weight by Scl Impact'!Z24*'Step C weights'!B$40</f>
        <v>0.33380652993804161</v>
      </c>
      <c r="AA23" s="5">
        <f>'Step B - Weight by Scl Impact'!AA24*'Step C weights'!C$40</f>
        <v>7.9692858339799805E-2</v>
      </c>
      <c r="AB23" s="5">
        <f>'Step B - Weight by Scl Impact'!AB24*'Step C weights'!D$40</f>
        <v>9.4828532474255975E-2</v>
      </c>
      <c r="AC23" s="5">
        <f>'Step B - Weight by Scl Impact'!AC24*'Step C weights'!E$40</f>
        <v>0.17123092531193837</v>
      </c>
      <c r="AD23" s="5">
        <f>'Step B - Weight by Scl Impact'!AD24*'Step C weights'!F$40</f>
        <v>0.24367475044268461</v>
      </c>
      <c r="AE23" s="5">
        <f>'Step B - Weight by Scl Impact'!AE24*'Step C weights'!G$40</f>
        <v>0.38978931645524678</v>
      </c>
      <c r="AG23" s="28" t="str">
        <f t="shared" si="3"/>
        <v>HLO 4.3: Surveillance data and prevention strategies available</v>
      </c>
      <c r="AH23" s="5">
        <f>'Step B - Weight by Scl Impact'!AH24*'Step C weights'!B$40</f>
        <v>0.22253768662536108</v>
      </c>
      <c r="AI23" s="5">
        <f>'Step B - Weight by Scl Impact'!AI24*'Step C weights'!C$40</f>
        <v>5.3128572226533201E-2</v>
      </c>
      <c r="AJ23" s="5">
        <f>'Step B - Weight by Scl Impact'!AJ24*'Step C weights'!D$40</f>
        <v>6.3219021649503979E-2</v>
      </c>
      <c r="AK23" s="5">
        <f>'Step B - Weight by Scl Impact'!AK24*'Step C weights'!E$40</f>
        <v>5.7076975103979452E-2</v>
      </c>
      <c r="AL23" s="5">
        <f>'Step B - Weight by Scl Impact'!AL24*'Step C weights'!F$40</f>
        <v>0.24367475044268461</v>
      </c>
      <c r="AM23" s="5">
        <f>'Step B - Weight by Scl Impact'!AM24*'Step C weights'!G$40</f>
        <v>0.25985954430349789</v>
      </c>
    </row>
    <row r="24" spans="1:39">
      <c r="A24" s="28" t="str">
        <f>IF(NOT(ISBLANK(HLOs!D23)),HLOs!D23,"")</f>
        <v>HLO 4.4: Eco-friendly options for integrated pest management developed</v>
      </c>
      <c r="B24" s="5">
        <f>'Step B - Weight by Scl Impact'!B25*'Step C weights'!B$40</f>
        <v>0.12611372115100153</v>
      </c>
      <c r="C24" s="5">
        <f>'Step B - Weight by Scl Impact'!C25*'Step C weights'!C$40</f>
        <v>0.16314386208902978</v>
      </c>
      <c r="D24" s="5">
        <f>'Step B - Weight by Scl Impact'!D25*'Step C weights'!D$40</f>
        <v>0.38573852570977618</v>
      </c>
      <c r="E24" s="5">
        <f>'Step B - Weight by Scl Impact'!E25*'Step C weights'!E$40</f>
        <v>0.52694251372461776</v>
      </c>
      <c r="F24" s="5">
        <f>'Step B - Weight by Scl Impact'!F25*'Step C weights'!F$40</f>
        <v>0.6473197056412513</v>
      </c>
      <c r="G24" s="5">
        <f>'Step B - Weight by Scl Impact'!G25*'Step C weights'!G$40</f>
        <v>0.17081750930770523</v>
      </c>
      <c r="I24" s="28" t="str">
        <f t="shared" si="0"/>
        <v>HLO 4.4: Eco-friendly options for integrated pest management developed</v>
      </c>
      <c r="J24" s="5">
        <f>'Step B - Weight by Scl Impact'!J25*'Step C weights'!B$40</f>
        <v>9.3384802715016382E-2</v>
      </c>
      <c r="K24" s="5">
        <f>'Step B - Weight by Scl Impact'!K25*'Step C weights'!C$40</f>
        <v>5.8992296399665294E-2</v>
      </c>
      <c r="L24" s="5">
        <f>'Step B - Weight by Scl Impact'!L25*'Step C weights'!D$40</f>
        <v>0.62807463672123354</v>
      </c>
      <c r="M24" s="5">
        <f>'Step B - Weight by Scl Impact'!M25*'Step C weights'!E$40</f>
        <v>0.84852565682552494</v>
      </c>
      <c r="N24" s="5">
        <f>'Step B - Weight by Scl Impact'!N25*'Step C weights'!F$40</f>
        <v>0.39980805202450748</v>
      </c>
      <c r="O24" s="5">
        <f>'Step B - Weight by Scl Impact'!O25*'Step C weights'!G$40</f>
        <v>2.2265977932177439E-2</v>
      </c>
      <c r="Q24" s="28" t="str">
        <f t="shared" si="1"/>
        <v>HLO 4.4: Eco-friendly options for integrated pest management developed</v>
      </c>
      <c r="R24" s="5">
        <f>'Step B - Weight by Scl Impact'!R25*'Step C weights'!B$40</f>
        <v>0.28478826533470081</v>
      </c>
      <c r="S24" s="5">
        <f>'Step B - Weight by Scl Impact'!S25*'Step C weights'!C$40</f>
        <v>0.27974008966747343</v>
      </c>
      <c r="T24" s="5">
        <f>'Step B - Weight by Scl Impact'!T25*'Step C weights'!D$40</f>
        <v>0.36215973717405314</v>
      </c>
      <c r="U24" s="5">
        <f>'Step B - Weight by Scl Impact'!U25*'Step C weights'!E$40</f>
        <v>0.35776549326099438</v>
      </c>
      <c r="V24" s="5">
        <f>'Step B - Weight by Scl Impact'!V25*'Step C weights'!F$40</f>
        <v>0.24113775931519857</v>
      </c>
      <c r="W24" s="5">
        <f>'Step B - Weight by Scl Impact'!W25*'Step C weights'!G$40</f>
        <v>0.24590054608882669</v>
      </c>
      <c r="Y24" s="28" t="str">
        <f t="shared" si="2"/>
        <v>HLO 4.4: Eco-friendly options for integrated pest management developed</v>
      </c>
      <c r="Z24" s="5">
        <f>'Step B - Weight by Scl Impact'!Z25*'Step C weights'!B$40</f>
        <v>0.33380652993804161</v>
      </c>
      <c r="AA24" s="5">
        <f>'Step B - Weight by Scl Impact'!AA25*'Step C weights'!C$40</f>
        <v>7.9692858339799805E-2</v>
      </c>
      <c r="AB24" s="5">
        <f>'Step B - Weight by Scl Impact'!AB25*'Step C weights'!D$40</f>
        <v>0.12643804329900796</v>
      </c>
      <c r="AC24" s="5">
        <f>'Step B - Weight by Scl Impact'!AC25*'Step C weights'!E$40</f>
        <v>0.17123092531193837</v>
      </c>
      <c r="AD24" s="5">
        <f>'Step B - Weight by Scl Impact'!AD25*'Step C weights'!F$40</f>
        <v>0.36551212566402691</v>
      </c>
      <c r="AE24" s="5">
        <f>'Step B - Weight by Scl Impact'!AE25*'Step C weights'!G$40</f>
        <v>0.38978931645524678</v>
      </c>
      <c r="AG24" s="28" t="str">
        <f t="shared" si="3"/>
        <v>HLO 4.4: Eco-friendly options for integrated pest management developed</v>
      </c>
      <c r="AH24" s="5">
        <f>'Step B - Weight by Scl Impact'!AH25*'Step C weights'!B$40</f>
        <v>0.55634421656340272</v>
      </c>
      <c r="AI24" s="5">
        <f>'Step B - Weight by Scl Impact'!AI25*'Step C weights'!C$40</f>
        <v>0.132821430566333</v>
      </c>
      <c r="AJ24" s="5">
        <f>'Step B - Weight by Scl Impact'!AJ25*'Step C weights'!D$40</f>
        <v>0.15804755412375995</v>
      </c>
      <c r="AK24" s="5">
        <f>'Step B - Weight by Scl Impact'!AK25*'Step C weights'!E$40</f>
        <v>0.28538487551989722</v>
      </c>
      <c r="AL24" s="5">
        <f>'Step B - Weight by Scl Impact'!AL25*'Step C weights'!F$40</f>
        <v>0.60918687610671152</v>
      </c>
      <c r="AM24" s="5">
        <f>'Step B - Weight by Scl Impact'!AM25*'Step C weights'!G$40</f>
        <v>0.64964886075874462</v>
      </c>
    </row>
    <row r="25" spans="1:39">
      <c r="A25" s="28" t="str">
        <f>IF(NOT(ISBLANK(HLOs!D24)),HLOs!D24,"")</f>
        <v>HLO 4.5: Mycotoxin traceability system for food safety validated</v>
      </c>
      <c r="B25" s="5">
        <f>'Step B - Weight by Scl Impact'!B26*'Step C weights'!B$40</f>
        <v>9.4585290863251154E-2</v>
      </c>
      <c r="C25" s="5">
        <f>'Step B - Weight by Scl Impact'!C26*'Step C weights'!C$40</f>
        <v>8.1571931044514892E-2</v>
      </c>
      <c r="D25" s="5">
        <f>'Step B - Weight by Scl Impact'!D26*'Step C weights'!D$40</f>
        <v>0.30859082056782094</v>
      </c>
      <c r="E25" s="5">
        <f>'Step B - Weight by Scl Impact'!E26*'Step C weights'!E$40</f>
        <v>0.42155401097969419</v>
      </c>
      <c r="F25" s="5">
        <f>'Step B - Weight by Scl Impact'!F26*'Step C weights'!F$40</f>
        <v>0.32365985282062565</v>
      </c>
      <c r="G25" s="5">
        <f>'Step B - Weight by Scl Impact'!G26*'Step C weights'!G$40</f>
        <v>6.8327003723082078E-2</v>
      </c>
      <c r="I25" s="28" t="str">
        <f t="shared" si="0"/>
        <v>HLO 4.5: Mycotoxin traceability system for food safety validated</v>
      </c>
      <c r="J25" s="5">
        <f>'Step B - Weight by Scl Impact'!J26*'Step C weights'!B$40</f>
        <v>7.003860203626229E-2</v>
      </c>
      <c r="K25" s="5">
        <f>'Step B - Weight by Scl Impact'!K26*'Step C weights'!C$40</f>
        <v>2.9496148199832647E-2</v>
      </c>
      <c r="L25" s="5">
        <f>'Step B - Weight by Scl Impact'!L26*'Step C weights'!D$40</f>
        <v>0.50245970937698692</v>
      </c>
      <c r="M25" s="5">
        <f>'Step B - Weight by Scl Impact'!M26*'Step C weights'!E$40</f>
        <v>0.67882052546041993</v>
      </c>
      <c r="N25" s="5">
        <f>'Step B - Weight by Scl Impact'!N26*'Step C weights'!F$40</f>
        <v>0.19990402601225374</v>
      </c>
      <c r="O25" s="5">
        <f>'Step B - Weight by Scl Impact'!O26*'Step C weights'!G$40</f>
        <v>8.9063911728709741E-3</v>
      </c>
      <c r="Q25" s="28" t="str">
        <f t="shared" si="1"/>
        <v>HLO 4.5: Mycotoxin traceability system for food safety validated</v>
      </c>
      <c r="R25" s="5">
        <f>'Step B - Weight by Scl Impact'!R26*'Step C weights'!B$40</f>
        <v>0.21359119900102561</v>
      </c>
      <c r="S25" s="5">
        <f>'Step B - Weight by Scl Impact'!S26*'Step C weights'!C$40</f>
        <v>0.13987004483373672</v>
      </c>
      <c r="T25" s="5">
        <f>'Step B - Weight by Scl Impact'!T26*'Step C weights'!D$40</f>
        <v>0.27161980288053988</v>
      </c>
      <c r="U25" s="5">
        <f>'Step B - Weight by Scl Impact'!U26*'Step C weights'!E$40</f>
        <v>0.26832411994574579</v>
      </c>
      <c r="V25" s="5">
        <f>'Step B - Weight by Scl Impact'!V26*'Step C weights'!F$40</f>
        <v>0.16075850621013241</v>
      </c>
      <c r="W25" s="5">
        <f>'Step B - Weight by Scl Impact'!W26*'Step C weights'!G$40</f>
        <v>9.836021843553068E-2</v>
      </c>
      <c r="Y25" s="28" t="str">
        <f t="shared" si="2"/>
        <v>HLO 4.5: Mycotoxin traceability system for food safety validated</v>
      </c>
      <c r="Z25" s="5">
        <f>'Step B - Weight by Scl Impact'!Z26*'Step C weights'!B$40</f>
        <v>0.33380652993804161</v>
      </c>
      <c r="AA25" s="5">
        <f>'Step B - Weight by Scl Impact'!AA26*'Step C weights'!C$40</f>
        <v>5.3128572226533201E-2</v>
      </c>
      <c r="AB25" s="5">
        <f>'Step B - Weight by Scl Impact'!AB26*'Step C weights'!D$40</f>
        <v>9.4828532474255975E-2</v>
      </c>
      <c r="AC25" s="5">
        <f>'Step B - Weight by Scl Impact'!AC26*'Step C weights'!E$40</f>
        <v>0.17123092531193837</v>
      </c>
      <c r="AD25" s="5">
        <f>'Step B - Weight by Scl Impact'!AD26*'Step C weights'!F$40</f>
        <v>0.24367475044268461</v>
      </c>
      <c r="AE25" s="5">
        <f>'Step B - Weight by Scl Impact'!AE26*'Step C weights'!G$40</f>
        <v>0.25985954430349789</v>
      </c>
      <c r="AG25" s="28" t="str">
        <f t="shared" si="3"/>
        <v>HLO 4.5: Mycotoxin traceability system for food safety validated</v>
      </c>
      <c r="AH25" s="5">
        <f>'Step B - Weight by Scl Impact'!AH26*'Step C weights'!B$40</f>
        <v>0.22253768662536108</v>
      </c>
      <c r="AI25" s="5">
        <f>'Step B - Weight by Scl Impact'!AI26*'Step C weights'!C$40</f>
        <v>5.3128572226533201E-2</v>
      </c>
      <c r="AJ25" s="5">
        <f>'Step B - Weight by Scl Impact'!AJ26*'Step C weights'!D$40</f>
        <v>9.4828532474255975E-2</v>
      </c>
      <c r="AK25" s="5">
        <f>'Step B - Weight by Scl Impact'!AK26*'Step C weights'!E$40</f>
        <v>0.17123092531193837</v>
      </c>
      <c r="AL25" s="5">
        <f>'Step B - Weight by Scl Impact'!AL26*'Step C weights'!F$40</f>
        <v>0.24367475044268461</v>
      </c>
      <c r="AM25" s="5">
        <f>'Step B - Weight by Scl Impact'!AM26*'Step C weights'!G$40</f>
        <v>0.38978931645524678</v>
      </c>
    </row>
    <row r="26" spans="1:39">
      <c r="A26" s="28" t="str">
        <f>IF(NOT(ISBLANK(HLOs!D25)),HLOs!D25,"")</f>
        <v>HLO 5.1: Prioritization and suitability of water innovations for addressing risks</v>
      </c>
      <c r="B26" s="5">
        <f>'Step B - Weight by Scl Impact'!B27*'Step C weights'!B$40</f>
        <v>0.1576421514387519</v>
      </c>
      <c r="C26" s="5">
        <f>'Step B - Weight by Scl Impact'!C27*'Step C weights'!C$40</f>
        <v>0.20392982761128725</v>
      </c>
      <c r="D26" s="5">
        <f>'Step B - Weight by Scl Impact'!D27*'Step C weights'!D$40</f>
        <v>0.15429541028391047</v>
      </c>
      <c r="E26" s="5">
        <f>'Step B - Weight by Scl Impact'!E27*'Step C weights'!E$40</f>
        <v>0.52694251372461776</v>
      </c>
      <c r="F26" s="5">
        <f>'Step B - Weight by Scl Impact'!F27*'Step C weights'!F$40</f>
        <v>0.80914963205156409</v>
      </c>
      <c r="G26" s="5">
        <f>'Step B - Weight by Scl Impact'!G27*'Step C weights'!G$40</f>
        <v>0.17081750930770523</v>
      </c>
      <c r="I26" s="28" t="str">
        <f t="shared" si="0"/>
        <v>HLO 5.1: Prioritization and suitability of water innovations for addressing risks</v>
      </c>
      <c r="J26" s="5">
        <f>'Step B - Weight by Scl Impact'!J27*'Step C weights'!B$40</f>
        <v>0.11673100339377046</v>
      </c>
      <c r="K26" s="5">
        <f>'Step B - Weight by Scl Impact'!K27*'Step C weights'!C$40</f>
        <v>7.3740370499581612E-2</v>
      </c>
      <c r="L26" s="5">
        <f>'Step B - Weight by Scl Impact'!L27*'Step C weights'!D$40</f>
        <v>0.25122985468849346</v>
      </c>
      <c r="M26" s="5">
        <f>'Step B - Weight by Scl Impact'!M27*'Step C weights'!E$40</f>
        <v>0.84852565682552494</v>
      </c>
      <c r="N26" s="5">
        <f>'Step B - Weight by Scl Impact'!N27*'Step C weights'!F$40</f>
        <v>0.39980805202450748</v>
      </c>
      <c r="O26" s="5">
        <f>'Step B - Weight by Scl Impact'!O27*'Step C weights'!G$40</f>
        <v>2.2265977932177439E-2</v>
      </c>
      <c r="Q26" s="28" t="str">
        <f t="shared" si="1"/>
        <v>HLO 5.1: Prioritization and suitability of water innovations for addressing risks</v>
      </c>
      <c r="R26" s="5">
        <f>'Step B - Weight by Scl Impact'!R27*'Step C weights'!B$40</f>
        <v>0.35598533166837598</v>
      </c>
      <c r="S26" s="5">
        <f>'Step B - Weight by Scl Impact'!S27*'Step C weights'!C$40</f>
        <v>0.34967511208434177</v>
      </c>
      <c r="T26" s="5">
        <f>'Step B - Weight by Scl Impact'!T27*'Step C weights'!D$40</f>
        <v>0.18107986858702657</v>
      </c>
      <c r="U26" s="5">
        <f>'Step B - Weight by Scl Impact'!U27*'Step C weights'!E$40</f>
        <v>0.17888274663049719</v>
      </c>
      <c r="V26" s="5">
        <f>'Step B - Weight by Scl Impact'!V27*'Step C weights'!F$40</f>
        <v>0.40189626552533098</v>
      </c>
      <c r="W26" s="5">
        <f>'Step B - Weight by Scl Impact'!W27*'Step C weights'!G$40</f>
        <v>0.24590054608882669</v>
      </c>
      <c r="Y26" s="28" t="str">
        <f t="shared" si="2"/>
        <v>HLO 5.1: Prioritization and suitability of water innovations for addressing risks</v>
      </c>
      <c r="Z26" s="5">
        <f>'Step B - Weight by Scl Impact'!Z27*'Step C weights'!B$40</f>
        <v>0.22253768662536108</v>
      </c>
      <c r="AA26" s="5">
        <f>'Step B - Weight by Scl Impact'!AA27*'Step C weights'!C$40</f>
        <v>0.132821430566333</v>
      </c>
      <c r="AB26" s="5">
        <f>'Step B - Weight by Scl Impact'!AB27*'Step C weights'!D$40</f>
        <v>9.4828532474255975E-2</v>
      </c>
      <c r="AC26" s="5">
        <f>'Step B - Weight by Scl Impact'!AC27*'Step C weights'!E$40</f>
        <v>0.28538487551989722</v>
      </c>
      <c r="AD26" s="5">
        <f>'Step B - Weight by Scl Impact'!AD27*'Step C weights'!F$40</f>
        <v>0.48734950088536921</v>
      </c>
      <c r="AE26" s="5">
        <f>'Step B - Weight by Scl Impact'!AE27*'Step C weights'!G$40</f>
        <v>0.64964886075874462</v>
      </c>
      <c r="AG26" s="28" t="str">
        <f t="shared" si="3"/>
        <v>HLO 5.1: Prioritization and suitability of water innovations for addressing risks</v>
      </c>
      <c r="AH26" s="5">
        <f>'Step B - Weight by Scl Impact'!AH27*'Step C weights'!B$40</f>
        <v>0.55634421656340272</v>
      </c>
      <c r="AI26" s="5">
        <f>'Step B - Weight by Scl Impact'!AI27*'Step C weights'!C$40</f>
        <v>0.132821430566333</v>
      </c>
      <c r="AJ26" s="5">
        <f>'Step B - Weight by Scl Impact'!AJ27*'Step C weights'!D$40</f>
        <v>0.15804755412375995</v>
      </c>
      <c r="AK26" s="5">
        <f>'Step B - Weight by Scl Impact'!AK27*'Step C weights'!E$40</f>
        <v>0.28538487551989722</v>
      </c>
      <c r="AL26" s="5">
        <f>'Step B - Weight by Scl Impact'!AL27*'Step C weights'!F$40</f>
        <v>0.60918687610671152</v>
      </c>
      <c r="AM26" s="5">
        <f>'Step B - Weight by Scl Impact'!AM27*'Step C weights'!G$40</f>
        <v>0.64964886075874462</v>
      </c>
    </row>
    <row r="27" spans="1:39">
      <c r="A27" s="28" t="str">
        <f>IF(NOT(ISBLANK(HLOs!D26)),HLOs!D26,"")</f>
        <v>HLO 5.2: Socially inclusive water management solutions addressing risks</v>
      </c>
      <c r="B27" s="5">
        <f>'Step B - Weight by Scl Impact'!B28*'Step C weights'!B$40</f>
        <v>6.3056860575500764E-2</v>
      </c>
      <c r="C27" s="5">
        <f>'Step B - Weight by Scl Impact'!C28*'Step C weights'!C$40</f>
        <v>0.20392982761128725</v>
      </c>
      <c r="D27" s="5">
        <f>'Step B - Weight by Scl Impact'!D28*'Step C weights'!D$40</f>
        <v>0.15429541028391047</v>
      </c>
      <c r="E27" s="5">
        <f>'Step B - Weight by Scl Impact'!E28*'Step C weights'!E$40</f>
        <v>0.52694251372461776</v>
      </c>
      <c r="F27" s="5">
        <f>'Step B - Weight by Scl Impact'!F28*'Step C weights'!F$40</f>
        <v>0.6473197056412513</v>
      </c>
      <c r="G27" s="5">
        <f>'Step B - Weight by Scl Impact'!G28*'Step C weights'!G$40</f>
        <v>6.8327003723082078E-2</v>
      </c>
      <c r="I27" s="28" t="str">
        <f t="shared" si="0"/>
        <v>HLO 5.2: Socially inclusive water management solutions addressing risks</v>
      </c>
      <c r="J27" s="5">
        <f>'Step B - Weight by Scl Impact'!J28*'Step C weights'!B$40</f>
        <v>4.6692401357508191E-2</v>
      </c>
      <c r="K27" s="5">
        <f>'Step B - Weight by Scl Impact'!K28*'Step C weights'!C$40</f>
        <v>5.8992296399665294E-2</v>
      </c>
      <c r="L27" s="5">
        <f>'Step B - Weight by Scl Impact'!L28*'Step C weights'!D$40</f>
        <v>0.12561492734424673</v>
      </c>
      <c r="M27" s="5">
        <f>'Step B - Weight by Scl Impact'!M28*'Step C weights'!E$40</f>
        <v>0.84852565682552494</v>
      </c>
      <c r="N27" s="5">
        <f>'Step B - Weight by Scl Impact'!N28*'Step C weights'!F$40</f>
        <v>0.39980805202450748</v>
      </c>
      <c r="O27" s="5">
        <f>'Step B - Weight by Scl Impact'!O28*'Step C weights'!G$40</f>
        <v>4.453195586435487E-3</v>
      </c>
      <c r="Q27" s="28" t="str">
        <f t="shared" si="1"/>
        <v>HLO 5.2: Socially inclusive water management solutions addressing risks</v>
      </c>
      <c r="R27" s="5">
        <f>'Step B - Weight by Scl Impact'!R28*'Step C weights'!B$40</f>
        <v>0.1423941326673504</v>
      </c>
      <c r="S27" s="5">
        <f>'Step B - Weight by Scl Impact'!S28*'Step C weights'!C$40</f>
        <v>0.34967511208434177</v>
      </c>
      <c r="T27" s="5">
        <f>'Step B - Weight by Scl Impact'!T28*'Step C weights'!D$40</f>
        <v>0.18107986858702657</v>
      </c>
      <c r="U27" s="5">
        <f>'Step B - Weight by Scl Impact'!U28*'Step C weights'!E$40</f>
        <v>8.9441373315248596E-2</v>
      </c>
      <c r="V27" s="5">
        <f>'Step B - Weight by Scl Impact'!V28*'Step C weights'!F$40</f>
        <v>8.0379253105066203E-2</v>
      </c>
      <c r="W27" s="5">
        <f>'Step B - Weight by Scl Impact'!W28*'Step C weights'!G$40</f>
        <v>9.836021843553068E-2</v>
      </c>
      <c r="Y27" s="28" t="str">
        <f t="shared" si="2"/>
        <v>HLO 5.2: Socially inclusive water management solutions addressing risks</v>
      </c>
      <c r="Z27" s="5">
        <f>'Step B - Weight by Scl Impact'!Z28*'Step C weights'!B$40</f>
        <v>0.22253768662536108</v>
      </c>
      <c r="AA27" s="5">
        <f>'Step B - Weight by Scl Impact'!AA28*'Step C weights'!C$40</f>
        <v>0.132821430566333</v>
      </c>
      <c r="AB27" s="5">
        <f>'Step B - Weight by Scl Impact'!AB28*'Step C weights'!D$40</f>
        <v>6.3219021649503979E-2</v>
      </c>
      <c r="AC27" s="5">
        <f>'Step B - Weight by Scl Impact'!AC28*'Step C weights'!E$40</f>
        <v>0.28538487551989722</v>
      </c>
      <c r="AD27" s="5">
        <f>'Step B - Weight by Scl Impact'!AD28*'Step C weights'!F$40</f>
        <v>0.48734950088536921</v>
      </c>
      <c r="AE27" s="5">
        <f>'Step B - Weight by Scl Impact'!AE28*'Step C weights'!G$40</f>
        <v>0.51971908860699578</v>
      </c>
      <c r="AG27" s="28" t="str">
        <f t="shared" si="3"/>
        <v>HLO 5.2: Socially inclusive water management solutions addressing risks</v>
      </c>
      <c r="AH27" s="5">
        <f>'Step B - Weight by Scl Impact'!AH28*'Step C weights'!B$40</f>
        <v>0.44507537325072216</v>
      </c>
      <c r="AI27" s="5">
        <f>'Step B - Weight by Scl Impact'!AI28*'Step C weights'!C$40</f>
        <v>0.132821430566333</v>
      </c>
      <c r="AJ27" s="5">
        <f>'Step B - Weight by Scl Impact'!AJ28*'Step C weights'!D$40</f>
        <v>0.15804755412375995</v>
      </c>
      <c r="AK27" s="5">
        <f>'Step B - Weight by Scl Impact'!AK28*'Step C weights'!E$40</f>
        <v>0.28538487551989722</v>
      </c>
      <c r="AL27" s="5">
        <f>'Step B - Weight by Scl Impact'!AL28*'Step C weights'!F$40</f>
        <v>0.48734950088536921</v>
      </c>
      <c r="AM27" s="5">
        <f>'Step B - Weight by Scl Impact'!AM28*'Step C weights'!G$40</f>
        <v>0.12992977215174895</v>
      </c>
    </row>
    <row r="28" spans="1:39">
      <c r="A28" s="28" t="str">
        <f>IF(NOT(ISBLANK(HLOs!D27)),HLOs!D27,"")</f>
        <v>HLO 5.3: Training materials for water management solutions</v>
      </c>
      <c r="B28" s="5">
        <f>'Step B - Weight by Scl Impact'!B29*'Step C weights'!B$40</f>
        <v>6.3056860575500764E-2</v>
      </c>
      <c r="C28" s="5">
        <f>'Step B - Weight by Scl Impact'!C29*'Step C weights'!C$40</f>
        <v>0.20392982761128725</v>
      </c>
      <c r="D28" s="5">
        <f>'Step B - Weight by Scl Impact'!D29*'Step C weights'!D$40</f>
        <v>0.38573852570977618</v>
      </c>
      <c r="E28" s="5">
        <f>'Step B - Weight by Scl Impact'!E29*'Step C weights'!E$40</f>
        <v>0.10538850274492355</v>
      </c>
      <c r="F28" s="5">
        <f>'Step B - Weight by Scl Impact'!F29*'Step C weights'!F$40</f>
        <v>0.6473197056412513</v>
      </c>
      <c r="G28" s="5">
        <f>'Step B - Weight by Scl Impact'!G29*'Step C weights'!G$40</f>
        <v>6.8327003723082078E-2</v>
      </c>
      <c r="I28" s="28" t="str">
        <f t="shared" si="0"/>
        <v>HLO 5.3: Training materials for water management solutions</v>
      </c>
      <c r="J28" s="5">
        <f>'Step B - Weight by Scl Impact'!J29*'Step C weights'!B$40</f>
        <v>4.6692401357508191E-2</v>
      </c>
      <c r="K28" s="5">
        <f>'Step B - Weight by Scl Impact'!K29*'Step C weights'!C$40</f>
        <v>5.8992296399665294E-2</v>
      </c>
      <c r="L28" s="5">
        <f>'Step B - Weight by Scl Impact'!L29*'Step C weights'!D$40</f>
        <v>0.12561492734424673</v>
      </c>
      <c r="M28" s="5">
        <f>'Step B - Weight by Scl Impact'!M29*'Step C weights'!E$40</f>
        <v>0.16970513136510498</v>
      </c>
      <c r="N28" s="5">
        <f>'Step B - Weight by Scl Impact'!N29*'Step C weights'!F$40</f>
        <v>0.39980805202450748</v>
      </c>
      <c r="O28" s="5">
        <f>'Step B - Weight by Scl Impact'!O29*'Step C weights'!G$40</f>
        <v>4.453195586435487E-3</v>
      </c>
      <c r="Q28" s="28" t="str">
        <f t="shared" si="1"/>
        <v>HLO 5.3: Training materials for water management solutions</v>
      </c>
      <c r="R28" s="5">
        <f>'Step B - Weight by Scl Impact'!R29*'Step C weights'!B$40</f>
        <v>0.1423941326673504</v>
      </c>
      <c r="S28" s="5">
        <f>'Step B - Weight by Scl Impact'!S29*'Step C weights'!C$40</f>
        <v>6.9935022416868359E-2</v>
      </c>
      <c r="T28" s="5">
        <f>'Step B - Weight by Scl Impact'!T29*'Step C weights'!D$40</f>
        <v>0.18107986858702657</v>
      </c>
      <c r="U28" s="5">
        <f>'Step B - Weight by Scl Impact'!U29*'Step C weights'!E$40</f>
        <v>8.9441373315248596E-2</v>
      </c>
      <c r="V28" s="5">
        <f>'Step B - Weight by Scl Impact'!V29*'Step C weights'!F$40</f>
        <v>8.0379253105066203E-2</v>
      </c>
      <c r="W28" s="5">
        <f>'Step B - Weight by Scl Impact'!W29*'Step C weights'!G$40</f>
        <v>4.918010921776534E-2</v>
      </c>
      <c r="Y28" s="28" t="str">
        <f t="shared" si="2"/>
        <v>HLO 5.3: Training materials for water management solutions</v>
      </c>
      <c r="Z28" s="5">
        <f>'Step B - Weight by Scl Impact'!Z29*'Step C weights'!B$40</f>
        <v>0.44507537325072216</v>
      </c>
      <c r="AA28" s="5">
        <f>'Step B - Weight by Scl Impact'!AA29*'Step C weights'!C$40</f>
        <v>0.132821430566333</v>
      </c>
      <c r="AB28" s="5">
        <f>'Step B - Weight by Scl Impact'!AB29*'Step C weights'!D$40</f>
        <v>6.3219021649503979E-2</v>
      </c>
      <c r="AC28" s="5">
        <f>'Step B - Weight by Scl Impact'!AC29*'Step C weights'!E$40</f>
        <v>5.7076975103979452E-2</v>
      </c>
      <c r="AD28" s="5">
        <f>'Step B - Weight by Scl Impact'!AD29*'Step C weights'!F$40</f>
        <v>0.48734950088536921</v>
      </c>
      <c r="AE28" s="5">
        <f>'Step B - Weight by Scl Impact'!AE29*'Step C weights'!G$40</f>
        <v>0.51971908860699578</v>
      </c>
      <c r="AG28" s="28" t="str">
        <f t="shared" si="3"/>
        <v>HLO 5.3: Training materials for water management solutions</v>
      </c>
      <c r="AH28" s="5">
        <f>'Step B - Weight by Scl Impact'!AH29*'Step C weights'!B$40</f>
        <v>0.11126884331268054</v>
      </c>
      <c r="AI28" s="5">
        <f>'Step B - Weight by Scl Impact'!AI29*'Step C weights'!C$40</f>
        <v>0.132821430566333</v>
      </c>
      <c r="AJ28" s="5">
        <f>'Step B - Weight by Scl Impact'!AJ29*'Step C weights'!D$40</f>
        <v>6.3219021649503979E-2</v>
      </c>
      <c r="AK28" s="5">
        <f>'Step B - Weight by Scl Impact'!AK29*'Step C weights'!E$40</f>
        <v>5.7076975103979452E-2</v>
      </c>
      <c r="AL28" s="5">
        <f>'Step B - Weight by Scl Impact'!AL29*'Step C weights'!F$40</f>
        <v>0.1218373752213423</v>
      </c>
      <c r="AM28" s="5">
        <f>'Step B - Weight by Scl Impact'!AM29*'Step C weights'!G$40</f>
        <v>0.38978931645524678</v>
      </c>
    </row>
    <row r="29" spans="1:39">
      <c r="A29" s="28" t="str">
        <f>IF(NOT(ISBLANK(HLOs!D28)),HLOs!D28,"")</f>
        <v>HLO 5.4: Evidence for policy on agricultural water management practices</v>
      </c>
      <c r="B29" s="5">
        <f>'Step B - Weight by Scl Impact'!B30*'Step C weights'!B$40</f>
        <v>6.3056860575500764E-2</v>
      </c>
      <c r="C29" s="5">
        <f>'Step B - Weight by Scl Impact'!C30*'Step C weights'!C$40</f>
        <v>0.20392982761128725</v>
      </c>
      <c r="D29" s="5">
        <f>'Step B - Weight by Scl Impact'!D30*'Step C weights'!D$40</f>
        <v>0.38573852570977618</v>
      </c>
      <c r="E29" s="5">
        <f>'Step B - Weight by Scl Impact'!E30*'Step C weights'!E$40</f>
        <v>0.10538850274492355</v>
      </c>
      <c r="F29" s="5">
        <f>'Step B - Weight by Scl Impact'!F30*'Step C weights'!F$40</f>
        <v>0.6473197056412513</v>
      </c>
      <c r="G29" s="5">
        <f>'Step B - Weight by Scl Impact'!G30*'Step C weights'!G$40</f>
        <v>6.8327003723082078E-2</v>
      </c>
      <c r="I29" s="28" t="str">
        <f t="shared" si="0"/>
        <v>HLO 5.4: Evidence for policy on agricultural water management practices</v>
      </c>
      <c r="J29" s="5">
        <f>'Step B - Weight by Scl Impact'!J30*'Step C weights'!B$40</f>
        <v>4.6692401357508191E-2</v>
      </c>
      <c r="K29" s="5">
        <f>'Step B - Weight by Scl Impact'!K30*'Step C weights'!C$40</f>
        <v>7.3740370499581612E-2</v>
      </c>
      <c r="L29" s="5">
        <f>'Step B - Weight by Scl Impact'!L30*'Step C weights'!D$40</f>
        <v>0.12561492734424673</v>
      </c>
      <c r="M29" s="5">
        <f>'Step B - Weight by Scl Impact'!M30*'Step C weights'!E$40</f>
        <v>0.16970513136510498</v>
      </c>
      <c r="N29" s="5">
        <f>'Step B - Weight by Scl Impact'!N30*'Step C weights'!F$40</f>
        <v>0.39980805202450748</v>
      </c>
      <c r="O29" s="5">
        <f>'Step B - Weight by Scl Impact'!O30*'Step C weights'!G$40</f>
        <v>4.453195586435487E-3</v>
      </c>
      <c r="Q29" s="28" t="str">
        <f t="shared" si="1"/>
        <v>HLO 5.4: Evidence for policy on agricultural water management practices</v>
      </c>
      <c r="R29" s="5">
        <f>'Step B - Weight by Scl Impact'!R30*'Step C weights'!B$40</f>
        <v>0.1423941326673504</v>
      </c>
      <c r="S29" s="5">
        <f>'Step B - Weight by Scl Impact'!S30*'Step C weights'!C$40</f>
        <v>0.34967511208434177</v>
      </c>
      <c r="T29" s="5">
        <f>'Step B - Weight by Scl Impact'!T30*'Step C weights'!D$40</f>
        <v>9.0539934293513286E-2</v>
      </c>
      <c r="U29" s="5">
        <f>'Step B - Weight by Scl Impact'!U30*'Step C weights'!E$40</f>
        <v>8.9441373315248596E-2</v>
      </c>
      <c r="V29" s="5">
        <f>'Step B - Weight by Scl Impact'!V30*'Step C weights'!F$40</f>
        <v>0.40189626552533098</v>
      </c>
      <c r="W29" s="5">
        <f>'Step B - Weight by Scl Impact'!W30*'Step C weights'!G$40</f>
        <v>4.918010921776534E-2</v>
      </c>
      <c r="Y29" s="28" t="str">
        <f t="shared" si="2"/>
        <v>HLO 5.4: Evidence for policy on agricultural water management practices</v>
      </c>
      <c r="Z29" s="5">
        <f>'Step B - Weight by Scl Impact'!Z30*'Step C weights'!B$40</f>
        <v>0.22253768662536108</v>
      </c>
      <c r="AA29" s="5">
        <f>'Step B - Weight by Scl Impact'!AA30*'Step C weights'!C$40</f>
        <v>0.132821430566333</v>
      </c>
      <c r="AB29" s="5">
        <f>'Step B - Weight by Scl Impact'!AB30*'Step C weights'!D$40</f>
        <v>6.3219021649503979E-2</v>
      </c>
      <c r="AC29" s="5">
        <f>'Step B - Weight by Scl Impact'!AC30*'Step C weights'!E$40</f>
        <v>5.7076975103979452E-2</v>
      </c>
      <c r="AD29" s="5">
        <f>'Step B - Weight by Scl Impact'!AD30*'Step C weights'!F$40</f>
        <v>0.48734950088536921</v>
      </c>
      <c r="AE29" s="5">
        <f>'Step B - Weight by Scl Impact'!AE30*'Step C weights'!G$40</f>
        <v>0.25985954430349789</v>
      </c>
      <c r="AG29" s="28" t="str">
        <f t="shared" si="3"/>
        <v>HLO 5.4: Evidence for policy on agricultural water management practices</v>
      </c>
      <c r="AH29" s="5">
        <f>'Step B - Weight by Scl Impact'!AH30*'Step C weights'!B$40</f>
        <v>0.44507537325072216</v>
      </c>
      <c r="AI29" s="5">
        <f>'Step B - Weight by Scl Impact'!AI30*'Step C weights'!C$40</f>
        <v>0.132821430566333</v>
      </c>
      <c r="AJ29" s="5">
        <f>'Step B - Weight by Scl Impact'!AJ30*'Step C weights'!D$40</f>
        <v>0.15804755412375995</v>
      </c>
      <c r="AK29" s="5">
        <f>'Step B - Weight by Scl Impact'!AK30*'Step C weights'!E$40</f>
        <v>0.28538487551989722</v>
      </c>
      <c r="AL29" s="5">
        <f>'Step B - Weight by Scl Impact'!AL30*'Step C weights'!F$40</f>
        <v>0.48734950088536921</v>
      </c>
      <c r="AM29" s="5">
        <f>'Step B - Weight by Scl Impact'!AM30*'Step C weights'!G$40</f>
        <v>0.12992977215174895</v>
      </c>
    </row>
    <row r="30" spans="1:39">
      <c r="A30" s="28" t="str">
        <f>IF(NOT(ISBLANK(HLOs!D29)),HLOs!D29,"")</f>
        <v>HLO 6.1: Social-inclusive SAMs that improve resource use efficiencies</v>
      </c>
      <c r="B30" s="5">
        <f>'Step B - Weight by Scl Impact'!B31*'Step C weights'!B$40</f>
        <v>3.1528430287750382E-2</v>
      </c>
      <c r="C30" s="5">
        <f>'Step B - Weight by Scl Impact'!C31*'Step C weights'!C$40</f>
        <v>4.0785965522257446E-2</v>
      </c>
      <c r="D30" s="5">
        <f>'Step B - Weight by Scl Impact'!D31*'Step C weights'!D$40</f>
        <v>0.30859082056782094</v>
      </c>
      <c r="E30" s="5">
        <f>'Step B - Weight by Scl Impact'!E31*'Step C weights'!E$40</f>
        <v>0.42155401097969419</v>
      </c>
      <c r="F30" s="5">
        <f>'Step B - Weight by Scl Impact'!F31*'Step C weights'!F$40</f>
        <v>0.16182992641031282</v>
      </c>
      <c r="G30" s="5">
        <f>'Step B - Weight by Scl Impact'!G31*'Step C weights'!G$40</f>
        <v>3.4163501861541039E-2</v>
      </c>
      <c r="I30" s="28" t="str">
        <f t="shared" si="0"/>
        <v>HLO 6.1: Social-inclusive SAMs that improve resource use efficiencies</v>
      </c>
      <c r="J30" s="5">
        <f>'Step B - Weight by Scl Impact'!J31*'Step C weights'!B$40</f>
        <v>2.3346200678754096E-2</v>
      </c>
      <c r="K30" s="5">
        <f>'Step B - Weight by Scl Impact'!K31*'Step C weights'!C$40</f>
        <v>1.4748074099916323E-2</v>
      </c>
      <c r="L30" s="5">
        <f>'Step B - Weight by Scl Impact'!L31*'Step C weights'!D$40</f>
        <v>0.12561492734424673</v>
      </c>
      <c r="M30" s="5">
        <f>'Step B - Weight by Scl Impact'!M31*'Step C weights'!E$40</f>
        <v>0.84852565682552494</v>
      </c>
      <c r="N30" s="5">
        <f>'Step B - Weight by Scl Impact'!N31*'Step C weights'!F$40</f>
        <v>0.39980805202450748</v>
      </c>
      <c r="O30" s="5">
        <f>'Step B - Weight by Scl Impact'!O31*'Step C weights'!G$40</f>
        <v>1.7812782345741948E-2</v>
      </c>
      <c r="Q30" s="28" t="str">
        <f t="shared" si="1"/>
        <v>HLO 6.1: Social-inclusive SAMs that improve resource use efficiencies</v>
      </c>
      <c r="R30" s="5">
        <f>'Step B - Weight by Scl Impact'!R31*'Step C weights'!B$40</f>
        <v>7.1197066333675202E-2</v>
      </c>
      <c r="S30" s="5">
        <f>'Step B - Weight by Scl Impact'!S31*'Step C weights'!C$40</f>
        <v>0.27974008966747343</v>
      </c>
      <c r="T30" s="5">
        <f>'Step B - Weight by Scl Impact'!T31*'Step C weights'!D$40</f>
        <v>9.0539934293513286E-2</v>
      </c>
      <c r="U30" s="5">
        <f>'Step B - Weight by Scl Impact'!U31*'Step C weights'!E$40</f>
        <v>0.44720686657624303</v>
      </c>
      <c r="V30" s="5">
        <f>'Step B - Weight by Scl Impact'!V31*'Step C weights'!F$40</f>
        <v>0.40189626552533098</v>
      </c>
      <c r="W30" s="5">
        <f>'Step B - Weight by Scl Impact'!W31*'Step C weights'!G$40</f>
        <v>0.19672043687106136</v>
      </c>
      <c r="Y30" s="28" t="str">
        <f t="shared" si="2"/>
        <v>HLO 6.1: Social-inclusive SAMs that improve resource use efficiencies</v>
      </c>
      <c r="Z30" s="5">
        <f>'Step B - Weight by Scl Impact'!Z31*'Step C weights'!B$40</f>
        <v>0.11126884331268054</v>
      </c>
      <c r="AA30" s="5">
        <f>'Step B - Weight by Scl Impact'!AA31*'Step C weights'!C$40</f>
        <v>2.65642861132666E-2</v>
      </c>
      <c r="AB30" s="5">
        <f>'Step B - Weight by Scl Impact'!AB31*'Step C weights'!D$40</f>
        <v>0.12643804329900796</v>
      </c>
      <c r="AC30" s="5">
        <f>'Step B - Weight by Scl Impact'!AC31*'Step C weights'!E$40</f>
        <v>5.7076975103979452E-2</v>
      </c>
      <c r="AD30" s="5">
        <f>'Step B - Weight by Scl Impact'!AD31*'Step C weights'!F$40</f>
        <v>0.48734950088536921</v>
      </c>
      <c r="AE30" s="5">
        <f>'Step B - Weight by Scl Impact'!AE31*'Step C weights'!G$40</f>
        <v>0.12992977215174895</v>
      </c>
      <c r="AG30" s="28" t="str">
        <f t="shared" si="3"/>
        <v>HLO 6.1: Social-inclusive SAMs that improve resource use efficiencies</v>
      </c>
      <c r="AH30" s="5">
        <f>'Step B - Weight by Scl Impact'!AH31*'Step C weights'!B$40</f>
        <v>0.11126884331268054</v>
      </c>
      <c r="AI30" s="5">
        <f>'Step B - Weight by Scl Impact'!AI31*'Step C weights'!C$40</f>
        <v>2.65642861132666E-2</v>
      </c>
      <c r="AJ30" s="5">
        <f>'Step B - Weight by Scl Impact'!AJ31*'Step C weights'!D$40</f>
        <v>3.1609510824751989E-2</v>
      </c>
      <c r="AK30" s="5">
        <f>'Step B - Weight by Scl Impact'!AK31*'Step C weights'!E$40</f>
        <v>5.7076975103979452E-2</v>
      </c>
      <c r="AL30" s="5">
        <f>'Step B - Weight by Scl Impact'!AL31*'Step C weights'!F$40</f>
        <v>0.48734950088536921</v>
      </c>
      <c r="AM30" s="5">
        <f>'Step B - Weight by Scl Impact'!AM31*'Step C weights'!G$40</f>
        <v>0.38978931645524678</v>
      </c>
    </row>
    <row r="31" spans="1:39">
      <c r="A31" s="28" t="str">
        <f>IF(NOT(ISBLANK(HLOs!D30)),HLOs!D30,"")</f>
        <v>HLO 6.2: Business models for delivery of SAM options</v>
      </c>
      <c r="B31" s="5">
        <f>'Step B - Weight by Scl Impact'!B32*'Step C weights'!B$40</f>
        <v>0.12611372115100153</v>
      </c>
      <c r="C31" s="5">
        <f>'Step B - Weight by Scl Impact'!C32*'Step C weights'!C$40</f>
        <v>0.12235789656677233</v>
      </c>
      <c r="D31" s="5">
        <f>'Step B - Weight by Scl Impact'!D32*'Step C weights'!D$40</f>
        <v>0.30859082056782094</v>
      </c>
      <c r="E31" s="5">
        <f>'Step B - Weight by Scl Impact'!E32*'Step C weights'!E$40</f>
        <v>0.42155401097969419</v>
      </c>
      <c r="F31" s="5">
        <f>'Step B - Weight by Scl Impact'!F32*'Step C weights'!F$40</f>
        <v>0.16182992641031282</v>
      </c>
      <c r="G31" s="5">
        <f>'Step B - Weight by Scl Impact'!G32*'Step C weights'!G$40</f>
        <v>0.17081750930770523</v>
      </c>
      <c r="I31" s="28" t="str">
        <f t="shared" ref="I31:I42" si="4">A31</f>
        <v>HLO 6.2: Business models for delivery of SAM options</v>
      </c>
      <c r="J31" s="5">
        <f>'Step B - Weight by Scl Impact'!J32*'Step C weights'!B$40</f>
        <v>0.11673100339377046</v>
      </c>
      <c r="K31" s="5">
        <f>'Step B - Weight by Scl Impact'!K32*'Step C weights'!C$40</f>
        <v>5.8992296399665294E-2</v>
      </c>
      <c r="L31" s="5">
        <f>'Step B - Weight by Scl Impact'!L32*'Step C weights'!D$40</f>
        <v>0.12561492734424673</v>
      </c>
      <c r="M31" s="5">
        <f>'Step B - Weight by Scl Impact'!M32*'Step C weights'!E$40</f>
        <v>0.84852565682552494</v>
      </c>
      <c r="N31" s="5">
        <f>'Step B - Weight by Scl Impact'!N32*'Step C weights'!F$40</f>
        <v>0.39980805202450748</v>
      </c>
      <c r="O31" s="5">
        <f>'Step B - Weight by Scl Impact'!O32*'Step C weights'!G$40</f>
        <v>2.2265977932177439E-2</v>
      </c>
      <c r="Q31" s="28" t="str">
        <f t="shared" ref="Q31:Q42" si="5">I31</f>
        <v>HLO 6.2: Business models for delivery of SAM options</v>
      </c>
      <c r="R31" s="5">
        <f>'Step B - Weight by Scl Impact'!R32*'Step C weights'!B$40</f>
        <v>0.21359119900102561</v>
      </c>
      <c r="S31" s="5">
        <f>'Step B - Weight by Scl Impact'!S32*'Step C weights'!C$40</f>
        <v>0.27974008966747343</v>
      </c>
      <c r="T31" s="5">
        <f>'Step B - Weight by Scl Impact'!T32*'Step C weights'!D$40</f>
        <v>9.0539934293513286E-2</v>
      </c>
      <c r="U31" s="5">
        <f>'Step B - Weight by Scl Impact'!U32*'Step C weights'!E$40</f>
        <v>0.44720686657624303</v>
      </c>
      <c r="V31" s="5">
        <f>'Step B - Weight by Scl Impact'!V32*'Step C weights'!F$40</f>
        <v>0.32151701242026481</v>
      </c>
      <c r="W31" s="5">
        <f>'Step B - Weight by Scl Impact'!W32*'Step C weights'!G$40</f>
        <v>0.24590054608882669</v>
      </c>
      <c r="Y31" s="28" t="str">
        <f t="shared" ref="Y31:Y42" si="6">Q31</f>
        <v>HLO 6.2: Business models for delivery of SAM options</v>
      </c>
      <c r="Z31" s="5">
        <f>'Step B - Weight by Scl Impact'!Z32*'Step C weights'!B$40</f>
        <v>0.11126884331268054</v>
      </c>
      <c r="AA31" s="5">
        <f>'Step B - Weight by Scl Impact'!AA32*'Step C weights'!C$40</f>
        <v>2.65642861132666E-2</v>
      </c>
      <c r="AB31" s="5">
        <f>'Step B - Weight by Scl Impact'!AB32*'Step C weights'!D$40</f>
        <v>3.1609510824751989E-2</v>
      </c>
      <c r="AC31" s="5">
        <f>'Step B - Weight by Scl Impact'!AC32*'Step C weights'!E$40</f>
        <v>5.7076975103979452E-2</v>
      </c>
      <c r="AD31" s="5">
        <f>'Step B - Weight by Scl Impact'!AD32*'Step C weights'!F$40</f>
        <v>0.1218373752213423</v>
      </c>
      <c r="AE31" s="5">
        <f>'Step B - Weight by Scl Impact'!AE32*'Step C weights'!G$40</f>
        <v>0.51971908860699578</v>
      </c>
      <c r="AG31" s="28" t="str">
        <f t="shared" ref="AG31:AG42" si="7">A31</f>
        <v>HLO 6.2: Business models for delivery of SAM options</v>
      </c>
      <c r="AH31" s="5">
        <f>'Step B - Weight by Scl Impact'!AH32*'Step C weights'!B$40</f>
        <v>0.55634421656340272</v>
      </c>
      <c r="AI31" s="5">
        <f>'Step B - Weight by Scl Impact'!AI32*'Step C weights'!C$40</f>
        <v>5.3128572226533201E-2</v>
      </c>
      <c r="AJ31" s="5">
        <f>'Step B - Weight by Scl Impact'!AJ32*'Step C weights'!D$40</f>
        <v>3.1609510824751989E-2</v>
      </c>
      <c r="AK31" s="5">
        <f>'Step B - Weight by Scl Impact'!AK32*'Step C weights'!E$40</f>
        <v>5.7076975103979452E-2</v>
      </c>
      <c r="AL31" s="5">
        <f>'Step B - Weight by Scl Impact'!AL32*'Step C weights'!F$40</f>
        <v>0.48734950088536921</v>
      </c>
      <c r="AM31" s="5">
        <f>'Step B - Weight by Scl Impact'!AM32*'Step C weights'!G$40</f>
        <v>0.64964886075874462</v>
      </c>
    </row>
    <row r="32" spans="1:39">
      <c r="A32" s="28" t="str">
        <f>IF(NOT(ISBLANK(HLOs!D31)),HLOs!D31,"")</f>
        <v>HLO 6.3: Training materials for SAM options</v>
      </c>
      <c r="B32" s="5">
        <f>'Step B - Weight by Scl Impact'!B33*'Step C weights'!B$40</f>
        <v>3.1528430287750382E-2</v>
      </c>
      <c r="C32" s="5">
        <f>'Step B - Weight by Scl Impact'!C33*'Step C weights'!C$40</f>
        <v>4.0785965522257446E-2</v>
      </c>
      <c r="D32" s="5">
        <f>'Step B - Weight by Scl Impact'!D33*'Step C weights'!D$40</f>
        <v>0.23144311542586568</v>
      </c>
      <c r="E32" s="5">
        <f>'Step B - Weight by Scl Impact'!E33*'Step C weights'!E$40</f>
        <v>0.31616550823477063</v>
      </c>
      <c r="F32" s="5">
        <f>'Step B - Weight by Scl Impact'!F33*'Step C weights'!F$40</f>
        <v>0.16182992641031282</v>
      </c>
      <c r="G32" s="5">
        <f>'Step B - Weight by Scl Impact'!G33*'Step C weights'!G$40</f>
        <v>3.4163501861541039E-2</v>
      </c>
      <c r="I32" s="28" t="str">
        <f t="shared" si="4"/>
        <v>HLO 6.3: Training materials for SAM options</v>
      </c>
      <c r="J32" s="5">
        <f>'Step B - Weight by Scl Impact'!J33*'Step C weights'!B$40</f>
        <v>2.3346200678754096E-2</v>
      </c>
      <c r="K32" s="5">
        <f>'Step B - Weight by Scl Impact'!K33*'Step C weights'!C$40</f>
        <v>1.4748074099916323E-2</v>
      </c>
      <c r="L32" s="5">
        <f>'Step B - Weight by Scl Impact'!L33*'Step C weights'!D$40</f>
        <v>0.62807463672123354</v>
      </c>
      <c r="M32" s="5">
        <f>'Step B - Weight by Scl Impact'!M33*'Step C weights'!E$40</f>
        <v>0.84852565682552494</v>
      </c>
      <c r="N32" s="5">
        <f>'Step B - Weight by Scl Impact'!N33*'Step C weights'!F$40</f>
        <v>9.9952013006126869E-2</v>
      </c>
      <c r="O32" s="5">
        <f>'Step B - Weight by Scl Impact'!O33*'Step C weights'!G$40</f>
        <v>1.7812782345741948E-2</v>
      </c>
      <c r="Q32" s="28" t="str">
        <f t="shared" si="5"/>
        <v>HLO 6.3: Training materials for SAM options</v>
      </c>
      <c r="R32" s="5">
        <f>'Step B - Weight by Scl Impact'!R33*'Step C weights'!B$40</f>
        <v>7.1197066333675202E-2</v>
      </c>
      <c r="S32" s="5">
        <f>'Step B - Weight by Scl Impact'!S33*'Step C weights'!C$40</f>
        <v>0.27974008966747343</v>
      </c>
      <c r="T32" s="5">
        <f>'Step B - Weight by Scl Impact'!T33*'Step C weights'!D$40</f>
        <v>9.0539934293513286E-2</v>
      </c>
      <c r="U32" s="5">
        <f>'Step B - Weight by Scl Impact'!U33*'Step C weights'!E$40</f>
        <v>8.9441373315248596E-2</v>
      </c>
      <c r="V32" s="5">
        <f>'Step B - Weight by Scl Impact'!V33*'Step C weights'!F$40</f>
        <v>8.0379253105066203E-2</v>
      </c>
      <c r="W32" s="5">
        <f>'Step B - Weight by Scl Impact'!W33*'Step C weights'!G$40</f>
        <v>4.918010921776534E-2</v>
      </c>
      <c r="Y32" s="28" t="str">
        <f t="shared" si="6"/>
        <v>HLO 6.3: Training materials for SAM options</v>
      </c>
      <c r="Z32" s="5">
        <f>'Step B - Weight by Scl Impact'!Z33*'Step C weights'!B$40</f>
        <v>0.11126884331268054</v>
      </c>
      <c r="AA32" s="5">
        <f>'Step B - Weight by Scl Impact'!AA33*'Step C weights'!C$40</f>
        <v>2.65642861132666E-2</v>
      </c>
      <c r="AB32" s="5">
        <f>'Step B - Weight by Scl Impact'!AB33*'Step C weights'!D$40</f>
        <v>9.4828532474255975E-2</v>
      </c>
      <c r="AC32" s="5">
        <f>'Step B - Weight by Scl Impact'!AC33*'Step C weights'!E$40</f>
        <v>0.17123092531193837</v>
      </c>
      <c r="AD32" s="5">
        <f>'Step B - Weight by Scl Impact'!AD33*'Step C weights'!F$40</f>
        <v>0.1218373752213423</v>
      </c>
      <c r="AE32" s="5">
        <f>'Step B - Weight by Scl Impact'!AE33*'Step C weights'!G$40</f>
        <v>0.12992977215174895</v>
      </c>
      <c r="AG32" s="28" t="str">
        <f t="shared" si="7"/>
        <v>HLO 6.3: Training materials for SAM options</v>
      </c>
      <c r="AH32" s="5">
        <f>'Step B - Weight by Scl Impact'!AH33*'Step C weights'!B$40</f>
        <v>0.11126884331268054</v>
      </c>
      <c r="AI32" s="5">
        <f>'Step B - Weight by Scl Impact'!AI33*'Step C weights'!C$40</f>
        <v>2.65642861132666E-2</v>
      </c>
      <c r="AJ32" s="5">
        <f>'Step B - Weight by Scl Impact'!AJ33*'Step C weights'!D$40</f>
        <v>3.1609510824751989E-2</v>
      </c>
      <c r="AK32" s="5">
        <f>'Step B - Weight by Scl Impact'!AK33*'Step C weights'!E$40</f>
        <v>5.7076975103979452E-2</v>
      </c>
      <c r="AL32" s="5">
        <f>'Step B - Weight by Scl Impact'!AL33*'Step C weights'!F$40</f>
        <v>0.1218373752213423</v>
      </c>
      <c r="AM32" s="5">
        <f>'Step B - Weight by Scl Impact'!AM33*'Step C weights'!G$40</f>
        <v>0.38978931645524678</v>
      </c>
    </row>
    <row r="33" spans="1:39">
      <c r="A33" s="28" t="str">
        <f>IF(NOT(ISBLANK(HLOs!D32)),HLOs!D32,"")</f>
        <v>HLO 6.4: Evidence for policy on scale-appropriate mechanization</v>
      </c>
      <c r="B33" s="5">
        <f>'Step B - Weight by Scl Impact'!B34*'Step C weights'!B$40</f>
        <v>3.1528430287750382E-2</v>
      </c>
      <c r="C33" s="5">
        <f>'Step B - Weight by Scl Impact'!C34*'Step C weights'!C$40</f>
        <v>4.0785965522257446E-2</v>
      </c>
      <c r="D33" s="5">
        <f>'Step B - Weight by Scl Impact'!D34*'Step C weights'!D$40</f>
        <v>0.30859082056782094</v>
      </c>
      <c r="E33" s="5">
        <f>'Step B - Weight by Scl Impact'!E34*'Step C weights'!E$40</f>
        <v>0.42155401097969419</v>
      </c>
      <c r="F33" s="5">
        <f>'Step B - Weight by Scl Impact'!F34*'Step C weights'!F$40</f>
        <v>0.4854897792309385</v>
      </c>
      <c r="G33" s="5">
        <f>'Step B - Weight by Scl Impact'!G34*'Step C weights'!G$40</f>
        <v>3.4163501861541039E-2</v>
      </c>
      <c r="I33" s="28" t="str">
        <f t="shared" si="4"/>
        <v>HLO 6.4: Evidence for policy on scale-appropriate mechanization</v>
      </c>
      <c r="J33" s="5">
        <f>'Step B - Weight by Scl Impact'!J34*'Step C weights'!B$40</f>
        <v>2.3346200678754096E-2</v>
      </c>
      <c r="K33" s="5">
        <f>'Step B - Weight by Scl Impact'!K34*'Step C weights'!C$40</f>
        <v>1.4748074099916323E-2</v>
      </c>
      <c r="L33" s="5">
        <f>'Step B - Weight by Scl Impact'!L34*'Step C weights'!D$40</f>
        <v>0.50245970937698692</v>
      </c>
      <c r="M33" s="5">
        <f>'Step B - Weight by Scl Impact'!M34*'Step C weights'!E$40</f>
        <v>0.67882052546041993</v>
      </c>
      <c r="N33" s="5">
        <f>'Step B - Weight by Scl Impact'!N34*'Step C weights'!F$40</f>
        <v>9.9952013006126869E-2</v>
      </c>
      <c r="O33" s="5">
        <f>'Step B - Weight by Scl Impact'!O34*'Step C weights'!G$40</f>
        <v>4.453195586435487E-3</v>
      </c>
      <c r="Q33" s="28" t="str">
        <f t="shared" si="5"/>
        <v>HLO 6.4: Evidence for policy on scale-appropriate mechanization</v>
      </c>
      <c r="R33" s="5">
        <f>'Step B - Weight by Scl Impact'!R34*'Step C weights'!B$40</f>
        <v>7.1197066333675202E-2</v>
      </c>
      <c r="S33" s="5">
        <f>'Step B - Weight by Scl Impact'!S34*'Step C weights'!C$40</f>
        <v>0.20980506725060508</v>
      </c>
      <c r="T33" s="5">
        <f>'Step B - Weight by Scl Impact'!T34*'Step C weights'!D$40</f>
        <v>9.0539934293513286E-2</v>
      </c>
      <c r="U33" s="5">
        <f>'Step B - Weight by Scl Impact'!U34*'Step C weights'!E$40</f>
        <v>8.9441373315248596E-2</v>
      </c>
      <c r="V33" s="5">
        <f>'Step B - Weight by Scl Impact'!V34*'Step C weights'!F$40</f>
        <v>0.40189626552533098</v>
      </c>
      <c r="W33" s="5">
        <f>'Step B - Weight by Scl Impact'!W34*'Step C weights'!G$40</f>
        <v>4.918010921776534E-2</v>
      </c>
      <c r="Y33" s="28" t="str">
        <f t="shared" si="6"/>
        <v>HLO 6.4: Evidence for policy on scale-appropriate mechanization</v>
      </c>
      <c r="Z33" s="5">
        <f>'Step B - Weight by Scl Impact'!Z34*'Step C weights'!B$40</f>
        <v>0.11126884331268054</v>
      </c>
      <c r="AA33" s="5">
        <f>'Step B - Weight by Scl Impact'!AA34*'Step C weights'!C$40</f>
        <v>2.65642861132666E-2</v>
      </c>
      <c r="AB33" s="5">
        <f>'Step B - Weight by Scl Impact'!AB34*'Step C weights'!D$40</f>
        <v>0.12643804329900796</v>
      </c>
      <c r="AC33" s="5">
        <f>'Step B - Weight by Scl Impact'!AC34*'Step C weights'!E$40</f>
        <v>5.7076975103979452E-2</v>
      </c>
      <c r="AD33" s="5">
        <f>'Step B - Weight by Scl Impact'!AD34*'Step C weights'!F$40</f>
        <v>0.36551212566402691</v>
      </c>
      <c r="AE33" s="5">
        <f>'Step B - Weight by Scl Impact'!AE34*'Step C weights'!G$40</f>
        <v>0.12992977215174895</v>
      </c>
      <c r="AG33" s="28" t="str">
        <f t="shared" si="7"/>
        <v>HLO 6.4: Evidence for policy on scale-appropriate mechanization</v>
      </c>
      <c r="AH33" s="5">
        <f>'Step B - Weight by Scl Impact'!AH34*'Step C weights'!B$40</f>
        <v>0.11126884331268054</v>
      </c>
      <c r="AI33" s="5">
        <f>'Step B - Weight by Scl Impact'!AI34*'Step C weights'!C$40</f>
        <v>2.65642861132666E-2</v>
      </c>
      <c r="AJ33" s="5">
        <f>'Step B - Weight by Scl Impact'!AJ34*'Step C weights'!D$40</f>
        <v>3.1609510824751989E-2</v>
      </c>
      <c r="AK33" s="5">
        <f>'Step B - Weight by Scl Impact'!AK34*'Step C weights'!E$40</f>
        <v>5.7076975103979452E-2</v>
      </c>
      <c r="AL33" s="5">
        <f>'Step B - Weight by Scl Impact'!AL34*'Step C weights'!F$40</f>
        <v>0.1218373752213423</v>
      </c>
      <c r="AM33" s="5">
        <f>'Step B - Weight by Scl Impact'!AM34*'Step C weights'!G$40</f>
        <v>0.38978931645524678</v>
      </c>
    </row>
    <row r="34" spans="1:39">
      <c r="A34" s="28" t="str">
        <f>IF(NOT(ISBLANK(HLOs!D33)),HLOs!D33,"")</f>
        <v>HLO 7.1: Bundled whole-farm innovations using system sciences</v>
      </c>
      <c r="B34" s="5">
        <f>'Step B - Weight by Scl Impact'!B35*'Step C weights'!B$40</f>
        <v>3.1528430287750382E-2</v>
      </c>
      <c r="C34" s="5">
        <f>'Step B - Weight by Scl Impact'!C35*'Step C weights'!C$40</f>
        <v>0.16314386208902978</v>
      </c>
      <c r="D34" s="5">
        <f>'Step B - Weight by Scl Impact'!D35*'Step C weights'!D$40</f>
        <v>0.38573852570977618</v>
      </c>
      <c r="E34" s="5">
        <f>'Step B - Weight by Scl Impact'!E35*'Step C weights'!E$40</f>
        <v>0.52694251372461776</v>
      </c>
      <c r="F34" s="5">
        <f>'Step B - Weight by Scl Impact'!F35*'Step C weights'!F$40</f>
        <v>0.6473197056412513</v>
      </c>
      <c r="G34" s="5">
        <f>'Step B - Weight by Scl Impact'!G35*'Step C weights'!G$40</f>
        <v>3.4163501861541039E-2</v>
      </c>
      <c r="I34" s="28" t="str">
        <f t="shared" si="4"/>
        <v>HLO 7.1: Bundled whole-farm innovations using system sciences</v>
      </c>
      <c r="J34" s="5">
        <f>'Step B - Weight by Scl Impact'!J35*'Step C weights'!B$40</f>
        <v>2.3346200678754096E-2</v>
      </c>
      <c r="K34" s="5">
        <f>'Step B - Weight by Scl Impact'!K35*'Step C weights'!C$40</f>
        <v>5.8992296399665294E-2</v>
      </c>
      <c r="L34" s="5">
        <f>'Step B - Weight by Scl Impact'!L35*'Step C weights'!D$40</f>
        <v>0.62807463672123354</v>
      </c>
      <c r="M34" s="5">
        <f>'Step B - Weight by Scl Impact'!M35*'Step C weights'!E$40</f>
        <v>0.84852565682552494</v>
      </c>
      <c r="N34" s="5">
        <f>'Step B - Weight by Scl Impact'!N35*'Step C weights'!F$40</f>
        <v>0.39980805202450748</v>
      </c>
      <c r="O34" s="5">
        <f>'Step B - Weight by Scl Impact'!O35*'Step C weights'!G$40</f>
        <v>4.453195586435487E-3</v>
      </c>
      <c r="Q34" s="28" t="str">
        <f t="shared" si="5"/>
        <v>HLO 7.1: Bundled whole-farm innovations using system sciences</v>
      </c>
      <c r="R34" s="5">
        <f>'Step B - Weight by Scl Impact'!R35*'Step C weights'!B$40</f>
        <v>7.1197066333675202E-2</v>
      </c>
      <c r="S34" s="5">
        <f>'Step B - Weight by Scl Impact'!S35*'Step C weights'!C$40</f>
        <v>0.27974008966747343</v>
      </c>
      <c r="T34" s="5">
        <f>'Step B - Weight by Scl Impact'!T35*'Step C weights'!D$40</f>
        <v>9.0539934293513286E-2</v>
      </c>
      <c r="U34" s="5">
        <f>'Step B - Weight by Scl Impact'!U35*'Step C weights'!E$40</f>
        <v>0.44720686657624303</v>
      </c>
      <c r="V34" s="5">
        <f>'Step B - Weight by Scl Impact'!V35*'Step C weights'!F$40</f>
        <v>8.0379253105066203E-2</v>
      </c>
      <c r="W34" s="5">
        <f>'Step B - Weight by Scl Impact'!W35*'Step C weights'!G$40</f>
        <v>4.918010921776534E-2</v>
      </c>
      <c r="Y34" s="28" t="str">
        <f t="shared" si="6"/>
        <v>HLO 7.1: Bundled whole-farm innovations using system sciences</v>
      </c>
      <c r="Z34" s="5">
        <f>'Step B - Weight by Scl Impact'!Z35*'Step C weights'!B$40</f>
        <v>0.11126884331268054</v>
      </c>
      <c r="AA34" s="5">
        <f>'Step B - Weight by Scl Impact'!AA35*'Step C weights'!C$40</f>
        <v>0.1062571444530664</v>
      </c>
      <c r="AB34" s="5">
        <f>'Step B - Weight by Scl Impact'!AB35*'Step C weights'!D$40</f>
        <v>3.1609510824751989E-2</v>
      </c>
      <c r="AC34" s="5">
        <f>'Step B - Weight by Scl Impact'!AC35*'Step C weights'!E$40</f>
        <v>0.28538487551989722</v>
      </c>
      <c r="AD34" s="5">
        <f>'Step B - Weight by Scl Impact'!AD35*'Step C weights'!F$40</f>
        <v>0.48734950088536921</v>
      </c>
      <c r="AE34" s="5">
        <f>'Step B - Weight by Scl Impact'!AE35*'Step C weights'!G$40</f>
        <v>0.12992977215174895</v>
      </c>
      <c r="AG34" s="28" t="str">
        <f t="shared" si="7"/>
        <v>HLO 7.1: Bundled whole-farm innovations using system sciences</v>
      </c>
      <c r="AH34" s="5">
        <f>'Step B - Weight by Scl Impact'!AH35*'Step C weights'!B$40</f>
        <v>0.44507537325072216</v>
      </c>
      <c r="AI34" s="5">
        <f>'Step B - Weight by Scl Impact'!AI35*'Step C weights'!C$40</f>
        <v>2.65642861132666E-2</v>
      </c>
      <c r="AJ34" s="5">
        <f>'Step B - Weight by Scl Impact'!AJ35*'Step C weights'!D$40</f>
        <v>0.15804755412375995</v>
      </c>
      <c r="AK34" s="5">
        <f>'Step B - Weight by Scl Impact'!AK35*'Step C weights'!E$40</f>
        <v>0.28538487551989722</v>
      </c>
      <c r="AL34" s="5">
        <f>'Step B - Weight by Scl Impact'!AL35*'Step C weights'!F$40</f>
        <v>0.48734950088536921</v>
      </c>
      <c r="AM34" s="5">
        <f>'Step B - Weight by Scl Impact'!AM35*'Step C weights'!G$40</f>
        <v>0.64964886075874462</v>
      </c>
    </row>
    <row r="35" spans="1:39">
      <c r="A35" s="28" t="str">
        <f>IF(NOT(ISBLANK(HLOs!D34)),HLOs!D34,"")</f>
        <v>HLO 7.2: Human-centered design methods for bundling whole-farm innovations</v>
      </c>
      <c r="B35" s="5">
        <f>'Step B - Weight by Scl Impact'!B36*'Step C weights'!B$40</f>
        <v>9.4585290863251154E-2</v>
      </c>
      <c r="C35" s="5">
        <f>'Step B - Weight by Scl Impact'!C36*'Step C weights'!C$40</f>
        <v>0.12235789656677233</v>
      </c>
      <c r="D35" s="5">
        <f>'Step B - Weight by Scl Impact'!D36*'Step C weights'!D$40</f>
        <v>0.38573852570977618</v>
      </c>
      <c r="E35" s="5">
        <f>'Step B - Weight by Scl Impact'!E36*'Step C weights'!E$40</f>
        <v>0.42155401097969419</v>
      </c>
      <c r="F35" s="5">
        <f>'Step B - Weight by Scl Impact'!F36*'Step C weights'!F$40</f>
        <v>0.6473197056412513</v>
      </c>
      <c r="G35" s="5">
        <f>'Step B - Weight by Scl Impact'!G36*'Step C weights'!G$40</f>
        <v>0.17081750930770523</v>
      </c>
      <c r="I35" s="28" t="str">
        <f t="shared" si="4"/>
        <v>HLO 7.2: Human-centered design methods for bundling whole-farm innovations</v>
      </c>
      <c r="J35" s="5">
        <f>'Step B - Weight by Scl Impact'!J36*'Step C weights'!B$40</f>
        <v>2.3346200678754096E-2</v>
      </c>
      <c r="K35" s="5">
        <f>'Step B - Weight by Scl Impact'!K36*'Step C weights'!C$40</f>
        <v>1.4748074099916323E-2</v>
      </c>
      <c r="L35" s="5">
        <f>'Step B - Weight by Scl Impact'!L36*'Step C weights'!D$40</f>
        <v>0.62807463672123354</v>
      </c>
      <c r="M35" s="5">
        <f>'Step B - Weight by Scl Impact'!M36*'Step C weights'!E$40</f>
        <v>0.16970513136510498</v>
      </c>
      <c r="N35" s="5">
        <f>'Step B - Weight by Scl Impact'!N36*'Step C weights'!F$40</f>
        <v>0.39980805202450748</v>
      </c>
      <c r="O35" s="5">
        <f>'Step B - Weight by Scl Impact'!O36*'Step C weights'!G$40</f>
        <v>2.2265977932177439E-2</v>
      </c>
      <c r="Q35" s="28" t="str">
        <f t="shared" si="5"/>
        <v>HLO 7.2: Human-centered design methods for bundling whole-farm innovations</v>
      </c>
      <c r="R35" s="5">
        <f>'Step B - Weight by Scl Impact'!R36*'Step C weights'!B$40</f>
        <v>7.1197066333675202E-2</v>
      </c>
      <c r="S35" s="5">
        <f>'Step B - Weight by Scl Impact'!S36*'Step C weights'!C$40</f>
        <v>0.27974008966747343</v>
      </c>
      <c r="T35" s="5">
        <f>'Step B - Weight by Scl Impact'!T36*'Step C weights'!D$40</f>
        <v>0.45269967146756646</v>
      </c>
      <c r="U35" s="5">
        <f>'Step B - Weight by Scl Impact'!U36*'Step C weights'!E$40</f>
        <v>8.9441373315248596E-2</v>
      </c>
      <c r="V35" s="5">
        <f>'Step B - Weight by Scl Impact'!V36*'Step C weights'!F$40</f>
        <v>0.32151701242026481</v>
      </c>
      <c r="W35" s="5">
        <f>'Step B - Weight by Scl Impact'!W36*'Step C weights'!G$40</f>
        <v>0.24590054608882669</v>
      </c>
      <c r="Y35" s="28" t="str">
        <f t="shared" si="6"/>
        <v>HLO 7.2: Human-centered design methods for bundling whole-farm innovations</v>
      </c>
      <c r="Z35" s="5">
        <f>'Step B - Weight by Scl Impact'!Z36*'Step C weights'!B$40</f>
        <v>0.33380652993804161</v>
      </c>
      <c r="AA35" s="5">
        <f>'Step B - Weight by Scl Impact'!AA36*'Step C weights'!C$40</f>
        <v>7.9692858339799805E-2</v>
      </c>
      <c r="AB35" s="5">
        <f>'Step B - Weight by Scl Impact'!AB36*'Step C weights'!D$40</f>
        <v>3.1609510824751989E-2</v>
      </c>
      <c r="AC35" s="5">
        <f>'Step B - Weight by Scl Impact'!AC36*'Step C weights'!E$40</f>
        <v>0.22830790041591781</v>
      </c>
      <c r="AD35" s="5">
        <f>'Step B - Weight by Scl Impact'!AD36*'Step C weights'!F$40</f>
        <v>0.48734950088536921</v>
      </c>
      <c r="AE35" s="5">
        <f>'Step B - Weight by Scl Impact'!AE36*'Step C weights'!G$40</f>
        <v>0.38978931645524678</v>
      </c>
      <c r="AG35" s="28" t="str">
        <f t="shared" si="7"/>
        <v>HLO 7.2: Human-centered design methods for bundling whole-farm innovations</v>
      </c>
      <c r="AH35" s="5">
        <f>'Step B - Weight by Scl Impact'!AH36*'Step C weights'!B$40</f>
        <v>0.11126884331268054</v>
      </c>
      <c r="AI35" s="5">
        <f>'Step B - Weight by Scl Impact'!AI36*'Step C weights'!C$40</f>
        <v>2.65642861132666E-2</v>
      </c>
      <c r="AJ35" s="5">
        <f>'Step B - Weight by Scl Impact'!AJ36*'Step C weights'!D$40</f>
        <v>3.1609510824751989E-2</v>
      </c>
      <c r="AK35" s="5">
        <f>'Step B - Weight by Scl Impact'!AK36*'Step C weights'!E$40</f>
        <v>0.22830790041591781</v>
      </c>
      <c r="AL35" s="5">
        <f>'Step B - Weight by Scl Impact'!AL36*'Step C weights'!F$40</f>
        <v>0.1218373752213423</v>
      </c>
      <c r="AM35" s="5">
        <f>'Step B - Weight by Scl Impact'!AM36*'Step C weights'!G$40</f>
        <v>0.25985954430349789</v>
      </c>
    </row>
    <row r="36" spans="1:39">
      <c r="A36" s="28" t="str">
        <f>IF(NOT(ISBLANK(HLOs!D35)),HLOs!D35,"")</f>
        <v>HLO 7.3: Training materials for bundling farming system solutions</v>
      </c>
      <c r="B36" s="5">
        <f>'Step B - Weight by Scl Impact'!B37*'Step C weights'!B$40</f>
        <v>9.4585290863251154E-2</v>
      </c>
      <c r="C36" s="5">
        <f>'Step B - Weight by Scl Impact'!C37*'Step C weights'!C$40</f>
        <v>0.12235789656677233</v>
      </c>
      <c r="D36" s="5">
        <f>'Step B - Weight by Scl Impact'!D37*'Step C weights'!D$40</f>
        <v>0.30859082056782094</v>
      </c>
      <c r="E36" s="5">
        <f>'Step B - Weight by Scl Impact'!E37*'Step C weights'!E$40</f>
        <v>0.42155401097969419</v>
      </c>
      <c r="F36" s="5">
        <f>'Step B - Weight by Scl Impact'!F37*'Step C weights'!F$40</f>
        <v>0.4854897792309385</v>
      </c>
      <c r="G36" s="5">
        <f>'Step B - Weight by Scl Impact'!G37*'Step C weights'!G$40</f>
        <v>0.10249050558462312</v>
      </c>
      <c r="I36" s="28" t="str">
        <f t="shared" si="4"/>
        <v>HLO 7.3: Training materials for bundling farming system solutions</v>
      </c>
      <c r="J36" s="5">
        <f>'Step B - Weight by Scl Impact'!J37*'Step C weights'!B$40</f>
        <v>7.003860203626229E-2</v>
      </c>
      <c r="K36" s="5">
        <f>'Step B - Weight by Scl Impact'!K37*'Step C weights'!C$40</f>
        <v>4.4244222299748968E-2</v>
      </c>
      <c r="L36" s="5">
        <f>'Step B - Weight by Scl Impact'!L37*'Step C weights'!D$40</f>
        <v>0.50245970937698692</v>
      </c>
      <c r="M36" s="5">
        <f>'Step B - Weight by Scl Impact'!M37*'Step C weights'!E$40</f>
        <v>0.67882052546041993</v>
      </c>
      <c r="N36" s="5">
        <f>'Step B - Weight by Scl Impact'!N37*'Step C weights'!F$40</f>
        <v>0.29985603901838059</v>
      </c>
      <c r="O36" s="5">
        <f>'Step B - Weight by Scl Impact'!O37*'Step C weights'!G$40</f>
        <v>1.3359586759306461E-2</v>
      </c>
      <c r="Q36" s="28" t="str">
        <f t="shared" si="5"/>
        <v>HLO 7.3: Training materials for bundling farming system solutions</v>
      </c>
      <c r="R36" s="5">
        <f>'Step B - Weight by Scl Impact'!R37*'Step C weights'!B$40</f>
        <v>0.21359119900102561</v>
      </c>
      <c r="S36" s="5">
        <f>'Step B - Weight by Scl Impact'!S37*'Step C weights'!C$40</f>
        <v>0.27974008966747343</v>
      </c>
      <c r="T36" s="5">
        <f>'Step B - Weight by Scl Impact'!T37*'Step C weights'!D$40</f>
        <v>0.45269967146756646</v>
      </c>
      <c r="U36" s="5">
        <f>'Step B - Weight by Scl Impact'!U37*'Step C weights'!E$40</f>
        <v>0.35776549326099438</v>
      </c>
      <c r="V36" s="5">
        <f>'Step B - Weight by Scl Impact'!V37*'Step C weights'!F$40</f>
        <v>0.32151701242026481</v>
      </c>
      <c r="W36" s="5">
        <f>'Step B - Weight by Scl Impact'!W37*'Step C weights'!G$40</f>
        <v>0.147540327653296</v>
      </c>
      <c r="Y36" s="28" t="str">
        <f t="shared" si="6"/>
        <v>HLO 7.3: Training materials for bundling farming system solutions</v>
      </c>
      <c r="Z36" s="5">
        <f>'Step B - Weight by Scl Impact'!Z37*'Step C weights'!B$40</f>
        <v>0.33380652993804161</v>
      </c>
      <c r="AA36" s="5">
        <f>'Step B - Weight by Scl Impact'!AA37*'Step C weights'!C$40</f>
        <v>7.9692858339799805E-2</v>
      </c>
      <c r="AB36" s="5">
        <f>'Step B - Weight by Scl Impact'!AB37*'Step C weights'!D$40</f>
        <v>0.15804755412375995</v>
      </c>
      <c r="AC36" s="5">
        <f>'Step B - Weight by Scl Impact'!AC37*'Step C weights'!E$40</f>
        <v>0.22830790041591781</v>
      </c>
      <c r="AD36" s="5">
        <f>'Step B - Weight by Scl Impact'!AD37*'Step C weights'!F$40</f>
        <v>0.36551212566402691</v>
      </c>
      <c r="AE36" s="5">
        <f>'Step B - Weight by Scl Impact'!AE37*'Step C weights'!G$40</f>
        <v>0.38978931645524678</v>
      </c>
      <c r="AG36" s="28" t="str">
        <f t="shared" si="7"/>
        <v>HLO 7.3: Training materials for bundling farming system solutions</v>
      </c>
      <c r="AH36" s="5">
        <f>'Step B - Weight by Scl Impact'!AH37*'Step C weights'!B$40</f>
        <v>0.33380652993804161</v>
      </c>
      <c r="AI36" s="5">
        <f>'Step B - Weight by Scl Impact'!AI37*'Step C weights'!C$40</f>
        <v>7.9692858339799805E-2</v>
      </c>
      <c r="AJ36" s="5">
        <f>'Step B - Weight by Scl Impact'!AJ37*'Step C weights'!D$40</f>
        <v>0.12643804329900796</v>
      </c>
      <c r="AK36" s="5">
        <f>'Step B - Weight by Scl Impact'!AK37*'Step C weights'!E$40</f>
        <v>0.22830790041591781</v>
      </c>
      <c r="AL36" s="5">
        <f>'Step B - Weight by Scl Impact'!AL37*'Step C weights'!F$40</f>
        <v>0.36551212566402691</v>
      </c>
      <c r="AM36" s="5">
        <f>'Step B - Weight by Scl Impact'!AM37*'Step C weights'!G$40</f>
        <v>0.51971908860699578</v>
      </c>
    </row>
    <row r="37" spans="1:39">
      <c r="A37" s="28" t="str">
        <f>IF(NOT(ISBLANK(HLOs!D36)),HLOs!D36,"")</f>
        <v>HLO 7.4: Evidence for policy advice on bundled solutions</v>
      </c>
      <c r="B37" s="5">
        <f>'Step B - Weight by Scl Impact'!B38*'Step C weights'!B$40</f>
        <v>9.4585290863251154E-2</v>
      </c>
      <c r="C37" s="5">
        <f>'Step B - Weight by Scl Impact'!C38*'Step C weights'!C$40</f>
        <v>0.12235789656677233</v>
      </c>
      <c r="D37" s="5">
        <f>'Step B - Weight by Scl Impact'!D38*'Step C weights'!D$40</f>
        <v>0.30859082056782094</v>
      </c>
      <c r="E37" s="5">
        <f>'Step B - Weight by Scl Impact'!E38*'Step C weights'!E$40</f>
        <v>0.42155401097969419</v>
      </c>
      <c r="F37" s="5">
        <f>'Step B - Weight by Scl Impact'!F38*'Step C weights'!F$40</f>
        <v>0.4854897792309385</v>
      </c>
      <c r="G37" s="5">
        <f>'Step B - Weight by Scl Impact'!G38*'Step C weights'!G$40</f>
        <v>0.10249050558462312</v>
      </c>
      <c r="I37" s="28" t="str">
        <f t="shared" si="4"/>
        <v>HLO 7.4: Evidence for policy advice on bundled solutions</v>
      </c>
      <c r="J37" s="5">
        <f>'Step B - Weight by Scl Impact'!J38*'Step C weights'!B$40</f>
        <v>7.003860203626229E-2</v>
      </c>
      <c r="K37" s="5">
        <f>'Step B - Weight by Scl Impact'!K38*'Step C weights'!C$40</f>
        <v>4.4244222299748968E-2</v>
      </c>
      <c r="L37" s="5">
        <f>'Step B - Weight by Scl Impact'!L38*'Step C weights'!D$40</f>
        <v>0.50245970937698692</v>
      </c>
      <c r="M37" s="5">
        <f>'Step B - Weight by Scl Impact'!M38*'Step C weights'!E$40</f>
        <v>0.67882052546041993</v>
      </c>
      <c r="N37" s="5">
        <f>'Step B - Weight by Scl Impact'!N38*'Step C weights'!F$40</f>
        <v>0.29985603901838059</v>
      </c>
      <c r="O37" s="5">
        <f>'Step B - Weight by Scl Impact'!O38*'Step C weights'!G$40</f>
        <v>1.3359586759306461E-2</v>
      </c>
      <c r="Q37" s="28" t="str">
        <f t="shared" si="5"/>
        <v>HLO 7.4: Evidence for policy advice on bundled solutions</v>
      </c>
      <c r="R37" s="5">
        <f>'Step B - Weight by Scl Impact'!R38*'Step C weights'!B$40</f>
        <v>0.21359119900102561</v>
      </c>
      <c r="S37" s="5">
        <f>'Step B - Weight by Scl Impact'!S38*'Step C weights'!C$40</f>
        <v>0.20980506725060508</v>
      </c>
      <c r="T37" s="5">
        <f>'Step B - Weight by Scl Impact'!T38*'Step C weights'!D$40</f>
        <v>0.45269967146756646</v>
      </c>
      <c r="U37" s="5">
        <f>'Step B - Weight by Scl Impact'!U38*'Step C weights'!E$40</f>
        <v>0.35776549326099438</v>
      </c>
      <c r="V37" s="5">
        <f>'Step B - Weight by Scl Impact'!V38*'Step C weights'!F$40</f>
        <v>0.40189626552533098</v>
      </c>
      <c r="W37" s="5">
        <f>'Step B - Weight by Scl Impact'!W38*'Step C weights'!G$40</f>
        <v>0.147540327653296</v>
      </c>
      <c r="Y37" s="28" t="str">
        <f t="shared" si="6"/>
        <v>HLO 7.4: Evidence for policy advice on bundled solutions</v>
      </c>
      <c r="Z37" s="5">
        <f>'Step B - Weight by Scl Impact'!Z38*'Step C weights'!B$40</f>
        <v>0.33380652993804161</v>
      </c>
      <c r="AA37" s="5">
        <f>'Step B - Weight by Scl Impact'!AA38*'Step C weights'!C$40</f>
        <v>7.9692858339799805E-2</v>
      </c>
      <c r="AB37" s="5">
        <f>'Step B - Weight by Scl Impact'!AB38*'Step C weights'!D$40</f>
        <v>0.15804755412375995</v>
      </c>
      <c r="AC37" s="5">
        <f>'Step B - Weight by Scl Impact'!AC38*'Step C weights'!E$40</f>
        <v>0.22830790041591781</v>
      </c>
      <c r="AD37" s="5">
        <f>'Step B - Weight by Scl Impact'!AD38*'Step C weights'!F$40</f>
        <v>0.36551212566402691</v>
      </c>
      <c r="AE37" s="5">
        <f>'Step B - Weight by Scl Impact'!AE38*'Step C weights'!G$40</f>
        <v>0.38978931645524678</v>
      </c>
      <c r="AG37" s="28" t="str">
        <f t="shared" si="7"/>
        <v>HLO 7.4: Evidence for policy advice on bundled solutions</v>
      </c>
      <c r="AH37" s="5">
        <f>'Step B - Weight by Scl Impact'!AH38*'Step C weights'!B$40</f>
        <v>0.33380652993804161</v>
      </c>
      <c r="AI37" s="5">
        <f>'Step B - Weight by Scl Impact'!AI38*'Step C weights'!C$40</f>
        <v>7.9692858339799805E-2</v>
      </c>
      <c r="AJ37" s="5">
        <f>'Step B - Weight by Scl Impact'!AJ38*'Step C weights'!D$40</f>
        <v>0.12643804329900796</v>
      </c>
      <c r="AK37" s="5">
        <f>'Step B - Weight by Scl Impact'!AK38*'Step C weights'!E$40</f>
        <v>0.22830790041591781</v>
      </c>
      <c r="AL37" s="5">
        <f>'Step B - Weight by Scl Impact'!AL38*'Step C weights'!F$40</f>
        <v>0.36551212566402691</v>
      </c>
      <c r="AM37" s="5">
        <f>'Step B - Weight by Scl Impact'!AM38*'Step C weights'!G$40</f>
        <v>0.51971908860699578</v>
      </c>
    </row>
    <row r="38" spans="1:39">
      <c r="A38" s="28" t="str">
        <f>IF(NOT(ISBLANK(HLOs!D37)),HLOs!D37,"")</f>
        <v>HLO 8.1: Digitally enabled MELIA system for assessment of agronomic gain</v>
      </c>
      <c r="B38" s="5">
        <f>'Step B - Weight by Scl Impact'!B39*'Step C weights'!B$40</f>
        <v>6.3056860575500764E-2</v>
      </c>
      <c r="C38" s="5">
        <f>'Step B - Weight by Scl Impact'!C39*'Step C weights'!C$40</f>
        <v>8.1571931044514892E-2</v>
      </c>
      <c r="D38" s="5">
        <f>'Step B - Weight by Scl Impact'!D39*'Step C weights'!D$40</f>
        <v>0.23144311542586568</v>
      </c>
      <c r="E38" s="5">
        <f>'Step B - Weight by Scl Impact'!E39*'Step C weights'!E$40</f>
        <v>0.10538850274492355</v>
      </c>
      <c r="F38" s="5">
        <f>'Step B - Weight by Scl Impact'!F39*'Step C weights'!F$40</f>
        <v>0.32365985282062565</v>
      </c>
      <c r="G38" s="5">
        <f>'Step B - Weight by Scl Impact'!G39*'Step C weights'!G$40</f>
        <v>0.10249050558462312</v>
      </c>
      <c r="I38" s="28" t="str">
        <f t="shared" si="4"/>
        <v>HLO 8.1: Digitally enabled MELIA system for assessment of agronomic gain</v>
      </c>
      <c r="J38" s="5">
        <f>'Step B - Weight by Scl Impact'!J39*'Step C weights'!B$40</f>
        <v>4.6692401357508191E-2</v>
      </c>
      <c r="K38" s="5">
        <f>'Step B - Weight by Scl Impact'!K39*'Step C weights'!C$40</f>
        <v>2.9496148199832647E-2</v>
      </c>
      <c r="L38" s="5">
        <f>'Step B - Weight by Scl Impact'!L39*'Step C weights'!D$40</f>
        <v>0.37684478203274019</v>
      </c>
      <c r="M38" s="5">
        <f>'Step B - Weight by Scl Impact'!M39*'Step C weights'!E$40</f>
        <v>0.50911539409531492</v>
      </c>
      <c r="N38" s="5">
        <f>'Step B - Weight by Scl Impact'!N39*'Step C weights'!F$40</f>
        <v>0.19990402601225374</v>
      </c>
      <c r="O38" s="5">
        <f>'Step B - Weight by Scl Impact'!O39*'Step C weights'!G$40</f>
        <v>8.9063911728709741E-3</v>
      </c>
      <c r="Q38" s="28" t="str">
        <f t="shared" si="5"/>
        <v>HLO 8.1: Digitally enabled MELIA system for assessment of agronomic gain</v>
      </c>
      <c r="R38" s="5">
        <f>'Step B - Weight by Scl Impact'!R39*'Step C weights'!B$40</f>
        <v>0.1423941326673504</v>
      </c>
      <c r="S38" s="5">
        <f>'Step B - Weight by Scl Impact'!S39*'Step C weights'!C$40</f>
        <v>0.13987004483373672</v>
      </c>
      <c r="T38" s="5">
        <f>'Step B - Weight by Scl Impact'!T39*'Step C weights'!D$40</f>
        <v>0.27161980288053988</v>
      </c>
      <c r="U38" s="5">
        <f>'Step B - Weight by Scl Impact'!U39*'Step C weights'!E$40</f>
        <v>0.26832411994574579</v>
      </c>
      <c r="V38" s="5">
        <f>'Step B - Weight by Scl Impact'!V39*'Step C weights'!F$40</f>
        <v>0.24113775931519857</v>
      </c>
      <c r="W38" s="5">
        <f>'Step B - Weight by Scl Impact'!W39*'Step C weights'!G$40</f>
        <v>9.836021843553068E-2</v>
      </c>
      <c r="Y38" s="28" t="str">
        <f t="shared" si="6"/>
        <v>HLO 8.1: Digitally enabled MELIA system for assessment of agronomic gain</v>
      </c>
      <c r="Z38" s="5">
        <f>'Step B - Weight by Scl Impact'!Z39*'Step C weights'!B$40</f>
        <v>0.22253768662536108</v>
      </c>
      <c r="AA38" s="5">
        <f>'Step B - Weight by Scl Impact'!AA39*'Step C weights'!C$40</f>
        <v>2.65642861132666E-2</v>
      </c>
      <c r="AB38" s="5">
        <f>'Step B - Weight by Scl Impact'!AB39*'Step C weights'!D$40</f>
        <v>0.12643804329900796</v>
      </c>
      <c r="AC38" s="5">
        <f>'Step B - Weight by Scl Impact'!AC39*'Step C weights'!E$40</f>
        <v>0.17123092531193837</v>
      </c>
      <c r="AD38" s="5">
        <f>'Step B - Weight by Scl Impact'!AD39*'Step C weights'!F$40</f>
        <v>0.24367475044268461</v>
      </c>
      <c r="AE38" s="5">
        <f>'Step B - Weight by Scl Impact'!AE39*'Step C weights'!G$40</f>
        <v>0.25985954430349789</v>
      </c>
      <c r="AG38" s="28" t="str">
        <f t="shared" si="7"/>
        <v>HLO 8.1: Digitally enabled MELIA system for assessment of agronomic gain</v>
      </c>
      <c r="AH38" s="5">
        <f>'Step B - Weight by Scl Impact'!AH39*'Step C weights'!B$40</f>
        <v>0.22253768662536108</v>
      </c>
      <c r="AI38" s="5">
        <f>'Step B - Weight by Scl Impact'!AI39*'Step C weights'!C$40</f>
        <v>5.3128572226533201E-2</v>
      </c>
      <c r="AJ38" s="5">
        <f>'Step B - Weight by Scl Impact'!AJ39*'Step C weights'!D$40</f>
        <v>9.4828532474255975E-2</v>
      </c>
      <c r="AK38" s="5">
        <f>'Step B - Weight by Scl Impact'!AK39*'Step C weights'!E$40</f>
        <v>0.17123092531193837</v>
      </c>
      <c r="AL38" s="5">
        <f>'Step B - Weight by Scl Impact'!AL39*'Step C weights'!F$40</f>
        <v>0.24367475044268461</v>
      </c>
      <c r="AM38" s="5">
        <f>'Step B - Weight by Scl Impact'!AM39*'Step C weights'!G$40</f>
        <v>0.38978931645524678</v>
      </c>
    </row>
    <row r="39" spans="1:39">
      <c r="A39" s="28" t="str">
        <f>IF(NOT(ISBLANK(HLOs!D38)),HLOs!D38,"")</f>
        <v>HLO 8.2: Tools for standardization and data management</v>
      </c>
      <c r="B39" s="5">
        <f>'Step B - Weight by Scl Impact'!B40*'Step C weights'!B$40</f>
        <v>6.3056860575500764E-2</v>
      </c>
      <c r="C39" s="5">
        <f>'Step B - Weight by Scl Impact'!C40*'Step C weights'!C$40</f>
        <v>8.1571931044514892E-2</v>
      </c>
      <c r="D39" s="5">
        <f>'Step B - Weight by Scl Impact'!D40*'Step C weights'!D$40</f>
        <v>0.15429541028391047</v>
      </c>
      <c r="E39" s="5">
        <f>'Step B - Weight by Scl Impact'!E40*'Step C weights'!E$40</f>
        <v>0.10538850274492355</v>
      </c>
      <c r="F39" s="5">
        <f>'Step B - Weight by Scl Impact'!F40*'Step C weights'!F$40</f>
        <v>0.32365985282062565</v>
      </c>
      <c r="G39" s="5">
        <f>'Step B - Weight by Scl Impact'!G40*'Step C weights'!G$40</f>
        <v>6.8327003723082078E-2</v>
      </c>
      <c r="I39" s="28" t="str">
        <f t="shared" si="4"/>
        <v>HLO 8.2: Tools for standardization and data management</v>
      </c>
      <c r="J39" s="5">
        <f>'Step B - Weight by Scl Impact'!J40*'Step C weights'!B$40</f>
        <v>4.6692401357508191E-2</v>
      </c>
      <c r="K39" s="5">
        <f>'Step B - Weight by Scl Impact'!K40*'Step C weights'!C$40</f>
        <v>2.9496148199832647E-2</v>
      </c>
      <c r="L39" s="5">
        <f>'Step B - Weight by Scl Impact'!L40*'Step C weights'!D$40</f>
        <v>0.50245970937698692</v>
      </c>
      <c r="M39" s="5">
        <f>'Step B - Weight by Scl Impact'!M40*'Step C weights'!E$40</f>
        <v>0.50911539409531492</v>
      </c>
      <c r="N39" s="5">
        <f>'Step B - Weight by Scl Impact'!N40*'Step C weights'!F$40</f>
        <v>0.19990402601225374</v>
      </c>
      <c r="O39" s="5">
        <f>'Step B - Weight by Scl Impact'!O40*'Step C weights'!G$40</f>
        <v>8.9063911728709741E-3</v>
      </c>
      <c r="Q39" s="28" t="str">
        <f t="shared" si="5"/>
        <v>HLO 8.2: Tools for standardization and data management</v>
      </c>
      <c r="R39" s="5">
        <f>'Step B - Weight by Scl Impact'!R40*'Step C weights'!B$40</f>
        <v>0.1423941326673504</v>
      </c>
      <c r="S39" s="5">
        <f>'Step B - Weight by Scl Impact'!S40*'Step C weights'!C$40</f>
        <v>0.13987004483373672</v>
      </c>
      <c r="T39" s="5">
        <f>'Step B - Weight by Scl Impact'!T40*'Step C weights'!D$40</f>
        <v>0.36215973717405314</v>
      </c>
      <c r="U39" s="5">
        <f>'Step B - Weight by Scl Impact'!U40*'Step C weights'!E$40</f>
        <v>0.26832411994574579</v>
      </c>
      <c r="V39" s="5">
        <f>'Step B - Weight by Scl Impact'!V40*'Step C weights'!F$40</f>
        <v>0.24113775931519857</v>
      </c>
      <c r="W39" s="5">
        <f>'Step B - Weight by Scl Impact'!W40*'Step C weights'!G$40</f>
        <v>9.836021843553068E-2</v>
      </c>
      <c r="Y39" s="28" t="str">
        <f t="shared" si="6"/>
        <v>HLO 8.2: Tools for standardization and data management</v>
      </c>
      <c r="Z39" s="5">
        <f>'Step B - Weight by Scl Impact'!Z40*'Step C weights'!B$40</f>
        <v>0.22253768662536108</v>
      </c>
      <c r="AA39" s="5">
        <f>'Step B - Weight by Scl Impact'!AA40*'Step C weights'!C$40</f>
        <v>2.65642861132666E-2</v>
      </c>
      <c r="AB39" s="5">
        <f>'Step B - Weight by Scl Impact'!AB40*'Step C weights'!D$40</f>
        <v>0.12643804329900796</v>
      </c>
      <c r="AC39" s="5">
        <f>'Step B - Weight by Scl Impact'!AC40*'Step C weights'!E$40</f>
        <v>0.17123092531193837</v>
      </c>
      <c r="AD39" s="5">
        <f>'Step B - Weight by Scl Impact'!AD40*'Step C weights'!F$40</f>
        <v>0.1218373752213423</v>
      </c>
      <c r="AE39" s="5">
        <f>'Step B - Weight by Scl Impact'!AE40*'Step C weights'!G$40</f>
        <v>0.25985954430349789</v>
      </c>
      <c r="AG39" s="28" t="str">
        <f t="shared" si="7"/>
        <v>HLO 8.2: Tools for standardization and data management</v>
      </c>
      <c r="AH39" s="5">
        <f>'Step B - Weight by Scl Impact'!AH40*'Step C weights'!B$40</f>
        <v>0.22253768662536108</v>
      </c>
      <c r="AI39" s="5">
        <f>'Step B - Weight by Scl Impact'!AI40*'Step C weights'!C$40</f>
        <v>5.3128572226533201E-2</v>
      </c>
      <c r="AJ39" s="5">
        <f>'Step B - Weight by Scl Impact'!AJ40*'Step C weights'!D$40</f>
        <v>9.4828532474255975E-2</v>
      </c>
      <c r="AK39" s="5">
        <f>'Step B - Weight by Scl Impact'!AK40*'Step C weights'!E$40</f>
        <v>0.17123092531193837</v>
      </c>
      <c r="AL39" s="5">
        <f>'Step B - Weight by Scl Impact'!AL40*'Step C weights'!F$40</f>
        <v>0.24367475044268461</v>
      </c>
      <c r="AM39" s="5">
        <f>'Step B - Weight by Scl Impact'!AM40*'Step C weights'!G$40</f>
        <v>0.38978931645524678</v>
      </c>
    </row>
    <row r="40" spans="1:39">
      <c r="A40" s="28" t="str">
        <f>IF(NOT(ISBLANK(HLOs!D39)),HLOs!D39,"")</f>
        <v>HLO 8.3: Novel capacity sharing models for stakeholders</v>
      </c>
      <c r="B40" s="5">
        <f>'Step B - Weight by Scl Impact'!B41*'Step C weights'!B$40</f>
        <v>3.1528430287750382E-2</v>
      </c>
      <c r="C40" s="5">
        <f>'Step B - Weight by Scl Impact'!C41*'Step C weights'!C$40</f>
        <v>4.0785965522257446E-2</v>
      </c>
      <c r="D40" s="5">
        <f>'Step B - Weight by Scl Impact'!D41*'Step C weights'!D$40</f>
        <v>7.7147705141955236E-2</v>
      </c>
      <c r="E40" s="5">
        <f>'Step B - Weight by Scl Impact'!E41*'Step C weights'!E$40</f>
        <v>0.10538850274492355</v>
      </c>
      <c r="F40" s="5">
        <f>'Step B - Weight by Scl Impact'!F41*'Step C weights'!F$40</f>
        <v>0.16182992641031282</v>
      </c>
      <c r="G40" s="5">
        <f>'Step B - Weight by Scl Impact'!G41*'Step C weights'!G$40</f>
        <v>3.4163501861541039E-2</v>
      </c>
      <c r="I40" s="28" t="str">
        <f t="shared" si="4"/>
        <v>HLO 8.3: Novel capacity sharing models for stakeholders</v>
      </c>
      <c r="J40" s="5">
        <f>'Step B - Weight by Scl Impact'!J41*'Step C weights'!B$40</f>
        <v>4.6692401357508191E-2</v>
      </c>
      <c r="K40" s="5">
        <f>'Step B - Weight by Scl Impact'!K41*'Step C weights'!C$40</f>
        <v>2.9496148199832647E-2</v>
      </c>
      <c r="L40" s="5">
        <f>'Step B - Weight by Scl Impact'!L41*'Step C weights'!D$40</f>
        <v>0.50245970937698692</v>
      </c>
      <c r="M40" s="5">
        <f>'Step B - Weight by Scl Impact'!M41*'Step C weights'!E$40</f>
        <v>0.33941026273020997</v>
      </c>
      <c r="N40" s="5">
        <f>'Step B - Weight by Scl Impact'!N41*'Step C weights'!F$40</f>
        <v>0.19990402601225374</v>
      </c>
      <c r="O40" s="5">
        <f>'Step B - Weight by Scl Impact'!O41*'Step C weights'!G$40</f>
        <v>1.3359586759306461E-2</v>
      </c>
      <c r="Q40" s="28" t="str">
        <f t="shared" si="5"/>
        <v>HLO 8.3: Novel capacity sharing models for stakeholders</v>
      </c>
      <c r="R40" s="5">
        <f>'Step B - Weight by Scl Impact'!R41*'Step C weights'!B$40</f>
        <v>0.1423941326673504</v>
      </c>
      <c r="S40" s="5">
        <f>'Step B - Weight by Scl Impact'!S41*'Step C weights'!C$40</f>
        <v>0.20980506725060508</v>
      </c>
      <c r="T40" s="5">
        <f>'Step B - Weight by Scl Impact'!T41*'Step C weights'!D$40</f>
        <v>0.36215973717405314</v>
      </c>
      <c r="U40" s="5">
        <f>'Step B - Weight by Scl Impact'!U41*'Step C weights'!E$40</f>
        <v>0.26832411994574579</v>
      </c>
      <c r="V40" s="5">
        <f>'Step B - Weight by Scl Impact'!V41*'Step C weights'!F$40</f>
        <v>0.24113775931519857</v>
      </c>
      <c r="W40" s="5">
        <f>'Step B - Weight by Scl Impact'!W41*'Step C weights'!G$40</f>
        <v>9.836021843553068E-2</v>
      </c>
      <c r="Y40" s="28" t="str">
        <f t="shared" si="6"/>
        <v>HLO 8.3: Novel capacity sharing models for stakeholders</v>
      </c>
      <c r="Z40" s="5">
        <f>'Step B - Weight by Scl Impact'!Z41*'Step C weights'!B$40</f>
        <v>0.11126884331268054</v>
      </c>
      <c r="AA40" s="5">
        <f>'Step B - Weight by Scl Impact'!AA41*'Step C weights'!C$40</f>
        <v>2.65642861132666E-2</v>
      </c>
      <c r="AB40" s="5">
        <f>'Step B - Weight by Scl Impact'!AB41*'Step C weights'!D$40</f>
        <v>0.12643804329900796</v>
      </c>
      <c r="AC40" s="5">
        <f>'Step B - Weight by Scl Impact'!AC41*'Step C weights'!E$40</f>
        <v>0.1141539502079589</v>
      </c>
      <c r="AD40" s="5">
        <f>'Step B - Weight by Scl Impact'!AD41*'Step C weights'!F$40</f>
        <v>0.1218373752213423</v>
      </c>
      <c r="AE40" s="5">
        <f>'Step B - Weight by Scl Impact'!AE41*'Step C weights'!G$40</f>
        <v>0.12992977215174895</v>
      </c>
      <c r="AG40" s="28" t="str">
        <f t="shared" si="7"/>
        <v>HLO 8.3: Novel capacity sharing models for stakeholders</v>
      </c>
      <c r="AH40" s="5">
        <f>'Step B - Weight by Scl Impact'!AH41*'Step C weights'!B$40</f>
        <v>0.22253768662536108</v>
      </c>
      <c r="AI40" s="5">
        <f>'Step B - Weight by Scl Impact'!AI41*'Step C weights'!C$40</f>
        <v>5.3128572226533201E-2</v>
      </c>
      <c r="AJ40" s="5">
        <f>'Step B - Weight by Scl Impact'!AJ41*'Step C weights'!D$40</f>
        <v>9.4828532474255975E-2</v>
      </c>
      <c r="AK40" s="5">
        <f>'Step B - Weight by Scl Impact'!AK41*'Step C weights'!E$40</f>
        <v>0.17123092531193837</v>
      </c>
      <c r="AL40" s="5">
        <f>'Step B - Weight by Scl Impact'!AL41*'Step C weights'!F$40</f>
        <v>0.24367475044268461</v>
      </c>
      <c r="AM40" s="5">
        <f>'Step B - Weight by Scl Impact'!AM41*'Step C weights'!G$40</f>
        <v>0.38978931645524678</v>
      </c>
    </row>
    <row r="41" spans="1:39">
      <c r="A41" s="28" t="str">
        <f>IF(NOT(ISBLANK(HLOs!D40)),HLOs!D40,"")</f>
        <v>HLO 8.4: Multi-stakeholder partnership platforms for scaling bundled solutions</v>
      </c>
      <c r="B41" s="5">
        <f>'Step B - Weight by Scl Impact'!B42*'Step C weights'!B$40</f>
        <v>6.3056860575500764E-2</v>
      </c>
      <c r="C41" s="5">
        <f>'Step B - Weight by Scl Impact'!C42*'Step C weights'!C$40</f>
        <v>8.1571931044514892E-2</v>
      </c>
      <c r="D41" s="5">
        <f>'Step B - Weight by Scl Impact'!D42*'Step C weights'!D$40</f>
        <v>7.7147705141955236E-2</v>
      </c>
      <c r="E41" s="5">
        <f>'Step B - Weight by Scl Impact'!E42*'Step C weights'!E$40</f>
        <v>0.10538850274492355</v>
      </c>
      <c r="F41" s="5">
        <f>'Step B - Weight by Scl Impact'!F42*'Step C weights'!F$40</f>
        <v>0.32365985282062565</v>
      </c>
      <c r="G41" s="5">
        <f>'Step B - Weight by Scl Impact'!G42*'Step C weights'!G$40</f>
        <v>6.8327003723082078E-2</v>
      </c>
      <c r="I41" s="28" t="str">
        <f t="shared" si="4"/>
        <v>HLO 8.4: Multi-stakeholder partnership platforms for scaling bundled solutions</v>
      </c>
      <c r="J41" s="5">
        <f>'Step B - Weight by Scl Impact'!J42*'Step C weights'!B$40</f>
        <v>4.6692401357508191E-2</v>
      </c>
      <c r="K41" s="5">
        <f>'Step B - Weight by Scl Impact'!K42*'Step C weights'!C$40</f>
        <v>2.9496148199832647E-2</v>
      </c>
      <c r="L41" s="5">
        <f>'Step B - Weight by Scl Impact'!L42*'Step C weights'!D$40</f>
        <v>0.50245970937698692</v>
      </c>
      <c r="M41" s="5">
        <f>'Step B - Weight by Scl Impact'!M42*'Step C weights'!E$40</f>
        <v>0.16970513136510498</v>
      </c>
      <c r="N41" s="5">
        <f>'Step B - Weight by Scl Impact'!N42*'Step C weights'!F$40</f>
        <v>0.19990402601225374</v>
      </c>
      <c r="O41" s="5">
        <f>'Step B - Weight by Scl Impact'!O42*'Step C weights'!G$40</f>
        <v>8.9063911728709741E-3</v>
      </c>
      <c r="Q41" s="28" t="str">
        <f t="shared" si="5"/>
        <v>HLO 8.4: Multi-stakeholder partnership platforms for scaling bundled solutions</v>
      </c>
      <c r="R41" s="5">
        <f>'Step B - Weight by Scl Impact'!R42*'Step C weights'!B$40</f>
        <v>0.1423941326673504</v>
      </c>
      <c r="S41" s="5">
        <f>'Step B - Weight by Scl Impact'!S42*'Step C weights'!C$40</f>
        <v>0.13987004483373672</v>
      </c>
      <c r="T41" s="5">
        <f>'Step B - Weight by Scl Impact'!T42*'Step C weights'!D$40</f>
        <v>0.36215973717405314</v>
      </c>
      <c r="U41" s="5">
        <f>'Step B - Weight by Scl Impact'!U42*'Step C weights'!E$40</f>
        <v>0.26832411994574579</v>
      </c>
      <c r="V41" s="5">
        <f>'Step B - Weight by Scl Impact'!V42*'Step C weights'!F$40</f>
        <v>0.24113775931519857</v>
      </c>
      <c r="W41" s="5">
        <f>'Step B - Weight by Scl Impact'!W42*'Step C weights'!G$40</f>
        <v>9.836021843553068E-2</v>
      </c>
      <c r="Y41" s="28" t="str">
        <f t="shared" si="6"/>
        <v>HLO 8.4: Multi-stakeholder partnership platforms for scaling bundled solutions</v>
      </c>
      <c r="Z41" s="5">
        <f>'Step B - Weight by Scl Impact'!Z42*'Step C weights'!B$40</f>
        <v>0.11126884331268054</v>
      </c>
      <c r="AA41" s="5">
        <f>'Step B - Weight by Scl Impact'!AA42*'Step C weights'!C$40</f>
        <v>2.65642861132666E-2</v>
      </c>
      <c r="AB41" s="5">
        <f>'Step B - Weight by Scl Impact'!AB42*'Step C weights'!D$40</f>
        <v>0.12643804329900796</v>
      </c>
      <c r="AC41" s="5">
        <f>'Step B - Weight by Scl Impact'!AC42*'Step C weights'!E$40</f>
        <v>5.7076975103979452E-2</v>
      </c>
      <c r="AD41" s="5">
        <f>'Step B - Weight by Scl Impact'!AD42*'Step C weights'!F$40</f>
        <v>0.1218373752213423</v>
      </c>
      <c r="AE41" s="5">
        <f>'Step B - Weight by Scl Impact'!AE42*'Step C weights'!G$40</f>
        <v>0.25985954430349789</v>
      </c>
      <c r="AG41" s="28" t="str">
        <f t="shared" si="7"/>
        <v>HLO 8.4: Multi-stakeholder partnership platforms for scaling bundled solutions</v>
      </c>
      <c r="AH41" s="5">
        <f>'Step B - Weight by Scl Impact'!AH42*'Step C weights'!B$40</f>
        <v>0.22253768662536108</v>
      </c>
      <c r="AI41" s="5">
        <f>'Step B - Weight by Scl Impact'!AI42*'Step C weights'!C$40</f>
        <v>5.3128572226533201E-2</v>
      </c>
      <c r="AJ41" s="5">
        <f>'Step B - Weight by Scl Impact'!AJ42*'Step C weights'!D$40</f>
        <v>9.4828532474255975E-2</v>
      </c>
      <c r="AK41" s="5">
        <f>'Step B - Weight by Scl Impact'!AK42*'Step C weights'!E$40</f>
        <v>0.22830790041591781</v>
      </c>
      <c r="AL41" s="5">
        <f>'Step B - Weight by Scl Impact'!AL42*'Step C weights'!F$40</f>
        <v>0.24367475044268461</v>
      </c>
      <c r="AM41" s="5">
        <f>'Step B - Weight by Scl Impact'!AM42*'Step C weights'!G$40</f>
        <v>0.38978931645524678</v>
      </c>
    </row>
    <row r="42" spans="1:39">
      <c r="A42" s="28" t="str">
        <f>IF(NOT(ISBLANK(HLOs!D41)),HLOs!D41,"")</f>
        <v>HLO 8.5: Policy-related information for sustainable farming systems</v>
      </c>
      <c r="B42" s="5">
        <f>'Step B - Weight by Scl Impact'!B43*'Step C weights'!B$40</f>
        <v>6.3056860575500764E-2</v>
      </c>
      <c r="C42" s="5">
        <f>'Step B - Weight by Scl Impact'!C43*'Step C weights'!C$40</f>
        <v>8.1571931044514892E-2</v>
      </c>
      <c r="D42" s="5">
        <f>'Step B - Weight by Scl Impact'!D43*'Step C weights'!D$40</f>
        <v>7.7147705141955236E-2</v>
      </c>
      <c r="E42" s="5">
        <f>'Step B - Weight by Scl Impact'!E43*'Step C weights'!E$40</f>
        <v>0.10538850274492355</v>
      </c>
      <c r="F42" s="5">
        <f>'Step B - Weight by Scl Impact'!F43*'Step C weights'!F$40</f>
        <v>0.32365985282062565</v>
      </c>
      <c r="G42" s="5">
        <f>'Step B - Weight by Scl Impact'!G43*'Step C weights'!G$40</f>
        <v>6.8327003723082078E-2</v>
      </c>
      <c r="I42" s="28" t="str">
        <f t="shared" si="4"/>
        <v>HLO 8.5: Policy-related information for sustainable farming systems</v>
      </c>
      <c r="J42" s="5">
        <f>'Step B - Weight by Scl Impact'!J43*'Step C weights'!B$40</f>
        <v>4.6692401357508191E-2</v>
      </c>
      <c r="K42" s="5">
        <f>'Step B - Weight by Scl Impact'!K43*'Step C weights'!C$40</f>
        <v>2.9496148199832647E-2</v>
      </c>
      <c r="L42" s="5">
        <f>'Step B - Weight by Scl Impact'!L43*'Step C weights'!D$40</f>
        <v>0.50245970937698692</v>
      </c>
      <c r="M42" s="5">
        <f>'Step B - Weight by Scl Impact'!M43*'Step C weights'!E$40</f>
        <v>0.16970513136510498</v>
      </c>
      <c r="N42" s="5">
        <f>'Step B - Weight by Scl Impact'!N43*'Step C weights'!F$40</f>
        <v>0.19990402601225374</v>
      </c>
      <c r="O42" s="5">
        <f>'Step B - Weight by Scl Impact'!O43*'Step C weights'!G$40</f>
        <v>8.9063911728709741E-3</v>
      </c>
      <c r="Q42" s="28" t="str">
        <f t="shared" si="5"/>
        <v>HLO 8.5: Policy-related information for sustainable farming systems</v>
      </c>
      <c r="R42" s="5">
        <f>'Step B - Weight by Scl Impact'!R43*'Step C weights'!B$40</f>
        <v>0.1423941326673504</v>
      </c>
      <c r="S42" s="5">
        <f>'Step B - Weight by Scl Impact'!S43*'Step C weights'!C$40</f>
        <v>0.13987004483373672</v>
      </c>
      <c r="T42" s="5">
        <f>'Step B - Weight by Scl Impact'!T43*'Step C weights'!D$40</f>
        <v>0.36215973717405314</v>
      </c>
      <c r="U42" s="5">
        <f>'Step B - Weight by Scl Impact'!U43*'Step C weights'!E$40</f>
        <v>0.26832411994574579</v>
      </c>
      <c r="V42" s="5">
        <f>'Step B - Weight by Scl Impact'!V43*'Step C weights'!F$40</f>
        <v>0.24113775931519857</v>
      </c>
      <c r="W42" s="5">
        <f>'Step B - Weight by Scl Impact'!W43*'Step C weights'!G$40</f>
        <v>9.836021843553068E-2</v>
      </c>
      <c r="Y42" s="28" t="str">
        <f t="shared" si="6"/>
        <v>HLO 8.5: Policy-related information for sustainable farming systems</v>
      </c>
      <c r="Z42" s="5">
        <f>'Step B - Weight by Scl Impact'!Z43*'Step C weights'!B$40</f>
        <v>0.11126884331268054</v>
      </c>
      <c r="AA42" s="5">
        <f>'Step B - Weight by Scl Impact'!AA43*'Step C weights'!C$40</f>
        <v>2.65642861132666E-2</v>
      </c>
      <c r="AB42" s="5">
        <f>'Step B - Weight by Scl Impact'!AB43*'Step C weights'!D$40</f>
        <v>6.3219021649503979E-2</v>
      </c>
      <c r="AC42" s="5">
        <f>'Step B - Weight by Scl Impact'!AC43*'Step C weights'!E$40</f>
        <v>5.7076975103979452E-2</v>
      </c>
      <c r="AD42" s="5">
        <f>'Step B - Weight by Scl Impact'!AD43*'Step C weights'!F$40</f>
        <v>0.1218373752213423</v>
      </c>
      <c r="AE42" s="5">
        <f>'Step B - Weight by Scl Impact'!AE43*'Step C weights'!G$40</f>
        <v>0.25985954430349789</v>
      </c>
      <c r="AG42" s="28" t="str">
        <f t="shared" si="7"/>
        <v>HLO 8.5: Policy-related information for sustainable farming systems</v>
      </c>
      <c r="AH42" s="5">
        <f>'Step B - Weight by Scl Impact'!AH43*'Step C weights'!B$40</f>
        <v>0.22253768662536108</v>
      </c>
      <c r="AI42" s="5">
        <f>'Step B - Weight by Scl Impact'!AI43*'Step C weights'!C$40</f>
        <v>5.3128572226533201E-2</v>
      </c>
      <c r="AJ42" s="5">
        <f>'Step B - Weight by Scl Impact'!AJ43*'Step C weights'!D$40</f>
        <v>9.4828532474255975E-2</v>
      </c>
      <c r="AK42" s="5">
        <f>'Step B - Weight by Scl Impact'!AK43*'Step C weights'!E$40</f>
        <v>0.17123092531193837</v>
      </c>
      <c r="AL42" s="5">
        <f>'Step B - Weight by Scl Impact'!AL43*'Step C weights'!F$40</f>
        <v>0.24367475044268461</v>
      </c>
      <c r="AM42" s="5">
        <f>'Step B - Weight by Scl Impact'!AM43*'Step C weights'!G$40</f>
        <v>0.38978931645524678</v>
      </c>
    </row>
  </sheetData>
  <mergeCells count="1">
    <mergeCell ref="A1:P1"/>
  </mergeCells>
  <conditionalFormatting sqref="B9:G42">
    <cfRule type="colorScale" priority="19">
      <colorScale>
        <cfvo type="min"/>
        <cfvo type="percentile" val="50"/>
        <cfvo type="max"/>
        <color rgb="FFF8696B"/>
        <color rgb="FFFFEB84"/>
        <color rgb="FF63BE7B"/>
      </colorScale>
    </cfRule>
  </conditionalFormatting>
  <conditionalFormatting sqref="J9:O42">
    <cfRule type="colorScale" priority="20">
      <colorScale>
        <cfvo type="min"/>
        <cfvo type="percentile" val="50"/>
        <cfvo type="max"/>
        <color rgb="FFF8696B"/>
        <color rgb="FFFFEB84"/>
        <color rgb="FF63BE7B"/>
      </colorScale>
    </cfRule>
  </conditionalFormatting>
  <conditionalFormatting sqref="R9:W42">
    <cfRule type="colorScale" priority="21">
      <colorScale>
        <cfvo type="min"/>
        <cfvo type="percentile" val="50"/>
        <cfvo type="max"/>
        <color rgb="FFF8696B"/>
        <color rgb="FFFFEB84"/>
        <color rgb="FF63BE7B"/>
      </colorScale>
    </cfRule>
  </conditionalFormatting>
  <conditionalFormatting sqref="Z9:AE42">
    <cfRule type="colorScale" priority="22">
      <colorScale>
        <cfvo type="min"/>
        <cfvo type="percentile" val="50"/>
        <cfvo type="max"/>
        <color rgb="FFF8696B"/>
        <color rgb="FFFFEB84"/>
        <color rgb="FF63BE7B"/>
      </colorScale>
    </cfRule>
  </conditionalFormatting>
  <conditionalFormatting sqref="AH9:AM42">
    <cfRule type="colorScale" priority="23">
      <colorScale>
        <cfvo type="min"/>
        <cfvo type="percentile" val="50"/>
        <cfvo type="max"/>
        <color rgb="FFF8696B"/>
        <color rgb="FFFFEB84"/>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DABE-6049-4560-9FFE-BA028B1DD554}">
  <dimension ref="A1:D5"/>
  <sheetViews>
    <sheetView workbookViewId="0">
      <selection activeCell="B5" sqref="B5"/>
    </sheetView>
  </sheetViews>
  <sheetFormatPr defaultColWidth="8.42578125" defaultRowHeight="15"/>
  <cols>
    <col min="1" max="1" width="47" style="37" customWidth="1"/>
    <col min="2" max="2" width="43.85546875" style="37" customWidth="1"/>
    <col min="3" max="3" width="39.42578125" style="37" customWidth="1"/>
    <col min="4" max="4" width="83.42578125" style="37" customWidth="1"/>
    <col min="5" max="16384" width="8.42578125" style="37"/>
  </cols>
  <sheetData>
    <row r="1" spans="1:4" customFormat="1" ht="30" customHeight="1">
      <c r="A1" s="89" t="s">
        <v>1064</v>
      </c>
      <c r="B1" s="89"/>
      <c r="C1" s="89"/>
      <c r="D1" s="89"/>
    </row>
    <row r="2" spans="1:4" customFormat="1"/>
    <row r="3" spans="1:4" customFormat="1"/>
    <row r="4" spans="1:4" customFormat="1">
      <c r="A4" s="39" t="s">
        <v>1065</v>
      </c>
      <c r="B4" s="39" t="s">
        <v>1066</v>
      </c>
      <c r="C4" s="39" t="s">
        <v>1067</v>
      </c>
      <c r="D4" s="39" t="s">
        <v>1068</v>
      </c>
    </row>
    <row r="5" spans="1:4" s="38" customFormat="1" ht="96">
      <c r="A5" s="40" t="s">
        <v>1069</v>
      </c>
      <c r="B5" s="41" t="s">
        <v>1070</v>
      </c>
      <c r="C5" s="41" t="s">
        <v>1071</v>
      </c>
      <c r="D5" s="41" t="s">
        <v>1072</v>
      </c>
    </row>
  </sheetData>
  <mergeCells count="1">
    <mergeCell ref="A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1f1eeb5-978f-4917-95f2-e6174f037949" xsi:nil="true"/>
    <lcf76f155ced4ddcb4097134ff3c332f xmlns="51ae4611-cb70-4579-927e-75165a4a042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4DB8E4-B0AC-475A-9BAE-C6C19014D078}"/>
</file>

<file path=customXml/itemProps2.xml><?xml version="1.0" encoding="utf-8"?>
<ds:datastoreItem xmlns:ds="http://schemas.openxmlformats.org/officeDocument/2006/customXml" ds:itemID="{7118DF62-2899-40AC-A33F-41E8C8EAA7D3}"/>
</file>

<file path=customXml/itemProps3.xml><?xml version="1.0" encoding="utf-8"?>
<ds:datastoreItem xmlns:ds="http://schemas.openxmlformats.org/officeDocument/2006/customXml" ds:itemID="{7A923BCD-4158-4438-84E4-BC1FD2541C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CHAMBERLIN, Jordan (CIMMYT-Kenya)</dc:creator>
  <cp:keywords/>
  <dc:description/>
  <cp:lastModifiedBy/>
  <cp:revision/>
  <dcterms:created xsi:type="dcterms:W3CDTF">2025-02-27T13:45:38Z</dcterms:created>
  <dcterms:modified xsi:type="dcterms:W3CDTF">2025-09-19T05:52:25Z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MediaServiceImageTags">
    <vt:lpwstr/>
  </property>
  <property fmtid="{D5CDD505-2E9C-101B-9397-08002B2CF9AE}" pid="10" name="MSIP_Label_80c4d10e-bd94-4e7c-b4a1-fe20ff6d8abe_Enabled">
    <vt:lpwstr>true</vt:lpwstr>
  </property>
  <property fmtid="{D5CDD505-2E9C-101B-9397-08002B2CF9AE}" pid="11" name="MSIP_Label_80c4d10e-bd94-4e7c-b4a1-fe20ff6d8abe_SetDate">
    <vt:lpwstr>2025-05-23T13:09:26Z</vt:lpwstr>
  </property>
  <property fmtid="{D5CDD505-2E9C-101B-9397-08002B2CF9AE}" pid="12" name="MSIP_Label_80c4d10e-bd94-4e7c-b4a1-fe20ff6d8abe_Method">
    <vt:lpwstr>Standard</vt:lpwstr>
  </property>
  <property fmtid="{D5CDD505-2E9C-101B-9397-08002B2CF9AE}" pid="13" name="MSIP_Label_80c4d10e-bd94-4e7c-b4a1-fe20ff6d8abe_Name">
    <vt:lpwstr>80c4d10e-bd94-4e7c-b4a1-fe20ff6d8abe</vt:lpwstr>
  </property>
  <property fmtid="{D5CDD505-2E9C-101B-9397-08002B2CF9AE}" pid="14" name="MSIP_Label_80c4d10e-bd94-4e7c-b4a1-fe20ff6d8abe_SiteId">
    <vt:lpwstr>6afa0e00-fa14-40b7-8a2e-22a7f8c357d5</vt:lpwstr>
  </property>
  <property fmtid="{D5CDD505-2E9C-101B-9397-08002B2CF9AE}" pid="15" name="MSIP_Label_80c4d10e-bd94-4e7c-b4a1-fe20ff6d8abe_ActionId">
    <vt:lpwstr>55a9746b-ff45-4896-8ae2-facda3491d96</vt:lpwstr>
  </property>
  <property fmtid="{D5CDD505-2E9C-101B-9397-08002B2CF9AE}" pid="16" name="MSIP_Label_80c4d10e-bd94-4e7c-b4a1-fe20ff6d8abe_ContentBits">
    <vt:lpwstr>0</vt:lpwstr>
  </property>
  <property fmtid="{D5CDD505-2E9C-101B-9397-08002B2CF9AE}" pid="17" name="MSIP_Label_80c4d10e-bd94-4e7c-b4a1-fe20ff6d8abe_Tag">
    <vt:lpwstr>10, 3, 0, 1</vt:lpwstr>
  </property>
</Properties>
</file>