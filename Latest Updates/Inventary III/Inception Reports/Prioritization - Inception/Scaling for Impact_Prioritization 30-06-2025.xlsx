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C:\Users\Mgetachew\Downloads\"/>
    </mc:Choice>
  </mc:AlternateContent>
  <xr:revisionPtr revIDLastSave="0" documentId="8_{0179283D-E67A-4FB6-AB5F-166950C60E4C}" xr6:coauthVersionLast="47" xr6:coauthVersionMax="47" xr10:uidLastSave="{00000000-0000-0000-0000-000000000000}"/>
  <bookViews>
    <workbookView xWindow="-110" yWindow="-110" windowWidth="19420" windowHeight="10300" tabRatio="826" xr2:uid="{7E8C8093-AF25-40C4-A5EB-49CC7314E97D}"/>
  </bookViews>
  <sheets>
    <sheet name="Country-regions" sheetId="12" r:id="rId1"/>
    <sheet name="HLOs" sheetId="1" r:id="rId2"/>
    <sheet name="Indicators" sheetId="3" r:id="rId3"/>
    <sheet name="1.Food_security" sheetId="2" r:id="rId4"/>
    <sheet name="2.Poverty_reduction" sheetId="4" r:id="rId5"/>
    <sheet name="3.Social_inclusion" sheetId="5" r:id="rId6"/>
    <sheet name="4.Climate_adaptation" sheetId="6" r:id="rId7"/>
    <sheet name="5.Environmental_health" sheetId="7" r:id="rId8"/>
    <sheet name="Step B - Weight by Scl Impact" sheetId="8" r:id="rId9"/>
    <sheet name="Step B weights" sheetId="13" r:id="rId10"/>
    <sheet name="Phase 2 - Final decisions" sheetId="11" r:id="rId11"/>
    <sheet name="Step C weights" sheetId="14" r:id="rId12"/>
    <sheet name="Step C - Weight by Enable Env" sheetId="9" r:id="rId13"/>
    <sheet name="Sheet2" sheetId="16" r:id="rId14"/>
  </sheets>
  <externalReferences>
    <externalReference r:id="rId15"/>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1" i="11" l="1"/>
  <c r="A72" i="11"/>
  <c r="A73" i="11"/>
  <c r="A74" i="11"/>
  <c r="A75" i="11"/>
  <c r="A76" i="11"/>
  <c r="A77" i="11"/>
  <c r="A78" i="11"/>
  <c r="A79" i="11"/>
  <c r="A80" i="11"/>
  <c r="A81" i="11"/>
  <c r="A82" i="11"/>
  <c r="A83" i="11"/>
  <c r="A84" i="11"/>
  <c r="A70" i="11"/>
  <c r="A55" i="11"/>
  <c r="A56" i="11"/>
  <c r="A57" i="11"/>
  <c r="A58" i="11"/>
  <c r="A59" i="11"/>
  <c r="A60" i="11"/>
  <c r="A61" i="11"/>
  <c r="A62" i="11"/>
  <c r="A63" i="11"/>
  <c r="A64" i="11"/>
  <c r="A65" i="11"/>
  <c r="A66" i="11"/>
  <c r="A67" i="11"/>
  <c r="A68" i="11"/>
  <c r="A54" i="11"/>
  <c r="A39" i="11"/>
  <c r="A40" i="11"/>
  <c r="A41" i="11"/>
  <c r="A42" i="11"/>
  <c r="A43" i="11"/>
  <c r="A44" i="11"/>
  <c r="A45" i="11"/>
  <c r="A46" i="11"/>
  <c r="A47" i="11"/>
  <c r="A48" i="11"/>
  <c r="A49" i="11"/>
  <c r="A50" i="11"/>
  <c r="A51" i="11"/>
  <c r="A52" i="11"/>
  <c r="A38" i="11"/>
  <c r="A23" i="11"/>
  <c r="A24" i="11"/>
  <c r="A25" i="11"/>
  <c r="A26" i="11"/>
  <c r="A27" i="11"/>
  <c r="A28" i="11"/>
  <c r="A29" i="11"/>
  <c r="A30" i="11"/>
  <c r="A31" i="11"/>
  <c r="A32" i="11"/>
  <c r="A33" i="11"/>
  <c r="A34" i="11"/>
  <c r="A35" i="11"/>
  <c r="A36" i="11"/>
  <c r="A22" i="11"/>
  <c r="A7" i="11"/>
  <c r="A8" i="11"/>
  <c r="A9" i="11"/>
  <c r="A10" i="11"/>
  <c r="A11" i="11"/>
  <c r="A12" i="11"/>
  <c r="A13" i="11"/>
  <c r="A14" i="11"/>
  <c r="A15" i="11"/>
  <c r="A16" i="11"/>
  <c r="A17" i="11"/>
  <c r="A18" i="11"/>
  <c r="A19" i="11"/>
  <c r="A20" i="11"/>
  <c r="A6" i="11"/>
  <c r="A11" i="8"/>
  <c r="A12" i="8"/>
  <c r="A13" i="8"/>
  <c r="A14" i="8"/>
  <c r="A15" i="8"/>
  <c r="A16" i="8"/>
  <c r="A17" i="8"/>
  <c r="A18" i="8"/>
  <c r="A19" i="8"/>
  <c r="A20" i="8"/>
  <c r="A21" i="8"/>
  <c r="A22" i="8"/>
  <c r="A23" i="8"/>
  <c r="A24" i="8"/>
  <c r="A10" i="8"/>
  <c r="C12" i="7"/>
  <c r="C13" i="7"/>
  <c r="C14" i="7"/>
  <c r="C15" i="7"/>
  <c r="C16" i="7"/>
  <c r="C17" i="7"/>
  <c r="C18" i="7"/>
  <c r="C19" i="7"/>
  <c r="C20" i="7"/>
  <c r="C21" i="7"/>
  <c r="C22" i="7"/>
  <c r="C23" i="7"/>
  <c r="C24" i="7"/>
  <c r="C25" i="7"/>
  <c r="C11" i="7"/>
  <c r="C12" i="6"/>
  <c r="C13" i="6"/>
  <c r="C14" i="6"/>
  <c r="C15" i="6"/>
  <c r="C16" i="6"/>
  <c r="C17" i="6"/>
  <c r="C18" i="6"/>
  <c r="C19" i="6"/>
  <c r="C20" i="6"/>
  <c r="C21" i="6"/>
  <c r="C22" i="6"/>
  <c r="C23" i="6"/>
  <c r="C24" i="6"/>
  <c r="C25" i="6"/>
  <c r="C11" i="6"/>
  <c r="C12" i="5"/>
  <c r="C13" i="5"/>
  <c r="C14" i="5"/>
  <c r="C15" i="5"/>
  <c r="C16" i="5"/>
  <c r="C17" i="5"/>
  <c r="C18" i="5"/>
  <c r="C19" i="5"/>
  <c r="C20" i="5"/>
  <c r="C21" i="5"/>
  <c r="C22" i="5"/>
  <c r="C23" i="5"/>
  <c r="C24" i="5"/>
  <c r="C25" i="5"/>
  <c r="C11" i="5"/>
  <c r="C12" i="4"/>
  <c r="C13" i="4"/>
  <c r="C14" i="4"/>
  <c r="C15" i="4"/>
  <c r="C16" i="4"/>
  <c r="C17" i="4"/>
  <c r="C18" i="4"/>
  <c r="C19" i="4"/>
  <c r="C20" i="4"/>
  <c r="C21" i="4"/>
  <c r="C22" i="4"/>
  <c r="C23" i="4"/>
  <c r="C24" i="4"/>
  <c r="C25" i="4"/>
  <c r="C11" i="4"/>
  <c r="C12" i="2"/>
  <c r="C13" i="2"/>
  <c r="C14" i="2"/>
  <c r="C15" i="2"/>
  <c r="C16" i="2"/>
  <c r="C17" i="2"/>
  <c r="C18" i="2"/>
  <c r="C19" i="2"/>
  <c r="C20" i="2"/>
  <c r="C21" i="2"/>
  <c r="C22" i="2"/>
  <c r="C23" i="2"/>
  <c r="C24" i="2"/>
  <c r="C25" i="2"/>
  <c r="C11" i="2"/>
  <c r="Z24" i="8"/>
  <c r="AA24" i="8"/>
  <c r="AB24" i="8"/>
  <c r="AC24" i="8"/>
  <c r="AD24" i="8"/>
  <c r="AE24" i="8"/>
  <c r="AH11" i="8"/>
  <c r="AI11" i="8"/>
  <c r="AJ11" i="8"/>
  <c r="AK11" i="8"/>
  <c r="AL11" i="8"/>
  <c r="AM11" i="8"/>
  <c r="AH12" i="8"/>
  <c r="AI12" i="8"/>
  <c r="AJ12" i="8"/>
  <c r="AK12" i="8"/>
  <c r="AL12" i="8"/>
  <c r="AM12" i="8"/>
  <c r="AH13" i="8"/>
  <c r="AI13" i="8"/>
  <c r="AJ13" i="8"/>
  <c r="AK13" i="8"/>
  <c r="AL13" i="8"/>
  <c r="AM13" i="8"/>
  <c r="AH14" i="8"/>
  <c r="AI14" i="8"/>
  <c r="AJ14" i="8"/>
  <c r="AK14" i="8"/>
  <c r="AL14" i="8"/>
  <c r="AM14" i="8"/>
  <c r="AH15" i="8"/>
  <c r="AI15" i="8"/>
  <c r="AJ15" i="8"/>
  <c r="AK15" i="8"/>
  <c r="AL15" i="8"/>
  <c r="AM15" i="8"/>
  <c r="AH16" i="8"/>
  <c r="AI16" i="8"/>
  <c r="AJ16" i="8"/>
  <c r="AK16" i="8"/>
  <c r="AL16" i="8"/>
  <c r="AM16" i="8"/>
  <c r="AH17" i="8"/>
  <c r="AI17" i="8"/>
  <c r="AJ17" i="8"/>
  <c r="AK17" i="8"/>
  <c r="AL17" i="8"/>
  <c r="AM17" i="8"/>
  <c r="AH18" i="8"/>
  <c r="AI18" i="8"/>
  <c r="AJ18" i="8"/>
  <c r="AK18" i="8"/>
  <c r="AL18" i="8"/>
  <c r="AM18" i="8"/>
  <c r="AH19" i="8"/>
  <c r="AI19" i="8"/>
  <c r="AJ19" i="8"/>
  <c r="AK19" i="8"/>
  <c r="AL19" i="8"/>
  <c r="AM19" i="8"/>
  <c r="AH20" i="8"/>
  <c r="AI20" i="8"/>
  <c r="AJ20" i="8"/>
  <c r="AK20" i="8"/>
  <c r="AL20" i="8"/>
  <c r="AM20" i="8"/>
  <c r="AH21" i="8"/>
  <c r="AI21" i="8"/>
  <c r="AJ21" i="8"/>
  <c r="AK21" i="8"/>
  <c r="AL21" i="8"/>
  <c r="AM21" i="8"/>
  <c r="AH22" i="8"/>
  <c r="AI22" i="8"/>
  <c r="AJ22" i="8"/>
  <c r="AK22" i="8"/>
  <c r="AL22" i="8"/>
  <c r="AM22" i="8"/>
  <c r="AH23" i="8"/>
  <c r="AI23" i="8"/>
  <c r="AJ23" i="8"/>
  <c r="AK23" i="8"/>
  <c r="AL23" i="8"/>
  <c r="AM23" i="8"/>
  <c r="AH24" i="8"/>
  <c r="AI24" i="8"/>
  <c r="AJ24" i="8"/>
  <c r="AK24" i="8"/>
  <c r="AL24" i="8"/>
  <c r="AM24" i="8"/>
  <c r="Z11" i="8"/>
  <c r="AA11" i="8"/>
  <c r="AB11" i="8"/>
  <c r="AC11" i="8"/>
  <c r="AD11" i="8"/>
  <c r="AE11" i="8"/>
  <c r="Z12" i="8"/>
  <c r="AA12" i="8"/>
  <c r="AB12" i="8"/>
  <c r="AC12" i="8"/>
  <c r="AD12" i="8"/>
  <c r="AE12" i="8"/>
  <c r="Z13" i="8"/>
  <c r="AA13" i="8"/>
  <c r="AB13" i="8"/>
  <c r="AC13" i="8"/>
  <c r="AD13" i="8"/>
  <c r="AE13" i="8"/>
  <c r="Z14" i="8"/>
  <c r="AA14" i="8"/>
  <c r="AB14" i="8"/>
  <c r="AC14" i="8"/>
  <c r="AD14" i="8"/>
  <c r="AE14" i="8"/>
  <c r="Z15" i="8"/>
  <c r="AA15" i="8"/>
  <c r="AB15" i="8"/>
  <c r="AC15" i="8"/>
  <c r="AD15" i="8"/>
  <c r="AE15" i="8"/>
  <c r="Z16" i="8"/>
  <c r="AA16" i="8"/>
  <c r="AB16" i="8"/>
  <c r="AC16" i="8"/>
  <c r="AD16" i="8"/>
  <c r="AE16" i="8"/>
  <c r="Z17" i="8"/>
  <c r="AA17" i="8"/>
  <c r="AB17" i="8"/>
  <c r="AC17" i="8"/>
  <c r="AD17" i="8"/>
  <c r="AE17" i="8"/>
  <c r="Z18" i="8"/>
  <c r="AA18" i="8"/>
  <c r="AB18" i="8"/>
  <c r="AC18" i="8"/>
  <c r="AD18" i="8"/>
  <c r="AE18" i="8"/>
  <c r="Z19" i="8"/>
  <c r="AA19" i="8"/>
  <c r="AB19" i="8"/>
  <c r="AC19" i="8"/>
  <c r="AD19" i="8"/>
  <c r="AE19" i="8"/>
  <c r="Z20" i="8"/>
  <c r="AA20" i="8"/>
  <c r="AB20" i="8"/>
  <c r="AC20" i="8"/>
  <c r="AD20" i="8"/>
  <c r="AE20" i="8"/>
  <c r="Z21" i="8"/>
  <c r="AA21" i="8"/>
  <c r="AB21" i="8"/>
  <c r="AC21" i="8"/>
  <c r="AD21" i="8"/>
  <c r="AE21" i="8"/>
  <c r="Z22" i="8"/>
  <c r="AA22" i="8"/>
  <c r="AB22" i="8"/>
  <c r="AC22" i="8"/>
  <c r="AD22" i="8"/>
  <c r="AE22" i="8"/>
  <c r="Z23" i="8"/>
  <c r="AA23" i="8"/>
  <c r="AB23" i="8"/>
  <c r="AC23" i="8"/>
  <c r="AD23" i="8"/>
  <c r="AE23" i="8"/>
  <c r="R11" i="8"/>
  <c r="S11" i="8"/>
  <c r="T11" i="8"/>
  <c r="U11" i="8"/>
  <c r="V11" i="8"/>
  <c r="W11" i="8"/>
  <c r="R12" i="8"/>
  <c r="S12" i="8"/>
  <c r="T12" i="8"/>
  <c r="U12" i="8"/>
  <c r="V12" i="8"/>
  <c r="W12" i="8"/>
  <c r="R13" i="8"/>
  <c r="S13" i="8"/>
  <c r="T13" i="8"/>
  <c r="U13" i="8"/>
  <c r="V13" i="8"/>
  <c r="W13" i="8"/>
  <c r="R14" i="8"/>
  <c r="S14" i="8"/>
  <c r="T14" i="8"/>
  <c r="U14" i="8"/>
  <c r="V14" i="8"/>
  <c r="W14" i="8"/>
  <c r="R15" i="8"/>
  <c r="S15" i="8"/>
  <c r="T15" i="8"/>
  <c r="U15" i="8"/>
  <c r="V15" i="8"/>
  <c r="W15" i="8"/>
  <c r="R16" i="8"/>
  <c r="S16" i="8"/>
  <c r="T16" i="8"/>
  <c r="U16" i="8"/>
  <c r="V16" i="8"/>
  <c r="W16" i="8"/>
  <c r="R17" i="8"/>
  <c r="S17" i="8"/>
  <c r="T17" i="8"/>
  <c r="U17" i="8"/>
  <c r="V17" i="8"/>
  <c r="W17" i="8"/>
  <c r="R18" i="8"/>
  <c r="S18" i="8"/>
  <c r="T18" i="8"/>
  <c r="U18" i="8"/>
  <c r="V18" i="8"/>
  <c r="W18" i="8"/>
  <c r="R19" i="8"/>
  <c r="S19" i="8"/>
  <c r="T19" i="8"/>
  <c r="U19" i="8"/>
  <c r="V19" i="8"/>
  <c r="W19" i="8"/>
  <c r="R20" i="8"/>
  <c r="S20" i="8"/>
  <c r="T20" i="8"/>
  <c r="U20" i="8"/>
  <c r="V20" i="8"/>
  <c r="W20" i="8"/>
  <c r="R21" i="8"/>
  <c r="S21" i="8"/>
  <c r="T21" i="8"/>
  <c r="U21" i="8"/>
  <c r="V21" i="8"/>
  <c r="W21" i="8"/>
  <c r="R22" i="8"/>
  <c r="S22" i="8"/>
  <c r="T22" i="8"/>
  <c r="U22" i="8"/>
  <c r="V22" i="8"/>
  <c r="W22" i="8"/>
  <c r="R23" i="8"/>
  <c r="S23" i="8"/>
  <c r="T23" i="8"/>
  <c r="U23" i="8"/>
  <c r="V23" i="8"/>
  <c r="W23" i="8"/>
  <c r="R24" i="8"/>
  <c r="S24" i="8"/>
  <c r="T24" i="8"/>
  <c r="U24" i="8"/>
  <c r="V24" i="8"/>
  <c r="W24" i="8"/>
  <c r="J11" i="8"/>
  <c r="K11" i="8"/>
  <c r="L11" i="8"/>
  <c r="M11" i="8"/>
  <c r="N11" i="8"/>
  <c r="O11" i="8"/>
  <c r="J12" i="8"/>
  <c r="K12" i="8"/>
  <c r="L12" i="8"/>
  <c r="M12" i="8"/>
  <c r="N12" i="8"/>
  <c r="O12" i="8"/>
  <c r="J13" i="8"/>
  <c r="K13" i="8"/>
  <c r="L13" i="8"/>
  <c r="M13" i="8"/>
  <c r="N13" i="8"/>
  <c r="O13" i="8"/>
  <c r="J14" i="8"/>
  <c r="K14" i="8"/>
  <c r="L14" i="8"/>
  <c r="M14" i="8"/>
  <c r="N14" i="8"/>
  <c r="O14" i="8"/>
  <c r="J15" i="8"/>
  <c r="K15" i="8"/>
  <c r="L15" i="8"/>
  <c r="M15" i="8"/>
  <c r="N15" i="8"/>
  <c r="O15" i="8"/>
  <c r="J16" i="8"/>
  <c r="K16" i="8"/>
  <c r="L16" i="8"/>
  <c r="M16" i="8"/>
  <c r="N16" i="8"/>
  <c r="O16" i="8"/>
  <c r="J17" i="8"/>
  <c r="K17" i="8"/>
  <c r="L17" i="8"/>
  <c r="M17" i="8"/>
  <c r="N17" i="8"/>
  <c r="O17" i="8"/>
  <c r="J18" i="8"/>
  <c r="K18" i="8"/>
  <c r="L18" i="8"/>
  <c r="M18" i="8"/>
  <c r="N18" i="8"/>
  <c r="O18" i="8"/>
  <c r="J19" i="8"/>
  <c r="K19" i="8"/>
  <c r="L19" i="8"/>
  <c r="M19" i="8"/>
  <c r="N19" i="8"/>
  <c r="O19" i="8"/>
  <c r="J20" i="8"/>
  <c r="K20" i="8"/>
  <c r="L20" i="8"/>
  <c r="M20" i="8"/>
  <c r="N20" i="8"/>
  <c r="O20" i="8"/>
  <c r="J21" i="8"/>
  <c r="K21" i="8"/>
  <c r="L21" i="8"/>
  <c r="M21" i="8"/>
  <c r="N21" i="8"/>
  <c r="O21" i="8"/>
  <c r="J22" i="8"/>
  <c r="K22" i="8"/>
  <c r="L22" i="8"/>
  <c r="M22" i="8"/>
  <c r="N22" i="8"/>
  <c r="O22" i="8"/>
  <c r="J23" i="8"/>
  <c r="K23" i="8"/>
  <c r="L23" i="8"/>
  <c r="M23" i="8"/>
  <c r="N23" i="8"/>
  <c r="O23" i="8"/>
  <c r="J24" i="8"/>
  <c r="K24" i="8"/>
  <c r="L24" i="8"/>
  <c r="M24" i="8"/>
  <c r="N24" i="8"/>
  <c r="O24" i="8"/>
  <c r="B11" i="8"/>
  <c r="C11" i="8"/>
  <c r="D11" i="8"/>
  <c r="E11" i="8"/>
  <c r="F11" i="8"/>
  <c r="G11" i="8"/>
  <c r="B12" i="8"/>
  <c r="C12" i="8"/>
  <c r="D12" i="8"/>
  <c r="E12" i="8"/>
  <c r="F12" i="8"/>
  <c r="G12" i="8"/>
  <c r="B13" i="8"/>
  <c r="C13" i="8"/>
  <c r="D13" i="8"/>
  <c r="E13" i="8"/>
  <c r="F13" i="8"/>
  <c r="G13" i="8"/>
  <c r="B14" i="8"/>
  <c r="C14" i="8"/>
  <c r="D14" i="8"/>
  <c r="E14" i="8"/>
  <c r="F14" i="8"/>
  <c r="G14" i="8"/>
  <c r="B15" i="8"/>
  <c r="C15" i="8"/>
  <c r="D15" i="8"/>
  <c r="E15" i="8"/>
  <c r="F15" i="8"/>
  <c r="G15" i="8"/>
  <c r="B16" i="8"/>
  <c r="C16" i="8"/>
  <c r="D16" i="8"/>
  <c r="E16" i="8"/>
  <c r="F16" i="8"/>
  <c r="G16" i="8"/>
  <c r="B17" i="8"/>
  <c r="C17" i="8"/>
  <c r="D17" i="8"/>
  <c r="E17" i="8"/>
  <c r="F17" i="8"/>
  <c r="G17" i="8"/>
  <c r="B18" i="8"/>
  <c r="C18" i="8"/>
  <c r="D18" i="8"/>
  <c r="E18" i="8"/>
  <c r="F18" i="8"/>
  <c r="G18" i="8"/>
  <c r="B19" i="8"/>
  <c r="C19" i="8"/>
  <c r="D19" i="8"/>
  <c r="E19" i="8"/>
  <c r="F19" i="8"/>
  <c r="G19" i="8"/>
  <c r="B20" i="8"/>
  <c r="C20" i="8"/>
  <c r="D20" i="8"/>
  <c r="E20" i="8"/>
  <c r="F20" i="8"/>
  <c r="G20" i="8"/>
  <c r="B21" i="8"/>
  <c r="C21" i="8"/>
  <c r="D21" i="8"/>
  <c r="E21" i="8"/>
  <c r="F21" i="8"/>
  <c r="G21" i="8"/>
  <c r="B22" i="8"/>
  <c r="C22" i="8"/>
  <c r="D22" i="8"/>
  <c r="E22" i="8"/>
  <c r="F22" i="8"/>
  <c r="G22" i="8"/>
  <c r="B23" i="8"/>
  <c r="C23" i="8"/>
  <c r="D23" i="8"/>
  <c r="E23" i="8"/>
  <c r="F23" i="8"/>
  <c r="G23" i="8"/>
  <c r="B24" i="8"/>
  <c r="C24" i="8"/>
  <c r="D24" i="8"/>
  <c r="E24" i="8"/>
  <c r="F24" i="8"/>
  <c r="G24" i="8"/>
  <c r="B20" i="9"/>
  <c r="C20" i="9"/>
  <c r="D20" i="9"/>
  <c r="E20" i="9"/>
  <c r="F20" i="9"/>
  <c r="G20" i="9"/>
  <c r="B21" i="9"/>
  <c r="C21" i="9"/>
  <c r="D21" i="9"/>
  <c r="E21" i="9"/>
  <c r="F21" i="9"/>
  <c r="G21" i="9"/>
  <c r="B10" i="8"/>
  <c r="M5" i="3"/>
  <c r="S6" i="3"/>
  <c r="AD6" i="3"/>
  <c r="Z6" i="3"/>
  <c r="AA6" i="3"/>
  <c r="AB6" i="3"/>
  <c r="AC6" i="3"/>
  <c r="Y6" i="3"/>
  <c r="T6" i="3"/>
  <c r="U6" i="3"/>
  <c r="V6" i="3"/>
  <c r="W6" i="3"/>
  <c r="X6" i="3"/>
  <c r="M8" i="3"/>
  <c r="N8" i="3"/>
  <c r="O8" i="3"/>
  <c r="P8" i="3"/>
  <c r="Q8" i="3"/>
  <c r="R8" i="3"/>
  <c r="M7" i="3"/>
  <c r="N7" i="3"/>
  <c r="P7" i="3"/>
  <c r="Q7" i="3"/>
  <c r="R7" i="3"/>
  <c r="O7" i="3"/>
  <c r="M6" i="3"/>
  <c r="N6" i="3"/>
  <c r="O6" i="3"/>
  <c r="P6" i="3"/>
  <c r="Q6" i="3"/>
  <c r="R6" i="3"/>
  <c r="R5" i="3"/>
  <c r="N5" i="3"/>
  <c r="O5" i="3"/>
  <c r="P5" i="3"/>
  <c r="Q5" i="3"/>
  <c r="V30" i="13"/>
  <c r="V39" i="13"/>
  <c r="W50" i="13"/>
  <c r="A10" i="9"/>
  <c r="I10" i="9" s="1"/>
  <c r="Q10" i="9" s="1"/>
  <c r="Y10" i="9" s="1"/>
  <c r="A11" i="9"/>
  <c r="AG11" i="9" s="1"/>
  <c r="A12" i="9"/>
  <c r="I12" i="9" s="1"/>
  <c r="Q12" i="9" s="1"/>
  <c r="Y12" i="9" s="1"/>
  <c r="A13" i="9"/>
  <c r="I13" i="9" s="1"/>
  <c r="Q13" i="9" s="1"/>
  <c r="Y13" i="9" s="1"/>
  <c r="A14" i="9"/>
  <c r="AG14" i="9" s="1"/>
  <c r="A15" i="9"/>
  <c r="AG15" i="9" s="1"/>
  <c r="A16" i="9"/>
  <c r="I16" i="9" s="1"/>
  <c r="Q16" i="9" s="1"/>
  <c r="Y16" i="9" s="1"/>
  <c r="A17" i="9"/>
  <c r="AG17" i="9" s="1"/>
  <c r="A18" i="9"/>
  <c r="I18" i="9" s="1"/>
  <c r="Q18" i="9" s="1"/>
  <c r="Y18" i="9" s="1"/>
  <c r="A19" i="9"/>
  <c r="AG19" i="9" s="1"/>
  <c r="A20" i="9"/>
  <c r="AG20" i="9" s="1"/>
  <c r="A21" i="9"/>
  <c r="AG21" i="9" s="1"/>
  <c r="A22" i="9"/>
  <c r="I22" i="9" s="1"/>
  <c r="Q22" i="9" s="1"/>
  <c r="Y22" i="9" s="1"/>
  <c r="A23" i="9"/>
  <c r="I23" i="9" s="1"/>
  <c r="Q23" i="9" s="1"/>
  <c r="Y23" i="9" s="1"/>
  <c r="A24" i="9"/>
  <c r="I24" i="9" s="1"/>
  <c r="Q24" i="9" s="1"/>
  <c r="Y24" i="9" s="1"/>
  <c r="A25" i="9"/>
  <c r="I25" i="9" s="1"/>
  <c r="Q25" i="9" s="1"/>
  <c r="Y25" i="9" s="1"/>
  <c r="A26" i="9"/>
  <c r="AG26" i="9" s="1"/>
  <c r="A27" i="9"/>
  <c r="AG27" i="9" s="1"/>
  <c r="A28" i="9"/>
  <c r="I28" i="9" s="1"/>
  <c r="Q28" i="9" s="1"/>
  <c r="Y28" i="9" s="1"/>
  <c r="A29" i="9"/>
  <c r="AG29" i="9" s="1"/>
  <c r="A30" i="9"/>
  <c r="AG30" i="9" s="1"/>
  <c r="A9" i="9"/>
  <c r="AG9" i="9" s="1"/>
  <c r="I10" i="8"/>
  <c r="AL35" i="13"/>
  <c r="AL34" i="13"/>
  <c r="AL33" i="13"/>
  <c r="AL42" i="13" s="1"/>
  <c r="AK50" i="13" s="1"/>
  <c r="AL32" i="13"/>
  <c r="AL31" i="13"/>
  <c r="AL30" i="13"/>
  <c r="AD41" i="13"/>
  <c r="AD42" i="13"/>
  <c r="AD43" i="13"/>
  <c r="AD35" i="13"/>
  <c r="AD34" i="13"/>
  <c r="AD40" i="13" s="1"/>
  <c r="AD33" i="13"/>
  <c r="AD32" i="13"/>
  <c r="AD31" i="13"/>
  <c r="AD30" i="13"/>
  <c r="V35" i="13"/>
  <c r="V34" i="13"/>
  <c r="V33" i="13"/>
  <c r="V32" i="13"/>
  <c r="V31" i="13"/>
  <c r="N31" i="13"/>
  <c r="N32" i="13"/>
  <c r="N41" i="13" s="1"/>
  <c r="L50" i="13" s="1"/>
  <c r="N33" i="13"/>
  <c r="N34" i="13"/>
  <c r="N35" i="13"/>
  <c r="N30" i="13"/>
  <c r="G20" i="14"/>
  <c r="G21" i="14"/>
  <c r="G22" i="14"/>
  <c r="G23" i="14"/>
  <c r="G24" i="14"/>
  <c r="G19" i="14"/>
  <c r="F20" i="14"/>
  <c r="F21" i="14"/>
  <c r="F22" i="14"/>
  <c r="F23" i="14"/>
  <c r="F24" i="14"/>
  <c r="F19" i="14"/>
  <c r="E19" i="14"/>
  <c r="E20" i="14"/>
  <c r="E21" i="14"/>
  <c r="E22" i="14"/>
  <c r="E23" i="14"/>
  <c r="E24" i="14"/>
  <c r="D20" i="14"/>
  <c r="D21" i="14"/>
  <c r="D22" i="14"/>
  <c r="D23" i="14"/>
  <c r="D24" i="14"/>
  <c r="D19" i="14"/>
  <c r="C20" i="14"/>
  <c r="C21" i="14"/>
  <c r="C31" i="14" s="1"/>
  <c r="D40" i="14" s="1"/>
  <c r="C22" i="14"/>
  <c r="C23" i="14"/>
  <c r="C24" i="14"/>
  <c r="C19" i="14"/>
  <c r="C29" i="14" s="1"/>
  <c r="B40" i="14" s="1"/>
  <c r="Q11" i="8"/>
  <c r="Q12" i="8"/>
  <c r="I13" i="8"/>
  <c r="I14" i="8"/>
  <c r="I15" i="8"/>
  <c r="I16" i="8"/>
  <c r="I17" i="8"/>
  <c r="I18" i="8"/>
  <c r="AG19" i="8"/>
  <c r="Y20" i="8"/>
  <c r="Y21" i="8"/>
  <c r="AG22" i="8"/>
  <c r="Q23" i="8"/>
  <c r="Q24" i="8"/>
  <c r="B11" i="2" l="1"/>
  <c r="R50" i="13"/>
  <c r="I22" i="8"/>
  <c r="Q22" i="8"/>
  <c r="Q21" i="8"/>
  <c r="Q20" i="8"/>
  <c r="Y19" i="8"/>
  <c r="Y18" i="8"/>
  <c r="Y17" i="8"/>
  <c r="C32" i="14"/>
  <c r="E40" i="14" s="1"/>
  <c r="C33" i="14"/>
  <c r="F40" i="14" s="1"/>
  <c r="C34" i="14"/>
  <c r="G40" i="14" s="1"/>
  <c r="C30" i="14"/>
  <c r="C40" i="14" s="1"/>
  <c r="N40" i="13"/>
  <c r="K50" i="13" s="1"/>
  <c r="V42" i="13"/>
  <c r="U50" i="13" s="1"/>
  <c r="AK18" i="9"/>
  <c r="AK30" i="9"/>
  <c r="AK11" i="9"/>
  <c r="AK23" i="9"/>
  <c r="AK16" i="9"/>
  <c r="AK28" i="9"/>
  <c r="AK10" i="8"/>
  <c r="AK9" i="9" s="1"/>
  <c r="AK21" i="9"/>
  <c r="AK14" i="9"/>
  <c r="AK26" i="9"/>
  <c r="AK19" i="9"/>
  <c r="AK12" i="9"/>
  <c r="AK24" i="9"/>
  <c r="AK17" i="9"/>
  <c r="AK29" i="9"/>
  <c r="AK10" i="9"/>
  <c r="AK22" i="9"/>
  <c r="AK15" i="9"/>
  <c r="AK27" i="9"/>
  <c r="AK13" i="9"/>
  <c r="L10" i="9"/>
  <c r="L12" i="9"/>
  <c r="L16" i="9"/>
  <c r="L18" i="9"/>
  <c r="L20" i="9"/>
  <c r="L24" i="9"/>
  <c r="L26" i="9"/>
  <c r="L30" i="9"/>
  <c r="L14" i="9"/>
  <c r="L22" i="9"/>
  <c r="L28" i="9"/>
  <c r="L11" i="9"/>
  <c r="L13" i="9"/>
  <c r="L15" i="9"/>
  <c r="L17" i="9"/>
  <c r="L19" i="9"/>
  <c r="L21" i="9"/>
  <c r="L23" i="9"/>
  <c r="L25" i="9"/>
  <c r="L27" i="9"/>
  <c r="L29" i="9"/>
  <c r="L10" i="8"/>
  <c r="L9" i="9" s="1"/>
  <c r="V43" i="13"/>
  <c r="V50" i="13" s="1"/>
  <c r="AK25" i="9"/>
  <c r="V40" i="13"/>
  <c r="S50" i="13" s="1"/>
  <c r="V41" i="13"/>
  <c r="T50" i="13" s="1"/>
  <c r="AL39" i="13"/>
  <c r="AH50" i="13" s="1"/>
  <c r="AL41" i="13"/>
  <c r="AJ50" i="13" s="1"/>
  <c r="AL43" i="13"/>
  <c r="AL50" i="13" s="1"/>
  <c r="AK20" i="9"/>
  <c r="AL44" i="13"/>
  <c r="AM50" i="13" s="1"/>
  <c r="N42" i="13"/>
  <c r="M50" i="13" s="1"/>
  <c r="Z50" i="13"/>
  <c r="AA50" i="13"/>
  <c r="V44" i="13"/>
  <c r="AB50" i="13"/>
  <c r="AC50" i="13"/>
  <c r="N39" i="13"/>
  <c r="J50" i="13" s="1"/>
  <c r="N44" i="13"/>
  <c r="O50" i="13" s="1"/>
  <c r="AD39" i="13"/>
  <c r="AL40" i="13"/>
  <c r="N43" i="13"/>
  <c r="N50" i="13" s="1"/>
  <c r="AD44" i="13"/>
  <c r="AE50" i="13" s="1"/>
  <c r="AI50" i="13"/>
  <c r="I24" i="8"/>
  <c r="Q19" i="8"/>
  <c r="AG10" i="8"/>
  <c r="I23" i="8"/>
  <c r="Q18" i="8"/>
  <c r="Y10" i="8"/>
  <c r="I21" i="8"/>
  <c r="AG20" i="8"/>
  <c r="I20" i="8"/>
  <c r="AG18" i="8"/>
  <c r="I19" i="8"/>
  <c r="AG17" i="8"/>
  <c r="I12" i="8"/>
  <c r="Y22" i="8"/>
  <c r="AG15" i="8"/>
  <c r="I11" i="8"/>
  <c r="Y9" i="9"/>
  <c r="I26" i="9"/>
  <c r="Q26" i="9" s="1"/>
  <c r="Y26" i="9" s="1"/>
  <c r="I9" i="9"/>
  <c r="Q9" i="9" s="1"/>
  <c r="I27" i="9"/>
  <c r="Q27" i="9" s="1"/>
  <c r="Y27" i="9" s="1"/>
  <c r="I21" i="9"/>
  <c r="Q21" i="9" s="1"/>
  <c r="Y21" i="9" s="1"/>
  <c r="I20" i="9"/>
  <c r="Q20" i="9" s="1"/>
  <c r="Y20" i="9" s="1"/>
  <c r="I19" i="9"/>
  <c r="Q19" i="9" s="1"/>
  <c r="Y19" i="9" s="1"/>
  <c r="I15" i="9"/>
  <c r="Q15" i="9" s="1"/>
  <c r="Y15" i="9" s="1"/>
  <c r="I14" i="9"/>
  <c r="Q14" i="9" s="1"/>
  <c r="Y14" i="9" s="1"/>
  <c r="AG18" i="9"/>
  <c r="AG28" i="9"/>
  <c r="AG16" i="9"/>
  <c r="I30" i="9"/>
  <c r="Q30" i="9" s="1"/>
  <c r="Y30" i="9" s="1"/>
  <c r="I29" i="9"/>
  <c r="Q29" i="9" s="1"/>
  <c r="Y29" i="9" s="1"/>
  <c r="I17" i="9"/>
  <c r="Q17" i="9" s="1"/>
  <c r="Y17" i="9" s="1"/>
  <c r="AG25" i="9"/>
  <c r="AG13" i="9"/>
  <c r="AG24" i="9"/>
  <c r="AG12" i="9"/>
  <c r="AG23" i="9"/>
  <c r="AG22" i="9"/>
  <c r="AG10" i="9"/>
  <c r="I11" i="9"/>
  <c r="Q11" i="9" s="1"/>
  <c r="Y11" i="9" s="1"/>
  <c r="Q10" i="8"/>
  <c r="AG16" i="8"/>
  <c r="AG14" i="8"/>
  <c r="Q17" i="8"/>
  <c r="Y15" i="8"/>
  <c r="AG13" i="8"/>
  <c r="Q16" i="8"/>
  <c r="Y14" i="8"/>
  <c r="AG24" i="8"/>
  <c r="AG12" i="8"/>
  <c r="Q15" i="8"/>
  <c r="Y13" i="8"/>
  <c r="AG23" i="8"/>
  <c r="AG11" i="8"/>
  <c r="Y16" i="8"/>
  <c r="Q14" i="8"/>
  <c r="Y24" i="8"/>
  <c r="Y12" i="8"/>
  <c r="Q13" i="8"/>
  <c r="Y23" i="8"/>
  <c r="Y11" i="8"/>
  <c r="AG21" i="8"/>
  <c r="AD50" i="13"/>
  <c r="U18" i="9" l="1"/>
  <c r="U30" i="9"/>
  <c r="U11" i="9"/>
  <c r="U23" i="9"/>
  <c r="U16" i="9"/>
  <c r="U28" i="9"/>
  <c r="U10" i="8"/>
  <c r="U9" i="9" s="1"/>
  <c r="U21" i="9"/>
  <c r="U15" i="9"/>
  <c r="U27" i="9"/>
  <c r="U14" i="9"/>
  <c r="U26" i="9"/>
  <c r="U19" i="9"/>
  <c r="U12" i="9"/>
  <c r="U24" i="9"/>
  <c r="U17" i="9"/>
  <c r="U29" i="9"/>
  <c r="U10" i="9"/>
  <c r="U22" i="9"/>
  <c r="U13" i="9"/>
  <c r="U25" i="9"/>
  <c r="U20" i="9"/>
  <c r="AH19" i="9"/>
  <c r="AH10" i="8"/>
  <c r="AH9" i="9" s="1"/>
  <c r="AH20" i="9"/>
  <c r="AH21" i="9"/>
  <c r="AH10" i="9"/>
  <c r="AH22" i="9"/>
  <c r="AH11" i="9"/>
  <c r="AH23" i="9"/>
  <c r="AH12" i="9"/>
  <c r="AH24" i="9"/>
  <c r="AH13" i="9"/>
  <c r="AH25" i="9"/>
  <c r="AH14" i="9"/>
  <c r="AH26" i="9"/>
  <c r="AH15" i="9"/>
  <c r="AH27" i="9"/>
  <c r="AH16" i="9"/>
  <c r="AH28" i="9"/>
  <c r="AH29" i="9"/>
  <c r="AH30" i="9"/>
  <c r="AH18" i="9"/>
  <c r="AH17" i="9"/>
  <c r="R19" i="9"/>
  <c r="R10" i="8"/>
  <c r="R9" i="9" s="1"/>
  <c r="R20" i="9"/>
  <c r="R21" i="9"/>
  <c r="R10" i="9"/>
  <c r="R22" i="9"/>
  <c r="R16" i="9"/>
  <c r="R28" i="9"/>
  <c r="R11" i="9"/>
  <c r="R23" i="9"/>
  <c r="R12" i="9"/>
  <c r="R24" i="9"/>
  <c r="R13" i="9"/>
  <c r="R25" i="9"/>
  <c r="R14" i="9"/>
  <c r="R26" i="9"/>
  <c r="R15" i="9"/>
  <c r="R27" i="9"/>
  <c r="R18" i="9"/>
  <c r="R30" i="9"/>
  <c r="R17" i="9"/>
  <c r="R29" i="9"/>
  <c r="T11" i="9"/>
  <c r="T23" i="9"/>
  <c r="T16" i="9"/>
  <c r="T28" i="9"/>
  <c r="T10" i="8"/>
  <c r="T9" i="9" s="1"/>
  <c r="T21" i="9"/>
  <c r="T14" i="9"/>
  <c r="T26" i="9"/>
  <c r="T20" i="9"/>
  <c r="T19" i="9"/>
  <c r="T12" i="9"/>
  <c r="T24" i="9"/>
  <c r="T17" i="9"/>
  <c r="T29" i="9"/>
  <c r="T10" i="9"/>
  <c r="T22" i="9"/>
  <c r="T15" i="9"/>
  <c r="T27" i="9"/>
  <c r="T25" i="9"/>
  <c r="T13" i="9"/>
  <c r="T30" i="9"/>
  <c r="T18" i="9"/>
  <c r="S16" i="9"/>
  <c r="S28" i="9"/>
  <c r="S10" i="8"/>
  <c r="S9" i="9" s="1"/>
  <c r="S21" i="9"/>
  <c r="S14" i="9"/>
  <c r="S26" i="9"/>
  <c r="S19" i="9"/>
  <c r="S12" i="9"/>
  <c r="S24" i="9"/>
  <c r="S17" i="9"/>
  <c r="S29" i="9"/>
  <c r="S10" i="9"/>
  <c r="S22" i="9"/>
  <c r="S15" i="9"/>
  <c r="S27" i="9"/>
  <c r="S20" i="9"/>
  <c r="S25" i="9"/>
  <c r="S23" i="9"/>
  <c r="S11" i="9"/>
  <c r="S18" i="9"/>
  <c r="S13" i="9"/>
  <c r="S30" i="9"/>
  <c r="W20" i="9"/>
  <c r="W13" i="9"/>
  <c r="W25" i="9"/>
  <c r="W18" i="9"/>
  <c r="W30" i="9"/>
  <c r="W23" i="9"/>
  <c r="W11" i="9"/>
  <c r="W17" i="9"/>
  <c r="W29" i="9"/>
  <c r="W16" i="9"/>
  <c r="W28" i="9"/>
  <c r="W10" i="8"/>
  <c r="W9" i="9" s="1"/>
  <c r="W21" i="9"/>
  <c r="W14" i="9"/>
  <c r="W26" i="9"/>
  <c r="W19" i="9"/>
  <c r="W12" i="9"/>
  <c r="W24" i="9"/>
  <c r="W22" i="9"/>
  <c r="W10" i="9"/>
  <c r="W27" i="9"/>
  <c r="W15" i="9"/>
  <c r="AE11" i="9"/>
  <c r="AE13" i="9"/>
  <c r="AE15" i="9"/>
  <c r="AE17" i="9"/>
  <c r="AE19" i="9"/>
  <c r="AE21" i="9"/>
  <c r="AE23" i="9"/>
  <c r="AE25" i="9"/>
  <c r="AE27" i="9"/>
  <c r="AE29" i="9"/>
  <c r="AE10" i="9"/>
  <c r="AE12" i="9"/>
  <c r="AE14" i="9"/>
  <c r="AE16" i="9"/>
  <c r="AE18" i="9"/>
  <c r="AE20" i="9"/>
  <c r="AE22" i="9"/>
  <c r="AE24" i="9"/>
  <c r="AE26" i="9"/>
  <c r="AE28" i="9"/>
  <c r="AE30" i="9"/>
  <c r="AE10" i="8"/>
  <c r="AE9" i="9" s="1"/>
  <c r="AB18" i="9"/>
  <c r="AB10" i="9"/>
  <c r="AB12" i="9"/>
  <c r="AB14" i="9"/>
  <c r="AB16" i="9"/>
  <c r="AB20" i="9"/>
  <c r="AB22" i="9"/>
  <c r="AB24" i="9"/>
  <c r="AB26" i="9"/>
  <c r="AB28" i="9"/>
  <c r="AB30" i="9"/>
  <c r="AB10" i="8"/>
  <c r="AB9" i="9" s="1"/>
  <c r="AB11" i="9"/>
  <c r="AB13" i="9"/>
  <c r="AB15" i="9"/>
  <c r="AB17" i="9"/>
  <c r="AB19" i="9"/>
  <c r="AB21" i="9"/>
  <c r="AB23" i="9"/>
  <c r="AB25" i="9"/>
  <c r="AB27" i="9"/>
  <c r="AB29" i="9"/>
  <c r="K10" i="9"/>
  <c r="K12" i="9"/>
  <c r="K14" i="9"/>
  <c r="K16" i="9"/>
  <c r="K18" i="9"/>
  <c r="K20" i="9"/>
  <c r="K22" i="9"/>
  <c r="K24" i="9"/>
  <c r="K26" i="9"/>
  <c r="K28" i="9"/>
  <c r="K30" i="9"/>
  <c r="K10" i="8"/>
  <c r="K9" i="9" s="1"/>
  <c r="K11" i="9"/>
  <c r="K13" i="9"/>
  <c r="K15" i="9"/>
  <c r="K17" i="9"/>
  <c r="K19" i="9"/>
  <c r="K21" i="9"/>
  <c r="K23" i="9"/>
  <c r="K25" i="9"/>
  <c r="K27" i="9"/>
  <c r="K29" i="9"/>
  <c r="AD10" i="9"/>
  <c r="AD12" i="9"/>
  <c r="AD14" i="9"/>
  <c r="AD16" i="9"/>
  <c r="AD18" i="9"/>
  <c r="AD20" i="9"/>
  <c r="AD22" i="9"/>
  <c r="AD24" i="9"/>
  <c r="AD26" i="9"/>
  <c r="AD28" i="9"/>
  <c r="AD30" i="9"/>
  <c r="AD19" i="9"/>
  <c r="AD21" i="9"/>
  <c r="AD11" i="9"/>
  <c r="AD23" i="9"/>
  <c r="AD15" i="9"/>
  <c r="AD10" i="8"/>
  <c r="AD9" i="9" s="1"/>
  <c r="AD27" i="9"/>
  <c r="AD17" i="9"/>
  <c r="AD13" i="9"/>
  <c r="AD25" i="9"/>
  <c r="AD29" i="9"/>
  <c r="V13" i="9"/>
  <c r="V25" i="9"/>
  <c r="V18" i="9"/>
  <c r="V30" i="9"/>
  <c r="V11" i="9"/>
  <c r="V23" i="9"/>
  <c r="V28" i="9"/>
  <c r="V16" i="9"/>
  <c r="V10" i="9"/>
  <c r="V22" i="9"/>
  <c r="V10" i="8"/>
  <c r="V9" i="9" s="1"/>
  <c r="V21" i="9"/>
  <c r="V14" i="9"/>
  <c r="V26" i="9"/>
  <c r="V19" i="9"/>
  <c r="V12" i="9"/>
  <c r="V24" i="9"/>
  <c r="V17" i="9"/>
  <c r="V29" i="9"/>
  <c r="V27" i="9"/>
  <c r="V20" i="9"/>
  <c r="V15" i="9"/>
  <c r="N10" i="9"/>
  <c r="N12" i="9"/>
  <c r="N14" i="9"/>
  <c r="N16" i="9"/>
  <c r="N18" i="9"/>
  <c r="N20" i="9"/>
  <c r="N22" i="9"/>
  <c r="N24" i="9"/>
  <c r="N26" i="9"/>
  <c r="N28" i="9"/>
  <c r="N30" i="9"/>
  <c r="N11" i="9"/>
  <c r="N23" i="9"/>
  <c r="N17" i="9"/>
  <c r="N10" i="8"/>
  <c r="N9" i="9" s="1"/>
  <c r="N19" i="9"/>
  <c r="N15" i="9"/>
  <c r="N27" i="9"/>
  <c r="N13" i="9"/>
  <c r="N25" i="9"/>
  <c r="N29" i="9"/>
  <c r="N21" i="9"/>
  <c r="AM20" i="9"/>
  <c r="AM13" i="9"/>
  <c r="AM25" i="9"/>
  <c r="AM18" i="9"/>
  <c r="AM30" i="9"/>
  <c r="AM11" i="9"/>
  <c r="AM23" i="9"/>
  <c r="AM16" i="9"/>
  <c r="AM28" i="9"/>
  <c r="AM10" i="8"/>
  <c r="AM9" i="9" s="1"/>
  <c r="AM21" i="9"/>
  <c r="AM14" i="9"/>
  <c r="AM26" i="9"/>
  <c r="AM12" i="9"/>
  <c r="AM24" i="9"/>
  <c r="AM17" i="9"/>
  <c r="AM29" i="9"/>
  <c r="AM15" i="9"/>
  <c r="AM19" i="9"/>
  <c r="AM27" i="9"/>
  <c r="AM10" i="9"/>
  <c r="AM22" i="9"/>
  <c r="AL13" i="9"/>
  <c r="AL25" i="9"/>
  <c r="AL18" i="9"/>
  <c r="AL30" i="9"/>
  <c r="AL11" i="9"/>
  <c r="AL23" i="9"/>
  <c r="AL16" i="9"/>
  <c r="AL28" i="9"/>
  <c r="AL10" i="8"/>
  <c r="AL9" i="9" s="1"/>
  <c r="AL21" i="9"/>
  <c r="AL14" i="9"/>
  <c r="AL26" i="9"/>
  <c r="AL19" i="9"/>
  <c r="AL12" i="9"/>
  <c r="AL24" i="9"/>
  <c r="AL17" i="9"/>
  <c r="AL29" i="9"/>
  <c r="AL10" i="9"/>
  <c r="AL22" i="9"/>
  <c r="AL20" i="9"/>
  <c r="AL15" i="9"/>
  <c r="AL27" i="9"/>
  <c r="J10" i="8"/>
  <c r="J9" i="9" s="1"/>
  <c r="J10" i="9"/>
  <c r="J12" i="9"/>
  <c r="J14" i="9"/>
  <c r="J16" i="9"/>
  <c r="J18" i="9"/>
  <c r="J20" i="9"/>
  <c r="J22" i="9"/>
  <c r="J24" i="9"/>
  <c r="J26" i="9"/>
  <c r="J28" i="9"/>
  <c r="J30" i="9"/>
  <c r="J11" i="9"/>
  <c r="J13" i="9"/>
  <c r="J15" i="9"/>
  <c r="J17" i="9"/>
  <c r="J19" i="9"/>
  <c r="J21" i="9"/>
  <c r="J23" i="9"/>
  <c r="J25" i="9"/>
  <c r="J27" i="9"/>
  <c r="J29" i="9"/>
  <c r="AC10" i="9"/>
  <c r="AC12" i="9"/>
  <c r="AC14" i="9"/>
  <c r="AC16" i="9"/>
  <c r="AC18" i="9"/>
  <c r="AC20" i="9"/>
  <c r="AC22" i="9"/>
  <c r="AC24" i="9"/>
  <c r="AC26" i="9"/>
  <c r="AC28" i="9"/>
  <c r="AC30" i="9"/>
  <c r="AC10" i="8"/>
  <c r="AC9" i="9" s="1"/>
  <c r="AC21" i="9"/>
  <c r="AC11" i="9"/>
  <c r="AC27" i="9"/>
  <c r="AC19" i="9"/>
  <c r="AC13" i="9"/>
  <c r="AC25" i="9"/>
  <c r="AC17" i="9"/>
  <c r="AC29" i="9"/>
  <c r="AC23" i="9"/>
  <c r="AC15" i="9"/>
  <c r="AI16" i="9"/>
  <c r="AI28" i="9"/>
  <c r="AI10" i="8"/>
  <c r="AI9" i="9" s="1"/>
  <c r="AI21" i="9"/>
  <c r="AI14" i="9"/>
  <c r="AI26" i="9"/>
  <c r="AI19" i="9"/>
  <c r="AI12" i="9"/>
  <c r="AI24" i="9"/>
  <c r="AI17" i="9"/>
  <c r="AI29" i="9"/>
  <c r="AI10" i="9"/>
  <c r="AI22" i="9"/>
  <c r="AI15" i="9"/>
  <c r="AI27" i="9"/>
  <c r="AI20" i="9"/>
  <c r="AI13" i="9"/>
  <c r="AI25" i="9"/>
  <c r="AI11" i="9"/>
  <c r="AI23" i="9"/>
  <c r="AI18" i="9"/>
  <c r="AI30" i="9"/>
  <c r="AA10" i="9"/>
  <c r="AA12" i="9"/>
  <c r="AA14" i="9"/>
  <c r="AA16" i="9"/>
  <c r="AA18" i="9"/>
  <c r="AA20" i="9"/>
  <c r="AA22" i="9"/>
  <c r="AA24" i="9"/>
  <c r="AA26" i="9"/>
  <c r="AA28" i="9"/>
  <c r="AA30" i="9"/>
  <c r="AA10" i="8"/>
  <c r="AA9" i="9" s="1"/>
  <c r="AA11" i="9"/>
  <c r="AA15" i="9"/>
  <c r="AA17" i="9"/>
  <c r="AA19" i="9"/>
  <c r="AA21" i="9"/>
  <c r="AA23" i="9"/>
  <c r="AA25" i="9"/>
  <c r="AA27" i="9"/>
  <c r="AA29" i="9"/>
  <c r="AA13" i="9"/>
  <c r="Z10" i="8"/>
  <c r="Z9" i="9" s="1"/>
  <c r="Z10" i="9"/>
  <c r="Z12" i="9"/>
  <c r="Z14" i="9"/>
  <c r="Z16" i="9"/>
  <c r="Z18" i="9"/>
  <c r="Z20" i="9"/>
  <c r="Z22" i="9"/>
  <c r="Z24" i="9"/>
  <c r="Z26" i="9"/>
  <c r="Z28" i="9"/>
  <c r="Z30" i="9"/>
  <c r="Z11" i="9"/>
  <c r="Z13" i="9"/>
  <c r="Z15" i="9"/>
  <c r="Z17" i="9"/>
  <c r="Z19" i="9"/>
  <c r="Z21" i="9"/>
  <c r="Z23" i="9"/>
  <c r="Z25" i="9"/>
  <c r="Z27" i="9"/>
  <c r="Z29" i="9"/>
  <c r="M10" i="8"/>
  <c r="M9" i="9" s="1"/>
  <c r="M10" i="9"/>
  <c r="M12" i="9"/>
  <c r="M14" i="9"/>
  <c r="M16" i="9"/>
  <c r="M18" i="9"/>
  <c r="M20" i="9"/>
  <c r="M22" i="9"/>
  <c r="M24" i="9"/>
  <c r="M26" i="9"/>
  <c r="M28" i="9"/>
  <c r="M30" i="9"/>
  <c r="M11" i="9"/>
  <c r="M23" i="9"/>
  <c r="M13" i="9"/>
  <c r="M25" i="9"/>
  <c r="M15" i="9"/>
  <c r="M27" i="9"/>
  <c r="M21" i="9"/>
  <c r="M19" i="9"/>
  <c r="M17" i="9"/>
  <c r="M29" i="9"/>
  <c r="O11" i="9"/>
  <c r="O13" i="9"/>
  <c r="O15" i="9"/>
  <c r="O17" i="9"/>
  <c r="O19" i="9"/>
  <c r="O21" i="9"/>
  <c r="O23" i="9"/>
  <c r="O25" i="9"/>
  <c r="O27" i="9"/>
  <c r="O29" i="9"/>
  <c r="O10" i="9"/>
  <c r="O12" i="9"/>
  <c r="O14" i="9"/>
  <c r="O16" i="9"/>
  <c r="O18" i="9"/>
  <c r="O20" i="9"/>
  <c r="O22" i="9"/>
  <c r="O24" i="9"/>
  <c r="O26" i="9"/>
  <c r="O28" i="9"/>
  <c r="O30" i="9"/>
  <c r="O10" i="8"/>
  <c r="O9" i="9" s="1"/>
  <c r="AJ11" i="9"/>
  <c r="AJ23" i="9"/>
  <c r="AJ16" i="9"/>
  <c r="AJ28" i="9"/>
  <c r="AJ10" i="8"/>
  <c r="AJ9" i="9" s="1"/>
  <c r="AJ21" i="9"/>
  <c r="AJ14" i="9"/>
  <c r="AJ26" i="9"/>
  <c r="AJ19" i="9"/>
  <c r="AJ12" i="9"/>
  <c r="AJ24" i="9"/>
  <c r="AJ17" i="9"/>
  <c r="AJ29" i="9"/>
  <c r="AJ10" i="9"/>
  <c r="AJ22" i="9"/>
  <c r="AJ15" i="9"/>
  <c r="AJ27" i="9"/>
  <c r="AJ20" i="9"/>
  <c r="AJ18" i="9"/>
  <c r="AJ25" i="9"/>
  <c r="AJ30" i="9"/>
  <c r="AJ13" i="9"/>
  <c r="F31" i="13"/>
  <c r="F32" i="13"/>
  <c r="F33" i="13"/>
  <c r="F34" i="13"/>
  <c r="F35" i="13"/>
  <c r="F30" i="13"/>
  <c r="F39" i="13" s="1"/>
  <c r="B50" i="13" s="1"/>
  <c r="B19" i="9" l="1"/>
  <c r="B9" i="9"/>
  <c r="B22" i="9"/>
  <c r="B11" i="9"/>
  <c r="B23" i="9"/>
  <c r="B12" i="9"/>
  <c r="B24" i="9"/>
  <c r="B13" i="9"/>
  <c r="B25" i="9"/>
  <c r="B14" i="9"/>
  <c r="B26" i="9"/>
  <c r="B15" i="9"/>
  <c r="B27" i="9"/>
  <c r="B30" i="9"/>
  <c r="B10" i="9"/>
  <c r="B16" i="9"/>
  <c r="B18" i="9"/>
  <c r="B28" i="9"/>
  <c r="B29" i="9"/>
  <c r="B17" i="9"/>
  <c r="F40" i="13"/>
  <c r="C50" i="13" s="1"/>
  <c r="F44" i="13"/>
  <c r="G50" i="13" s="1"/>
  <c r="F41" i="13"/>
  <c r="D50" i="13" s="1"/>
  <c r="F43" i="13"/>
  <c r="F50" i="13" s="1"/>
  <c r="F42" i="13"/>
  <c r="E50" i="13" s="1"/>
  <c r="G13" i="9" l="1"/>
  <c r="G25" i="9"/>
  <c r="G18" i="9"/>
  <c r="G30" i="9"/>
  <c r="G11" i="9"/>
  <c r="G23" i="9"/>
  <c r="G17" i="9"/>
  <c r="G16" i="9"/>
  <c r="G28" i="9"/>
  <c r="G10" i="8"/>
  <c r="G9" i="9" s="1"/>
  <c r="G14" i="9"/>
  <c r="G26" i="9"/>
  <c r="G19" i="9"/>
  <c r="G12" i="9"/>
  <c r="G24" i="9"/>
  <c r="G27" i="9"/>
  <c r="G22" i="9"/>
  <c r="G15" i="9"/>
  <c r="G10" i="9"/>
  <c r="G29" i="9"/>
  <c r="C16" i="9"/>
  <c r="C28" i="9"/>
  <c r="C10" i="8"/>
  <c r="C9" i="9" s="1"/>
  <c r="C14" i="9"/>
  <c r="C26" i="9"/>
  <c r="C19" i="9"/>
  <c r="C13" i="9"/>
  <c r="C25" i="9"/>
  <c r="C12" i="9"/>
  <c r="C24" i="9"/>
  <c r="C17" i="9"/>
  <c r="C29" i="9"/>
  <c r="C10" i="9"/>
  <c r="C22" i="9"/>
  <c r="C15" i="9"/>
  <c r="C27" i="9"/>
  <c r="C18" i="9"/>
  <c r="C30" i="9"/>
  <c r="C23" i="9"/>
  <c r="C11" i="9"/>
  <c r="E18" i="9"/>
  <c r="E30" i="9"/>
  <c r="E11" i="9"/>
  <c r="E23" i="9"/>
  <c r="E16" i="9"/>
  <c r="E28" i="9"/>
  <c r="E10" i="8"/>
  <c r="E9" i="9" s="1"/>
  <c r="E15" i="9"/>
  <c r="E14" i="9"/>
  <c r="E26" i="9"/>
  <c r="E19" i="9"/>
  <c r="E12" i="9"/>
  <c r="E24" i="9"/>
  <c r="E17" i="9"/>
  <c r="E29" i="9"/>
  <c r="E10" i="9"/>
  <c r="E22" i="9"/>
  <c r="E27" i="9"/>
  <c r="E13" i="9"/>
  <c r="E25" i="9"/>
  <c r="F13" i="9"/>
  <c r="F25" i="9"/>
  <c r="F18" i="9"/>
  <c r="F30" i="9"/>
  <c r="F11" i="9"/>
  <c r="F23" i="9"/>
  <c r="F16" i="9"/>
  <c r="F28" i="9"/>
  <c r="F10" i="9"/>
  <c r="F22" i="9"/>
  <c r="F10" i="8"/>
  <c r="F9" i="9" s="1"/>
  <c r="F14" i="9"/>
  <c r="F26" i="9"/>
  <c r="F19" i="9"/>
  <c r="F12" i="9"/>
  <c r="F24" i="9"/>
  <c r="F17" i="9"/>
  <c r="F29" i="9"/>
  <c r="F27" i="9"/>
  <c r="F15" i="9"/>
  <c r="D11" i="9"/>
  <c r="D23" i="9"/>
  <c r="D16" i="9"/>
  <c r="D28" i="9"/>
  <c r="D10" i="8"/>
  <c r="D9" i="9" s="1"/>
  <c r="D26" i="9"/>
  <c r="D14" i="9"/>
  <c r="D19" i="9"/>
  <c r="D12" i="9"/>
  <c r="D24" i="9"/>
  <c r="D17" i="9"/>
  <c r="D29" i="9"/>
  <c r="D10" i="9"/>
  <c r="D22" i="9"/>
  <c r="D15" i="9"/>
  <c r="D27" i="9"/>
  <c r="D13" i="9"/>
  <c r="D25" i="9"/>
  <c r="D18" i="9"/>
  <c r="D30" i="9"/>
  <c r="B11" i="7"/>
  <c r="B11" i="5"/>
  <c r="B12" i="5" s="1"/>
  <c r="B13" i="5" l="1"/>
  <c r="B14" i="5" s="1"/>
  <c r="B12" i="7" l="1"/>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B11" i="6"/>
  <c r="B12" i="6" s="1"/>
  <c r="I8" i="6"/>
  <c r="H8" i="6"/>
  <c r="G8" i="6"/>
  <c r="F8" i="6"/>
  <c r="E8" i="6"/>
  <c r="D8" i="6"/>
  <c r="I7" i="6"/>
  <c r="H7" i="6"/>
  <c r="G7" i="6"/>
  <c r="F7" i="6"/>
  <c r="E7" i="6"/>
  <c r="D7" i="6"/>
  <c r="I6" i="6"/>
  <c r="H6" i="6"/>
  <c r="G6" i="6"/>
  <c r="F6" i="6"/>
  <c r="E6" i="6"/>
  <c r="D6" i="6"/>
  <c r="I5" i="6"/>
  <c r="H5" i="6"/>
  <c r="G5" i="6"/>
  <c r="F5" i="6"/>
  <c r="E5" i="6"/>
  <c r="D5" i="6"/>
  <c r="I4" i="6"/>
  <c r="H4" i="6"/>
  <c r="G4" i="6"/>
  <c r="F4" i="6"/>
  <c r="E4" i="6"/>
  <c r="D4" i="6"/>
  <c r="I3" i="6"/>
  <c r="H3" i="6"/>
  <c r="G3" i="6"/>
  <c r="F3" i="6"/>
  <c r="E3" i="6"/>
  <c r="D3" i="6"/>
  <c r="I8" i="5"/>
  <c r="H8" i="5"/>
  <c r="G8" i="5"/>
  <c r="F8" i="5"/>
  <c r="E8" i="5"/>
  <c r="D8" i="5"/>
  <c r="I7" i="5"/>
  <c r="H7" i="5"/>
  <c r="G7" i="5"/>
  <c r="F7" i="5"/>
  <c r="E7" i="5"/>
  <c r="D7" i="5"/>
  <c r="I6" i="5"/>
  <c r="H6" i="5"/>
  <c r="G6" i="5"/>
  <c r="F6" i="5"/>
  <c r="E6" i="5"/>
  <c r="D6" i="5"/>
  <c r="I5" i="5"/>
  <c r="H5" i="5"/>
  <c r="G5" i="5"/>
  <c r="F5" i="5"/>
  <c r="E5" i="5"/>
  <c r="D5" i="5"/>
  <c r="I4" i="5"/>
  <c r="H4" i="5"/>
  <c r="G4" i="5"/>
  <c r="F4" i="5"/>
  <c r="E4" i="5"/>
  <c r="D4" i="5"/>
  <c r="I3" i="5"/>
  <c r="H3" i="5"/>
  <c r="G3" i="5"/>
  <c r="F3" i="5"/>
  <c r="E3" i="5"/>
  <c r="D3" i="5"/>
  <c r="B11" i="4"/>
  <c r="B13" i="4" s="1"/>
  <c r="I8" i="4"/>
  <c r="H8" i="4"/>
  <c r="G8" i="4"/>
  <c r="F8" i="4"/>
  <c r="E8" i="4"/>
  <c r="D8" i="4"/>
  <c r="I7" i="4"/>
  <c r="H7" i="4"/>
  <c r="G7" i="4"/>
  <c r="F7" i="4"/>
  <c r="E7" i="4"/>
  <c r="D7" i="4"/>
  <c r="I6" i="4"/>
  <c r="H6" i="4"/>
  <c r="G6" i="4"/>
  <c r="F6" i="4"/>
  <c r="E6" i="4"/>
  <c r="D6" i="4"/>
  <c r="I5" i="4"/>
  <c r="H5" i="4"/>
  <c r="G5" i="4"/>
  <c r="F5" i="4"/>
  <c r="E5" i="4"/>
  <c r="D5" i="4"/>
  <c r="I4" i="4"/>
  <c r="H4" i="4"/>
  <c r="G4" i="4"/>
  <c r="F4" i="4"/>
  <c r="E4" i="4"/>
  <c r="D4" i="4"/>
  <c r="I3" i="4"/>
  <c r="H3" i="4"/>
  <c r="G3" i="4"/>
  <c r="F3" i="4"/>
  <c r="E3" i="4"/>
  <c r="D3" i="4"/>
  <c r="B13" i="2"/>
  <c r="E4" i="2"/>
  <c r="F4" i="2"/>
  <c r="G4" i="2"/>
  <c r="H4" i="2"/>
  <c r="I4" i="2"/>
  <c r="E5" i="2"/>
  <c r="F5" i="2"/>
  <c r="G5" i="2"/>
  <c r="H5" i="2"/>
  <c r="I5" i="2"/>
  <c r="E6" i="2"/>
  <c r="F6" i="2"/>
  <c r="G6" i="2"/>
  <c r="H6" i="2"/>
  <c r="I6" i="2"/>
  <c r="E7" i="2"/>
  <c r="F7" i="2"/>
  <c r="G7" i="2"/>
  <c r="H7" i="2"/>
  <c r="I7" i="2"/>
  <c r="E8" i="2"/>
  <c r="F8" i="2"/>
  <c r="G8" i="2"/>
  <c r="H8" i="2"/>
  <c r="I8" i="2"/>
  <c r="D8" i="2"/>
  <c r="D7" i="2"/>
  <c r="D6" i="2"/>
  <c r="D5" i="2"/>
  <c r="D4" i="2"/>
  <c r="E3" i="2"/>
  <c r="F3" i="2"/>
  <c r="G3" i="2"/>
  <c r="H3" i="2"/>
  <c r="I3" i="2"/>
  <c r="D3" i="2"/>
  <c r="B8" i="1"/>
  <c r="B10" i="1" s="1"/>
  <c r="B13" i="7" l="1"/>
  <c r="B14" i="7" s="1"/>
  <c r="B13" i="6"/>
  <c r="B14" i="6" s="1"/>
  <c r="B12" i="4"/>
  <c r="B14" i="4" s="1"/>
  <c r="B12" i="2"/>
  <c r="B14" i="2" s="1"/>
  <c r="B9" i="1"/>
  <c r="B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736219F5-E523-4E7D-953F-EEB761F1883D}">
      <text>
        <r>
          <rPr>
            <b/>
            <sz val="9"/>
            <color indexed="81"/>
            <rFont val="Tahoma"/>
            <family val="2"/>
          </rPr>
          <t>Please copy and paste the HLOs in the cells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1070C41D-AA2A-46E9-B694-B3C84C43FDA8}">
      <text>
        <r>
          <rPr>
            <b/>
            <sz val="9"/>
            <color indexed="81"/>
            <rFont val="Tahoma"/>
            <family val="2"/>
          </rPr>
          <t>Please copy and paste the HLOs in the cells below.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62A30AC8-F84E-4A5B-A3A3-48AF0C53DFF1}">
      <text>
        <r>
          <rPr>
            <b/>
            <sz val="9"/>
            <color indexed="81"/>
            <rFont val="Tahoma"/>
            <family val="2"/>
          </rPr>
          <t>Please copy and paste the HLOs in the cells below.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A6B10D54-D01B-4E06-BF85-1291E9705D75}">
      <text>
        <r>
          <rPr>
            <b/>
            <sz val="9"/>
            <color indexed="81"/>
            <rFont val="Tahoma"/>
            <family val="2"/>
          </rPr>
          <t>Please copy and paste the HLOs in the cells below.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1DB18465-3FDA-4730-88F0-6E285461EC0A}">
      <text>
        <r>
          <rPr>
            <b/>
            <sz val="9"/>
            <color indexed="81"/>
            <rFont val="Tahoma"/>
            <family val="2"/>
          </rPr>
          <t>Please copy and paste the HLOs in the cells below.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tc={E01DBFE4-C931-426F-9B35-547B91B273EC}</author>
  </authors>
  <commentList>
    <comment ref="F38" authorId="0" shapeId="0" xr:uid="{E01DBFE4-C931-426F-9B35-547B91B273EC}">
      <text>
        <t>[Threaded comment]
Your version of Excel allows you to read this threaded comment; however, any edits to it will get removed if the file is opened in a newer version of Excel. Learn more: https://go.microsoft.com/fwlink/?linkid=870924
Comment:
    Weights computed as the share of total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tc={E7EB608B-D90F-4875-B6B0-92AE1F251684}</author>
  </authors>
  <commentList>
    <comment ref="C6" authorId="0" shapeId="0" xr:uid="{E8F24FE7-74F2-4D5D-95F1-2103B26C1914}">
      <text>
        <r>
          <rPr>
            <b/>
            <sz val="9"/>
            <color indexed="81"/>
            <rFont val="Tahoma"/>
            <family val="2"/>
          </rPr>
          <t xml:space="preserve">Conflict Index
</t>
        </r>
      </text>
    </comment>
    <comment ref="D6" authorId="0" shapeId="0" xr:uid="{853EADA4-110F-4505-9617-8954DAB95A28}">
      <text>
        <r>
          <rPr>
            <b/>
            <sz val="9"/>
            <color indexed="81"/>
            <rFont val="Tahoma"/>
            <family val="2"/>
          </rPr>
          <t>Corruption Perceptions Index</t>
        </r>
      </text>
    </comment>
    <comment ref="E6" authorId="0" shapeId="0" xr:uid="{4545CFBD-BE9E-4D56-BBEB-68FC77C61F6A}">
      <text>
        <r>
          <rPr>
            <b/>
            <sz val="9"/>
            <color indexed="81"/>
            <rFont val="Tahoma"/>
            <family val="2"/>
          </rPr>
          <t xml:space="preserve">Ease of Doing Business Score
</t>
        </r>
      </text>
    </comment>
    <comment ref="F6" authorId="0" shapeId="0" xr:uid="{1906A2A8-F84D-43DF-AA3A-BBC2872C016C}">
      <text>
        <r>
          <rPr>
            <b/>
            <sz val="9"/>
            <color indexed="81"/>
            <rFont val="Tahoma"/>
            <family val="2"/>
          </rPr>
          <t xml:space="preserve">Empowerment Rights Index: </t>
        </r>
        <r>
          <rPr>
            <sz val="9"/>
            <color indexed="81"/>
            <rFont val="Tahoma"/>
            <family val="2"/>
          </rPr>
          <t xml:space="preserve">
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 </t>
        </r>
      </text>
    </comment>
    <comment ref="G6" authorId="0" shapeId="0" xr:uid="{D7F97A4C-8D23-4DCB-A81D-F10DFB54D861}">
      <text>
        <r>
          <rPr>
            <b/>
            <sz val="9"/>
            <color indexed="81"/>
            <rFont val="Tahoma"/>
            <family val="2"/>
          </rPr>
          <t xml:space="preserve">Fragile States Index
</t>
        </r>
      </text>
    </comment>
    <comment ref="C18" authorId="1" shapeId="0" xr:uid="{E7EB608B-D90F-4875-B6B0-92AE1F251684}">
      <text>
        <t>[Threaded comment]
Your version of Excel allows you to read this threaded comment; however, any edits to it will get removed if the file is opened in a newer version of Excel. Learn more: https://go.microsoft.com/fwlink/?linkid=870924
Comment:
    Here I’ve rescaled to 0-1 range, based on my understand of the original index range, and inverted indices where low scores were better, so that now high scores are always better</t>
      </text>
    </comment>
  </commentList>
</comments>
</file>

<file path=xl/sharedStrings.xml><?xml version="1.0" encoding="utf-8"?>
<sst xmlns="http://schemas.openxmlformats.org/spreadsheetml/2006/main" count="1469" uniqueCount="892">
  <si>
    <r>
      <t>Countries, per region, worked on by [</t>
    </r>
    <r>
      <rPr>
        <b/>
        <i/>
        <sz val="11"/>
        <color theme="1"/>
        <rFont val="Aptos Narrow"/>
        <family val="2"/>
        <scheme val="minor"/>
      </rPr>
      <t>Insert Program/Accelerator name</t>
    </r>
    <r>
      <rPr>
        <b/>
        <sz val="11"/>
        <color theme="1"/>
        <rFont val="Aptos Narrow"/>
        <family val="2"/>
        <scheme val="minor"/>
      </rPr>
      <t>]</t>
    </r>
  </si>
  <si>
    <t>CGIAR regions and countries.xlsx</t>
  </si>
  <si>
    <t>&lt;-- Spreadsheet showing the CGIAR regions and the countries that fall into these regions</t>
  </si>
  <si>
    <t>Program and Accelerator's Countries (2024).xlsx</t>
  </si>
  <si>
    <t xml:space="preserve">&lt;-- Spreadsheet showing the countries that each Program/Accelerator is working on (as per what was submitted in 2024 for the original methodology). </t>
  </si>
  <si>
    <t>LAC</t>
  </si>
  <si>
    <t>CWANA</t>
  </si>
  <si>
    <t>WCA</t>
  </si>
  <si>
    <t>ESA</t>
  </si>
  <si>
    <t>SA</t>
  </si>
  <si>
    <t>SEA</t>
  </si>
  <si>
    <t>Colombia</t>
  </si>
  <si>
    <t>Egypt</t>
  </si>
  <si>
    <t>Benin</t>
  </si>
  <si>
    <t>Ethiopia</t>
  </si>
  <si>
    <t>Bangladesh</t>
  </si>
  <si>
    <t>Cambodia</t>
  </si>
  <si>
    <t>Guatemala</t>
  </si>
  <si>
    <t>Morocco</t>
  </si>
  <si>
    <t>Côte d’Ivoire</t>
  </si>
  <si>
    <t>Kenya</t>
  </si>
  <si>
    <t>India</t>
  </si>
  <si>
    <t>Indonesia</t>
  </si>
  <si>
    <t>Honduras</t>
  </si>
  <si>
    <t>Tunisia</t>
  </si>
  <si>
    <t>DR Congo</t>
  </si>
  <si>
    <t>Malawi</t>
  </si>
  <si>
    <t>Nepal</t>
  </si>
  <si>
    <t>Myanmar</t>
  </si>
  <si>
    <t>Mexico</t>
  </si>
  <si>
    <t>Uzbekistan</t>
  </si>
  <si>
    <t>Nigeria</t>
  </si>
  <si>
    <t>Tanzania</t>
  </si>
  <si>
    <t>Pakistan</t>
  </si>
  <si>
    <t>Philippines</t>
  </si>
  <si>
    <t>Peru</t>
  </si>
  <si>
    <t>Senegal</t>
  </si>
  <si>
    <t>Uganda</t>
  </si>
  <si>
    <t>Sri Lanka</t>
  </si>
  <si>
    <t>Viet Nam</t>
  </si>
  <si>
    <t>Sudan</t>
  </si>
  <si>
    <t>Zambia</t>
  </si>
  <si>
    <t>Zimbabwe</t>
  </si>
  <si>
    <t xml:space="preserve">Primary  countries </t>
  </si>
  <si>
    <t>Secondary countries</t>
  </si>
  <si>
    <t>VH</t>
  </si>
  <si>
    <t>H</t>
  </si>
  <si>
    <t>MH</t>
  </si>
  <si>
    <t>M</t>
  </si>
  <si>
    <t>L</t>
  </si>
  <si>
    <t>#</t>
  </si>
  <si>
    <t>HLO Title</t>
  </si>
  <si>
    <t>HLO Concise description</t>
  </si>
  <si>
    <t>HLO count:</t>
  </si>
  <si>
    <t xml:space="preserve">HLO 1.1.1: Demand signaling </t>
  </si>
  <si>
    <t xml:space="preserve">A toolbox of quantitative and qualitative methods, data, and dashboards articulating stakeholders’  priorities, supporting research and scaling activity demand signaling and adaptive  anagement of  CGIAR’s Portfolio </t>
  </si>
  <si>
    <t>Sets of 5:</t>
  </si>
  <si>
    <t>HLO 1.1.2: Feedback and adaptive research and scaling prioritization</t>
  </si>
  <si>
    <t>CGIAR’s Programs, Accelerators, and bilaterals engage with information supporting the adaptive management of Program, Accelerator, and bilateral research and scaling activities</t>
  </si>
  <si>
    <t>Remainder:</t>
  </si>
  <si>
    <t>HLO 1.1.3: Enhance strategies and coordination</t>
  </si>
  <si>
    <t>Comprehensive, forward-looking regional and country-level strategies, enhancing Portfolio-wide research prioritization, scaling coordination, and policy alignment</t>
  </si>
  <si>
    <t>Max score:</t>
  </si>
  <si>
    <t xml:space="preserve">HLO 2.2.1: Innovation networks enhance agrifood system solution scaling </t>
  </si>
  <si>
    <t>Regional scaling hubs supporting stakeholders in impact pathway diagnosis, design, deployment, and refinement</t>
  </si>
  <si>
    <t xml:space="preserve">HLO 2.2.2: Methods evaluating agrifood system solutions for scale </t>
  </si>
  <si>
    <t xml:space="preserve">Co-designed scaling pathways for regional and national agrifood systems through improved stakeholder capacity </t>
  </si>
  <si>
    <t xml:space="preserve">HLO 2.2.3: Scale-ready agrifood system solution bundles and packages </t>
  </si>
  <si>
    <t xml:space="preserve">Impact pathways evaluated and ranked for their potential to advance innovation bundles and  packages to scale in regional- and country-specific agrifood systems </t>
  </si>
  <si>
    <t xml:space="preserve">HLO 2.2.4: Agrifood system solution scaling strategies </t>
  </si>
  <si>
    <t>Demand-driven and scale-ready agrifood system solution bundles and packages and strategies for  scaling, with pathways and strategies identified for refinement, adaptation, and amplification</t>
  </si>
  <si>
    <t xml:space="preserve">HLO 3.3.1: Enabling environment diagnostics </t>
  </si>
  <si>
    <t>Co-created tools and analyses to assess opportunities and constraints in the enabling environment  for innovation bundle scaling in targeted countries and regions and in the three primary pathways</t>
  </si>
  <si>
    <t xml:space="preserve">HLO 3.3.2: Scaling support services for enabling 
environments and institutions </t>
  </si>
  <si>
    <t xml:space="preserve">Innovative institution building and capacity sharing activities; training materials and targeted  deployment of demand-driven targeted EE technical assistance to enhance institutional and  analytical as well as operational capacities to achieve scale </t>
  </si>
  <si>
    <t xml:space="preserve">HLO 3.3.3: Science-policy partnership interfaces for responsible scaling </t>
  </si>
  <si>
    <t>Innovative partnerships, policy hubs, economic and environment networks, community-building  efforts, and NARES/farmer cooperatives supported to increase research-based public and private  investments and policy improvements and address normative barriers</t>
  </si>
  <si>
    <t>HLO 4.4.1: CGIAR Expertise and Solutions Embedded in Development Investments and Partnerships</t>
  </si>
  <si>
    <t>CGIAR engages with financing bodies—including IFIs and the private sector, including banks, impact investors, and CSR funds—through technical assistance and advisory support, to ensure innovations are positioned to support impact at scale</t>
  </si>
  <si>
    <t>HLO 4.4.2: Innovation portfolio management and scaling strategy support teams</t>
  </si>
  <si>
    <t>Scaling capacity toolbox in support of CGIAR Programs and bilateral projects strengthening the  design, implementation, and monitoring of evidence-based and responsible scaling strategies</t>
  </si>
  <si>
    <t xml:space="preserve">HLO 5.5.1: Enhancing scaling science for societal impact </t>
  </si>
  <si>
    <t>An applied scaling science and innovation systems research agenda strengthening South–South learning and capacities to implement more responsible and context-aware scaling strategies</t>
  </si>
  <si>
    <t>HLO 5.5.2: Insights for CGIAR scaling success through impact assessments</t>
  </si>
  <si>
    <t xml:space="preserve">Evidence-based, context-specific recommendations on optimal scaling outcomes for selected CGIAR  scaling efforts and solutions are based on rigorous impact assessments and  nalysis of diverse  scaling pathways and are supported by co-created scaling metrics, monitoring, and evaluations. </t>
  </si>
  <si>
    <t>HLO 5.5.3: Custom analytics for managing innovation portfolios and decision-making</t>
  </si>
  <si>
    <t>Curated analytics for innovation portfolio management and decision-making, including Scaling  Readiness evaluations and customized assessment tools for target countries, both ongoing and as  part of the annual adaptive management process, to ensure continuous learning and improvement</t>
  </si>
  <si>
    <t>BASE Indicator database - (from 2024).xlsx</t>
  </si>
  <si>
    <t>&lt;-- source of Baseline data</t>
  </si>
  <si>
    <t>Projected Benefits Data (Nov 2024) - With Analysis.xlsx</t>
  </si>
  <si>
    <t>&lt;-- source of Projected data (with graphs)</t>
  </si>
  <si>
    <t>Impact Area</t>
  </si>
  <si>
    <t>Projected to 2040 (without CGIAR intervention) or baseline data?</t>
  </si>
  <si>
    <t>Indicator</t>
  </si>
  <si>
    <t>r_lac</t>
  </si>
  <si>
    <t>r_cwana</t>
  </si>
  <si>
    <t>r_wca</t>
  </si>
  <si>
    <t>r_esa</t>
  </si>
  <si>
    <t>r_sa</t>
  </si>
  <si>
    <t>r_sea</t>
  </si>
  <si>
    <t>Mean</t>
  </si>
  <si>
    <t>SD</t>
  </si>
  <si>
    <t>Nutrition</t>
  </si>
  <si>
    <t>Baseline data</t>
  </si>
  <si>
    <t>Prevalence of stunting (height for age &lt;-2 standard deviation from the median of the World Health Organization (WHO) Child Growth Standards) % children under 5 years of age</t>
  </si>
  <si>
    <t>Prevalence of wasting (weight for height &gt;+2 or &lt;-2 standard deviation from the median of the WHO Child Growth Standards) % children under 5 years of age</t>
  </si>
  <si>
    <t>% of population unable to afford a healthy diet</t>
  </si>
  <si>
    <t>Women meeting minimum dietary diversity (MDD-W)(%)</t>
  </si>
  <si>
    <r>
      <t xml:space="preserve">MDD-W - higher value indicates more women meeting the minimum (i.e., a lower potential for impact) --- Minimum Dietary Diversity for Women is a population-level food group-based indicator that captures dietary diversity, a core construct of healthy diets. MDD-W is used to
estimate the proportion of non-pregnant women aged 15-49 years who consumed at least five
out of ten defined food groups over the previous 24 hours, signalling better micronutrient intake. 
indicator that captures dietary diversity, a core construct of healthy diets. MDD-W is used to
estimate the proportion of non-pregnant women aged 15-49 years who consumed at least five
out of ten defined food groups over the previous 24 hours, signalling better micronutrient intake. -- Note that we calculated it as 100% minus the MDD-W (i.e., women </t>
    </r>
    <r>
      <rPr>
        <b/>
        <i/>
        <sz val="11"/>
        <color theme="5"/>
        <rFont val="Aptos Narrow"/>
        <family val="2"/>
        <scheme val="minor"/>
      </rPr>
      <t>not</t>
    </r>
    <r>
      <rPr>
        <i/>
        <sz val="11"/>
        <color theme="5"/>
        <rFont val="Aptos Narrow"/>
        <family val="2"/>
        <scheme val="minor"/>
      </rPr>
      <t xml:space="preserve"> meeting ...) such that higher values correspond with higher potential for impact,</t>
    </r>
  </si>
  <si>
    <t>Gender</t>
  </si>
  <si>
    <t>Proportion of youth (aged 15-24 years) not in education, employment or training (NEET) (%)</t>
  </si>
  <si>
    <t>Gender Development Index (GDI)</t>
  </si>
  <si>
    <t>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</si>
  <si>
    <t>Gender Inequality Index (GII)</t>
  </si>
  <si>
    <t>GII is a composite metric of gender inequality using three dimensions: reproductive health, empowerment and the labour market. A low GII value indicates low inequality between women and men, and vice-versa.</t>
  </si>
  <si>
    <t>Poverty</t>
  </si>
  <si>
    <t>The ratio of the people employed in agriculture in rural areas over all people employed in rural areas"</t>
  </si>
  <si>
    <t>Climate</t>
  </si>
  <si>
    <t>Vulnerability index of the geography (exposure, sensitivity and adaptive capacity in six life-supporting sectors: food, water, health, ecosystem services, human habitat, and infrastructure).</t>
  </si>
  <si>
    <t xml:space="preserve">Emissions intensity - CO2eq emissions from croplands (kg/ha) (Carlson et al., 2017) </t>
  </si>
  <si>
    <t>CRI - Climate Risk Index - the index of the level of exposure and vulnerability to extreme events such as storms, floods and heatwaves based on historic data</t>
  </si>
  <si>
    <t>Environment</t>
  </si>
  <si>
    <t>Consumptive blue and green water used in food production (m3/ha)</t>
  </si>
  <si>
    <t>Soil erosion rate (/Ha)</t>
  </si>
  <si>
    <t>Forest area lost (%) - the percentage of forested area (%) lost between 2010 and 2020</t>
  </si>
  <si>
    <t>GBI - Global Biodiversity Index - Total number of plant, reptile, mammal, bird, fish and amphibian species</t>
  </si>
  <si>
    <t>Sustainable agriculture score - Index quantifying progress toward productive and sustainable agriculture (current status score)</t>
  </si>
  <si>
    <t>Projected to 2040 (without CGIAR intervention)</t>
  </si>
  <si>
    <t>Projected to 2040</t>
  </si>
  <si>
    <t xml:space="preserve">Prevalence of Undernourishment - Share of total population living below the minimum calorie daily threshold </t>
  </si>
  <si>
    <t xml:space="preserve">WE CURRENTLY DON’T HAVE APPROPRIATE INDICATORS PROJECTED FOR THE GENDER IMPACT AREA - PLEASE USE BASELINE DATA ONLY </t>
  </si>
  <si>
    <t>Poverty Headcount Rate ($2.15) - Share of total population living below the poverty line</t>
  </si>
  <si>
    <t>Poverty Headcount Rate ($3.65) - Share of total population living below the poverty line</t>
  </si>
  <si>
    <t>Poverty Headcount Rate ($6.85) - Share of total population living below the poverty line</t>
  </si>
  <si>
    <t>Agrifood System Jobs (incl. subsistence farming and informal sector) - millions of workers</t>
  </si>
  <si>
    <t>Agrifood System GDP Per Worker - US$ per worker</t>
  </si>
  <si>
    <t xml:space="preserve">Agrifood System Greenhouse Gas (GHG) Emissions </t>
  </si>
  <si>
    <t>Prevalence of Undernourishment</t>
  </si>
  <si>
    <t>Undernourished Population</t>
  </si>
  <si>
    <t>Poverty Headcount Rate ($2.15)</t>
  </si>
  <si>
    <t>Poverty Headcount Rate ($3.65)</t>
  </si>
  <si>
    <t>Poverty Headcount Rate ($6.85)</t>
  </si>
  <si>
    <r>
      <t xml:space="preserve">Agrifood System Jobs </t>
    </r>
    <r>
      <rPr>
        <sz val="14"/>
        <color theme="1"/>
        <rFont val="Aptos Narrow"/>
        <family val="2"/>
        <scheme val="minor"/>
      </rPr>
      <t>(incl. subsistence farming and informal sector)</t>
    </r>
  </si>
  <si>
    <r>
      <t xml:space="preserve">Agricultural Jobs </t>
    </r>
    <r>
      <rPr>
        <sz val="14"/>
        <color theme="1"/>
        <rFont val="Aptos Narrow"/>
        <family val="2"/>
        <scheme val="minor"/>
      </rPr>
      <t>(incl. subsistence farming and informal sector)</t>
    </r>
  </si>
  <si>
    <t>Agricultural Greenhouse Gas (GHG) Emissions</t>
  </si>
  <si>
    <t>FS Indicators</t>
  </si>
  <si>
    <t>Total score by column</t>
  </si>
  <si>
    <t>VH count by column</t>
  </si>
  <si>
    <t>H count by column</t>
  </si>
  <si>
    <t>MH count by column</t>
  </si>
  <si>
    <t>M count by column</t>
  </si>
  <si>
    <t>L count by column</t>
  </si>
  <si>
    <t>Current state (across the Global South)</t>
  </si>
  <si>
    <t>Ideal state (across the Global South)</t>
  </si>
  <si>
    <t>Assumptions (for region-specific scores)</t>
  </si>
  <si>
    <t>Requirements for success 
(internal to P/A)</t>
  </si>
  <si>
    <t>Requirements for success 
(from other P/As)</t>
  </si>
  <si>
    <t>Regional Implication</t>
  </si>
  <si>
    <t>HLO</t>
  </si>
  <si>
    <t>Existing demand signaling systems for food security are fragmented, poorly institutionalized, and largely reactive. Most mechanisms operate in silos—within projects or national programs—without a coordinated structure to capture or aggregate regional scaling needs. As a result, innovation and investment decisions often lack grounding in localized food insecurity drivers or emergent farmer and market demands (FAO, 2021; Wigboldus et al., 2016).</t>
  </si>
  <si>
    <t>Integrated, anticipatory demand signaling systems that are regionally coordinated, data-informed, and driven by farmer and market needs. These systems enable continuous identification and prioritization of innovations based on evolving food security challenges and scaling opportunities. They combine participatory inputs with digital infrastructure and foresight tools to guide investment and policy decisions across CGIAR and national systems (FAO &amp; WEF, 2022).</t>
  </si>
  <si>
    <t>Higher regional scores indicate weak or absent mechanisms to systematically capture and prioritize local innovation and scaling demands related to food security. This includes the absence of interoperable data systems, low institutional capacity to aggregate grassroots needs, and limited coordination among research, policy, and implementation actors (Gálvez, 2022; CGIAR, 2023; Schut et al., 2024).</t>
  </si>
  <si>
    <t>Within CGIAR, success requires the development and institutionalization of participatory platforms that enable systematic capture of farmer, partner, and market signals across geographies. This must be coupled with the integration of real-time, interoperable data systems across Initiatives and Centers to ensure that regional scaling demands are continuously monitored, shared, and fed into research prioritization and innovation pipelines (CGIAR GENDER Impact Platform, 2023).</t>
  </si>
  <si>
    <t>Collaborate with ministries, ICT actors, and farmer groups to design and maintain real-time, inclusive platforms for demand articulation and foresight analytics (FAO &amp; ITU, 2022). National research agencies and digital service providers must be engaged to operationalize subnational data layers and innovation targeting.</t>
  </si>
  <si>
    <r>
      <t>SA and ESA scored highest for this HLO</t>
    </r>
    <r>
      <rPr>
        <sz val="8"/>
        <color theme="1"/>
        <rFont val="Tw Cen MT"/>
        <family val="2"/>
        <charset val="1"/>
      </rPr>
      <t xml:space="preserve"> (Table 1), indicating strong relevance due to persistent food insecurity and undernutrition alongside weak regional innovation targeting. WCA also showed moderate priority. Investment in structured demand articulation systems—including digital tools and participatory platforms—is critical in these regions to align CGIAR innovation pipelines with ground-level needs and reduce misallocation of scaling efforts.</t>
    </r>
  </si>
  <si>
    <t>Feedback loops between agricultural research and the realities of farmers, markets, and local food systems remain weak, slow, and inconsistently applied. While some CGIAR Initiatives integrate field-based learning into research prioritization, these practices are not systematically institutionalized across regions. Most mechanisms rely on end-of-project evaluations or disconnected surveys, lacking real-time learning channels that could dynamically inform research pipelines and scaling priorities. This delay undermines the adaptability and local relevance of food system innovations (World Bank, 2020).</t>
  </si>
  <si>
    <t>Well-functioning, iterative feedback systems are embedded within CGIAR’s research and scaling processes. These systems capture insights from field implementation, extension networks, farmer groups, and partners in real time, and use them to continuously update research priorities and refine scaling strategies. The ideal state enables two-way learning—between science and practice—grounded in region-specific food security challenges. (Pingali &amp; Aiyar, 2022).</t>
  </si>
  <si>
    <t>Higher scores reflect the need to institutionalize adaptive research systems, especially in WCA and ESA, where informal feedback channels are not supported by digital tools or policy linkages. SA shows early progress due to established CGIAR presence and stronger research-extension interfaces. Assumes real-time feedback is essential to prevent mismatched innovations and improve scale-readiness (Gálvez, 2022; CGIAR, 2023; Schut et al., 2024).</t>
  </si>
  <si>
    <t>Institutionalize real-time, adaptive monitoring and learning (MEL) systems across CGIAR research-for-development projects. These should include structured feedback loops, scaling readiness indicators, and dynamic dashboards. Support capacity building of researchers and MEL staff in adaptive management (Douthwaite &amp; Hoffecker, 2017).</t>
  </si>
  <si>
    <t>Build partnerships with national extension systems, cooperatives, and innovation intermediaries that can relay implementation-level data and enable rapid adjustment of CGIAR’s scaling approaches. Align feedback systems with government M&amp;E platforms to enhance uptake of recommendations (Anderson et al., 2020).</t>
  </si>
  <si>
    <r>
      <t>SA, ESA, and WCA scored highest</t>
    </r>
    <r>
      <rPr>
        <sz val="8"/>
        <color theme="1"/>
        <rFont val="Tw Cen MT"/>
        <family val="2"/>
        <charset val="1"/>
      </rPr>
      <t xml:space="preserve"> for this HLO, reflecting the urgency to embed feedback loops into innovation scaling. While SA demonstrates relative progress, ESA and WCA face significant feedback fragmentation and limited responsiveness. These regions require support to establish digital feedback infrastructure and partnerships that enable dynamic prioritization and realignment of scaling pipelines with localized food security conditions.</t>
    </r>
  </si>
  <si>
    <t>While numerous food security strategies exist at national and regional levels, coordination across actors—government agencies, CGIAR centers, donors, NGOs, and private sector—is often weak or inconsistent. Many initiatives operate in parallel, resulting in duplication of efforts, fragmented resource use, and reduced impact. Strategic planning tends to be top-down and project-driven, rather than co-developed across systems. Sectoral silos—between agriculture, health, nutrition, and climate—further hinder integrated responses to food insecurity (OECD, 2021).</t>
  </si>
  <si>
    <t>A coherent, multi-actor strategic framework exists to guide system-level food security transformation through aligned priorities, investments, and delivery mechanisms. CGIAR and national actors co-develop and implement strategies that span research, policy, and implementation levels. These are dynamic, learning-oriented, and grounded in cross-sector coordination, fostering joint ownership across stakeholders (HLPE, 2020).</t>
  </si>
  <si>
    <t>High scores in SA and WCA indicate weak institutional coordination, where overlapping mandates and under-resourced coordination platforms limit integrated strategy implementation. ESA faces similar challenges. It is assumed that addressing fragmentation will improve program effectiveness and enable alignment between food production, access, and nutrition goals (FAO, 2022).</t>
  </si>
  <si>
    <t>CGIAR must co-develop cross-Initiative strategies with clear alignment mechanisms, shared performance metrics, and learning loops. Strengthen internal convening roles at regional levels to ensure unified delivery on food security objectives across Centers and Initiatives (CGIAR, 2022).</t>
  </si>
  <si>
    <t>National governments and regional organizations should activate or strengthen formal coordination platforms that bring together agriculture, health, climate, and food security stakeholders. Development partners must align their support with nationally led strategies and invest in joint planning, reviews, and accountability mechanisms (UNESCAP, 2023).</t>
  </si>
  <si>
    <r>
      <t>SA and WCA are top priorities</t>
    </r>
    <r>
      <rPr>
        <sz val="8"/>
        <color theme="1"/>
        <rFont val="Tw Cen MT"/>
        <family val="2"/>
        <charset val="1"/>
      </rPr>
      <t>, with ESA also requiring action. These regions exhibit fragmented institutional ecosystems, limiting joint planning and delivery. Strengthening coordination mechanisms—both within CGIAR and externally—is vital for scaling food security innovations. Joint strategy development, inter-agency taskforces, and harmonized investment frameworks can help bridge current silos and amplify system-wide outcomes.</t>
    </r>
  </si>
  <si>
    <t>Innovation networks in the agrifood sector remain underdeveloped across most regions, especially where institutional and private sector capacity is limited. Existing linkages between CGIAR and local actors—such as farmer organizations, ag-tech startups, and extension agencies—are fragmented and project-dependent. Platforms intended to support innovation co-creation often lack sustainability, funding, and inclusion of market actors. As a result, promising food security solutions remain isolated and poorly scaled (Davis et al., 2023).</t>
  </si>
  <si>
    <t>A dynamic and inclusive innovation ecosystem exists in which CGIAR, national research systems, local innovators, and private sector actors collaborate to co-develop and scale food system solutions. These networks are supported by dedicated hubs, digital platforms, and financing mechanisms that enable rapid piloting, feedback, and adaptation. Innovation networks operate not only within countries but also across borders to respond to region-specific food security challenges (World Bank, 2024).</t>
  </si>
  <si>
    <t>Although innovation networks across regions remain weak, the uniformly low scores for this HLO in the KBP exercise suggest that—relative to other Food Security HLOs—this area currently offers limited strategic leverage for near-term scaling. It is assumed that strengthening networks without parallel improvements in demand signaling, bundling, and enabling policy environments will not deliver substantial short-term returns (Gálvez, 2022; CGIAR, 2023; Schut et al., 2024).</t>
  </si>
  <si>
    <t>CGIAR should prioritize foundational efforts such as mapping innovation actors, identifying coordination gaps, and building early-stage partnerships across Initiatives and Centers. A lean, learning-oriented approach that emphasizes institutional readiness, ecosystem diagnostics, and piloting innovation brokerage mechanisms is appropriate at this stage (van Rijn et al., 2020).</t>
  </si>
  <si>
    <t>Externally, CGIAR should selectively engage with innovation intermediaries, incubators, and regional platforms that are already facilitating agricultural innovation. Rather than creating new structures, partnerships should reinforce existing national systems and support inclusive participation by farmer groups, women, and youth innovators (FAO, 2021).</t>
  </si>
  <si>
    <r>
      <t>This HLO received the lowest prioritization across all regions</t>
    </r>
    <r>
      <rPr>
        <sz val="8"/>
        <color theme="1"/>
        <rFont val="Tw Cen MT"/>
        <family val="2"/>
        <charset val="1"/>
      </rPr>
      <t xml:space="preserve"> in the KBP. While SA, ESA, and WCA face weak innovation ecosystems, other HLOs—such as demand signaling and bundling—are more urgent entry points for food security scaling. In these regions, innovation network investments should remain exploratory and diagnostic, preparing the ground for deeper engagement once enabling conditions are strengthened.</t>
    </r>
  </si>
  <si>
    <t>Evaluation methods used to assess the scalability of agrifood system innovations are largely ad hoc, inconsistent across programs, and often introduced only at the end of the project cycle. There is limited use of prospective tools or metrics that assess whether innovations are socially, economically, and institutionally scalable in diverse contexts. This results in missed opportunities to adapt innovations early or avoid scaling solutions that lack contextual fit or stakeholder ownership (Rogers et al., 2021).</t>
  </si>
  <si>
    <t>A robust and standardized suite of methods is available and routinely used across CGIAR programs to assess the scalability of agrifood innovations. These methods are applied early and iteratively throughout the innovation and scaling process, incorporating system dynamics, contextual fit, stakeholder engagement, and long-term sustainability considerations. Scalability assessments are embedded within CGIAR’s adaptive management frameworks, enabling more effective decision-making on investment and scale-out (Wigboldus, 2018).</t>
  </si>
  <si>
    <t>The KBP results indicate that SA and ESA have begun to apply basic scalability diagnostics, but institutional uptake remains partial and uncoordinated. In contrast, WCA and SEA lag behind due to limited evaluation capacity and disconnected research and scaling teams. Scores reflect both demand for improved methods and current institutional gaps (Gálvez, 2022; CGIAR, 2023; Schut et al., 2024).</t>
  </si>
  <si>
    <t>Internally, CGIAR must develop and institutionalize evaluation toolkits for scaling, integrated into project design and MEL systems. Capacity development is needed for research teams and MELIA specialists to use these tools and feed insights into adaptive decision-making. Tools should be designed for both formative and summative evaluation stages (Glover et al., 2019).</t>
  </si>
  <si>
    <t>Externally, CGIAR should partner with academic institutions, think tanks, and independent evaluators to validate methods and support uptake. Public and private sector stakeholders must be trained to interpret scalability assessments and apply them in investment decisions. Donor alignment with evidence-based scaling frameworks will be critical (IFPRI, 2023).</t>
  </si>
  <si>
    <t>SA, ESA, and WCA show high alignment with this HLO and should be prioritized for the rollout of new methods. These regions face intense pressure to deliver scalable solutions to food insecurity, and improved evaluation will enhance targeting, efficiency, and equity of CGIAR innovation portfolios. Investment in these regions will improve scale-readiness and support systemic learning.</t>
  </si>
  <si>
    <t>Agrifood system innovations are often delivered in isolation—such as improved seed varieties, digital tools, or training modules—rather than as cohesive, mutually reinforcing packages. Where bundling exists, it tends to be inconsistent, poorly contextualized, and disconnected from farmer realities or market ecosystems. This undermines scalability and sustainability, as individual components often fail without complementary inputs like finance, policy support, or behavior change strategies (Herrero et al., 2021).</t>
  </si>
  <si>
    <t>Integrated, locally adapted innovation bundles that respond to farmer typologies and agroecological contexts, combining technological, institutional, and service innovations. These bundles are co-developed with users and market actors and aligned with delivery systems to ensure adoption at scale. CGIAR Initiatives and national partners share tools and processes for bundling that reflect local realities and system interdependencies (Gálvez, 2022; CGIAR, 2023; Schut et al., 2024).</t>
  </si>
  <si>
    <t>High prioritization scores for this HLO in SA, ESA, and WCA reflect critical gaps in integrated delivery of solutions. It is assumed that while multiple innovations are being promoted, their lack of contextual bundling hinders adoption and sustained use. The need for bundling is particularly high in SA, where input-output-market linkages remain fragmented, and in ESA and WCA, where capacity to package innovations with services and policy support is limited (FAO, 2022).</t>
  </si>
  <si>
    <t>CGIAR must develop bundling protocols across Initiatives, ensuring that research outputs are integrated into locally adapted solution packages. This includes working across themes (e.g., seed systems, digital, finance) and aligning bundling with agroecological and livelihood typologies. Initiatives should pilot and refine bundled approaches in diverse contexts, using feedback from users to iterate on content and delivery (HLPE, 2020).</t>
  </si>
  <si>
    <t>Collaborations with private sector actors, cooperatives, NGOs, and government extension services are essential to co-design, deliver, and refine bundled packages. These actors bring insights into user preferences, cost structures, and delivery logistics. Market incentives and policy support mechanisms (e.g., subsidies or extension platforms) must be aligned to encourage bundle uptake (Anderson et al., 2020).</t>
  </si>
  <si>
    <t>SA, ESA, and WCA are high-priority regions for bundling due to their diverse production systems, high levels of input-output fragmentation, and limited adoption of standalone innovations. Bundling offers an efficient entry point to improve food security outcomes by aligning technical solutions with farmers’ contextual realities. Investments in these regions should prioritize co-design of bundles with farmers and integration into broader delivery systems.</t>
  </si>
  <si>
    <t>Current scaling efforts are fragmented, project-driven, and rarely embedded within national or regional food system transformation strategies. CGIAR programs often lack long-term, system-level scaling pathways. Where strategies exist, they tend to focus on technology dissemination rather than system integration or sustainability. Weak linkages between scaling efforts and enabling policy, institutional, and market frameworks limit impact (Wigboldus, 2018).</t>
  </si>
  <si>
    <t>Systemic, forward-looking scaling strategies are developed and institutionalized across CGIAR and partner ecosystems. These strategies embed innovation scaling within broader food system transformation pathways, integrate enabling environment analysis, and include flexible, evidence-based scaling pathways. They emphasize sustainability, equity, and adaptive learning to respond to dynamic regional contexts (Gálvez, 2022; CGIAR, 2023; Schut et al., 2024).</t>
  </si>
  <si>
    <t>High prioritization in SA, ESA, and WCA reflects the recognized need to move beyond piecemeal scaling approaches and institutionalize systemic strategies. It is assumed that while pilot models and successful innovations exist in these regions, their scaling potential remains underutilized due to lack of strategic guidance and system-wide engagement. Cross-initiative coordination and long-term visioning are especially limited (FAO, 2022).</t>
  </si>
  <si>
    <t>CGIAR must embed scaling strategies as a core design and planning component across all Initiatives, linked to innovation pipelines, MEL systems, and policy engagement. Internal success requires clear accountability for scaling within research teams, the use of scenario-based foresight, and the establishment of cross-Initiative coordination units to harmonize scaling pathways. CGIAR must also invest in internal capacity development for scaling strategy design and systems thinking (Woltering et al., 2019).</t>
  </si>
  <si>
    <t>Scaling strategies must be co-developed with governments, funders, private sector actors, and civil society to ensure alignment with national food security priorities and development plans. Success requires enabling policy frameworks, long-term financing, and programmatic integration with national delivery systems. Multi-stakeholder governance platforms and regional development actors (e.g., RECs, IFIs) play a critical role in anchoring strategies (World Bank, 2024).</t>
  </si>
  <si>
    <t>SA, ESA, and WCA are high-priority regions for institutionalizing food system scaling strategies. These regions host numerous fragmented scaling efforts that, if strategically aligned, could drive significant food security gains. Support should focus on scaling diagnostics, co-creation of long-term scaling roadmaps, and embedding these within national food system transformation agendas. Institutionalization of scaling strategy frameworks is essential to achieve coherence and sustained impact in these contexts.</t>
  </si>
  <si>
    <t>Diagnostics that assess the readiness of policy, institutional, financial, and regulatory environments to support innovation scaling are sparse, sporadic, and often disconnected from program cycles. In many CGIAR programs, barriers to scaling—such as land tenure issues, weak extension systems, or policy misalignment—are acknowledged late or not addressed systematically, resulting in ineffective or unsustainable scaling (World Bank, 2020).</t>
  </si>
  <si>
    <t>Institutionalized, evidence-based diagnostic frameworks are embedded into the design and implementation of CGIAR and national programs. These diagnostics regularly assess enabling and disabling factors for scaling across institutions, policy regimes, and markets. They are implemented collaboratively with national actors and feed directly into program adaptation, investment planning, and policy dialogue (FAO &amp; WEF, 2022).</t>
  </si>
  <si>
    <t>SA and SEA received relatively higher priority scores, reflecting urgent gaps in systematic diagnostics to identify institutional and policy bottlenecks. It is assumed that while enabling conditions are often known anecdotally, structured diagnostics—such as political economy analyses or delivery readiness assessments—remain underutilized. WCA also requires strengthening, though data systems and coordination mechanisms are weaker (Gálvez, 2022; CGIAR, 2023; Schut et al., 2024).</t>
  </si>
  <si>
    <t>Within CGIAR, success requires the mainstreaming of diagnostic tools that assess system readiness across initiatives. These tools must be integrated into programmatic design templates, MEL frameworks, and ex-ante investment appraisal systems. Capacity development is needed across centers to apply political economy, regulatory, and institutional diagnostics, and ensure learning is used to inform scaling strategies (Woltering et al., 2019).</t>
  </si>
  <si>
    <t>Governments, regional institutions, and donors must commit to using diagnostic evidence to inform food security programming. This includes supporting integrated data systems, incentivizing joint problem analysis across sectors, and aligning diagnostic outputs with national investment planning and reform processes. Platforms for cross-country learning and technical support will help scale diagnostic use (HLPE, 2020).</t>
  </si>
  <si>
    <t>SA and SEA are priority regions where targeted diagnostic strengthening can improve the strategic focus and coherence of food security investments. These regions require structured tools to identify why certain innovations fail to scale, and to guide reforms in land, extension, subsidy, or institutional frameworks. WCA also merits diagnostic support to overcome governance and coordination barriers. Investments should focus on scaling-relevant diagnostics embedded early in the innovation cycle.</t>
  </si>
  <si>
    <t>Services critical to scaling—such as access to finance, mechanization, technical support, insurance, and digital advisory systems—remain fragmented and uneven across regions. Many CGIAR-aligned innovations are delivered without the ecosystem of services needed for sustained uptake, especially in under-resourced regions. Current efforts often rely on short-term pilots or isolated delivery models, limiting their ability to support wide-scale adoption of food security solutions (FAO, 2022).</t>
  </si>
  <si>
    <t>A supportive service ecosystem is in place, with bundled offerings—including financial products, capacity development, digital advisory services, and technical assistance—available at scale and aligned with the innovation needs of food-insecure populations. These services are regionally anchored, delivered through public-private partnerships, and designed with inclusivity and affordability in mind (IFPRI, 2023).</t>
  </si>
  <si>
    <t>Higher regional scores in SA and ESA reflect urgent needs to develop service ecosystems that can enable large-scale deployment of food security innovations. It is assumed that in these regions, fragmented service delivery, limited rural finance penetration, and weak capacity among public extension and private actors continue to constrain scaling. WCA also demonstrates high need, but the ecosystem remains more nascent and resource-constrained (Gálvez, 2022; CGIAR, 2023; Schut et al., 2024).</t>
  </si>
  <si>
    <t>CGIAR must work across Initiatives to identify critical service bottlenecks tied to innovation adoption. Internal success depends on embedding service gap assessments into scaling diagnostics, piloting bundled support models, and developing tools to monitor service performance. Collaboration between research, scaling, and MELIA teams is essential to co-design scalable service delivery mechanisms adapted to different geographies (Anderson et al., 2020).</t>
  </si>
  <si>
    <t>CGIAR must partner with public extension, rural finance institutions, agribusinesses, and service provider networks to deliver bundled services that respond to scaling needs. Support is also needed from ministries and donors to build enabling policies (e.g., service delivery subsidies, performance-based contracts) and invest in last-mile infrastructure and service platforms (IFAD, 2019; FAO, 2022).</t>
  </si>
  <si>
    <t>SA and ESA are high-priority regions for this HLO, where immediate investments in service ecosystems can unlock scaling for food security innovations. WCA also presents opportunities for long-term systems development. Strategic focus should be placed on supporting inclusive, decentralized service delivery models that integrate finance, input access, and advisory tools. These efforts are critical to ensuring adoption beyond early adopters and building sustainable market ecosystems around CGIAR innovations.</t>
  </si>
  <si>
    <t>Science-policy platforms related to food security remain fragmented, underfunded, or ad hoc across most CGIAR regions. Many CGIAR initiatives engage with policymakers episodically or during proposal or dissemination phases, rather than embedding science-policy dialogue throughout research and scaling cycles. As a result, evidence uptake into national food system policies is often inconsistent, and co-creation of scaling pathways with policy actors is rare (Diao et al., 2023).</t>
  </si>
  <si>
    <t>Institutionalized, trusted science-policy interfaces exist across regions, facilitating continuous and reciprocal engagement between researchers, policymakers, and implementers. These platforms integrate CGIAR-generated evidence into national food security agendas and enable policy co-design, feedback loops, and mutual accountability mechanisms. Interfaces are inclusive, transparent, and aligned with both research priorities and development goals (FAO &amp; WEF, 2022).</t>
  </si>
  <si>
    <t>Low prioritization scores for this HLO in SA, WCA, and especially SEA and CWANA reflect a current lack of structured and impactful science-policy engagement mechanisms. It is assumed that weak institutional linkages, limited political economy analysis capacity, and siloed communication approaches contribute to low uptake of CGIAR innovations into policy. High food insecurity does not always translate into strong evidence-informed policy processes (Gálvez, 2022; CGIAR, 2023; Schut et al., 2024).</t>
  </si>
  <si>
    <t>CGIAR must invest in building internal capacity for policy engagement—through staff training in political economy analysis, policy communication, and co-creation processes. Each Initiative should establish dedicated policy engagement strategies aligned with national and regional scaling goals. Stronger integration of policy research and implementation science within innovation portfolios is also critical (Douthwaite &amp; Hoffecker, 2017).</t>
  </si>
  <si>
    <t>National governments and regional organizations must create formal policy platforms that allow for regular engagement with research actors. CGIAR can play a convening role but must also collaborate with think tanks, universities, and regional networks to ensure legitimacy and local ownership. Donor support is essential to fund long-term policy dialogue processes rather than one-off consultations (OECD, 2021).</t>
  </si>
  <si>
    <t>Despite strong food security challenges in SA and WCA, this HLO remains low priority due to the absence of sustained science-policy platforms. SEA and CWANA lag further in institutional readiness and CGIAR engagement history. Efforts in these regions should focus on building the foundations for trusted interfaces—through long-term partnerships, evidence synthesis platforms, and capacity sharing with national planning agencies. Investments here will have long-term payoffs in scaling legitimacy and policy alignment.</t>
  </si>
  <si>
    <t>CGIAR-generated innovations are not systematically embedded in large-scale national food security investments. Collaborations with public investment programs and IFIs (e.g., WB, IFAD) are often limited to short-term projects or technical support roles. This limits the opportunity for CGIAR solutions to inform national priorities and investment pipelines. Moreover, partnerships tend to be fragmented, non-institutionalized, and dependent on personal networks or donor mandates (Gálvez, 2022; CGIAR, 2023; Schut et al., 2024).</t>
  </si>
  <si>
    <t>CGIAR operates as a strategic technical partner embedded within national agricultural and food security investment platforms. Its innovations are systematically integrated into program design, implementation, and M&amp;E frameworks of public investments supported by IFIs, development banks, and national budgets. Long-term partnerships with government agencies and key funders are formalized, enabling scale-aligned delivery and policy coherence (World Bank, 2020; FAO, 2022).</t>
  </si>
  <si>
    <t>High prioritization scores for this HLO in SA and ESA reflect both the severity of food insecurity and the strategic relevance of linking research to investment systems. It is assumed that SA and ESA have significant volumes of ongoing or planned public and IFI-supported investments that CGIAR could influence. However, success depends on CGIAR's ability to move from project-driven engagement to long-term partnership and advisory roles (Gálvez, 2022; CGIAR, 2023; Schut et al., 2024).</t>
  </si>
  <si>
    <t>CGIAR must strengthen internal capacity for strategic engagement with IFIs and government investment programs. This includes identifying “integration entry points” in national investment plans, building staff capacity in programmatic alignment, and developing value propositions that highlight CGIAR's role in risk reduction, innovation, and results delivery. Establishing dedicated partnership units within Initiatives will be key (IFPRI, 2023; Davis et al., 2023).</t>
  </si>
  <si>
    <t>Governments and development partners must formally invite CGIAR as a knowledge and implementation partner in investment programs. This requires political will, coordination across ministries, and commitment from donors to support long-term institutional partnerships. IFIs must also recognize the value of embedding CGIAR innovations into lending operations and country strategy support frameworks (FAO, 2022; UNESCAP, 2023).</t>
  </si>
  <si>
    <t>SA and ESA are high-priority regions for this HLO due to the convergence of food insecurity, large-scale public investments, and CGIAR presence. In these regions, strengthening partnerships with IFIs and ministries of agriculture can rapidly expand the reach of CGIAR innovations. WCA also presents emerging opportunities through donor-funded food system recovery initiatives. Prioritization should focus on embedding CGIAR roles within major programs through formal agreements, technical advisory platforms, and co-developed investment pipelines.</t>
  </si>
  <si>
    <t>Dedicated hubs or platforms that coordinate scaling activities across CGIAR programs are currently nascent or fragmented. Most scaling support is project-based, with limited institutional memory or continuity across countries or initiatives. Few mechanisms exist to capture, synthesize, and repurpose learning on scaling across geographies or impact areas, limiting consistency and synergy in delivery (Gálvez, 2022; CGIAR, 2023; Schut et al., 2024).</t>
  </si>
  <si>
    <t>Institutionalized regional or country-level hubs function as coordination points to support scaling efforts across CGIAR Initiatives and national partners. These hubs provide technical assistance, curate scaling evidence, broker partnerships, and align innovation portfolios with country food security priorities. They serve as the operational backbone for scaling pathways across systems (World Bank, 2024).</t>
  </si>
  <si>
    <t>The relatively low scores for this HLO across regions reflect the emergent nature of scaling hubs and the limited demonstration of their added value to date. It is assumed that CGIAR centers and national systems have yet to establish strong, sustained infrastructure to manage cross-Initiative scaling functions. Scaling hubs are seen as necessary but not yet mission-critical compared to direct investment, bundling, or policy alignment (Gálvez, 2022; CGIAR, 2023; Schut et al., 2024).</t>
  </si>
  <si>
    <t>CGIAR must pilot and institutionalize flexible, multi-functional hubs that offer services such as scaling diagnostics, capacity development, monitoring, and partnership facilitation. These hubs should be co-hosted with national institutions where possible and anchored in country delivery strategies. Internal coordination mechanisms must ensure that hubs serve multiple Initiatives and create coherence in scaling approaches (HLPE, 2020).</t>
  </si>
  <si>
    <t>External success depends on national governments recognizing the value of scaling hubs and allocating institutional support (e.g., secondments, funding, or policy mandates). Development partners and IFIs must be engaged as co-investors and users of scaling support services. Regional platforms (e.g., SAARC, AUC) can legitimize hubs and connect them to broader development architecture (IFAD, 2021).</t>
  </si>
  <si>
    <t>Despite current low prioritization, SA, ESA, and SEA would benefit from piloting CGIAR-aligned scaling hubs to address fragmented delivery and learning across initiatives. In SA and ESA in particular, the hubs could anchor national innovation strategies and strengthen institutional interfaces between research, policy, and practice. These regions offer opportunities for hub co-location with national agricultural innovation systems to enhance sustainability and local ownership.</t>
  </si>
  <si>
    <t>Scaling science within CGIAR remains underdeveloped, with limited institutional capacities to assess, document, and apply scaling theories and evidence systematically. Tools for learning and decision-making are scattered, and structured exchange mechanisms—especially South-South learning—are rare or ad hoc. These gaps constrain CGIAR’s ability to build a global evidence base and adapt innovations to diverse food system contexts (Wigboldus, 2018; Woltering et al., 2019; IFAD, 2021).</t>
  </si>
  <si>
    <t>Scaling science is embedded in CGIAR’s operating model and supported by institutionalized toolkits, adaptive learning loops, and resourced capacities for research on scaling. Programs systematically assess scaling readiness and outcomes, share evidence across contexts, and engage in structured South-South learning platforms that support innovation transfer and equitable outcomes. This HLO connects research rigor with real-world implementation at scale (FAO &amp; WEF, 2022; CGIAR, 2023).</t>
  </si>
  <si>
    <t>Low scores across regions reflect limited uptake and institutional investment in scaling science relative to other food security HLOs. While SA and SEA show slightly higher readiness—due to ongoing innovation exchanges and scaling partnerships—the overall maturity of scaling science is low. It is assumed that without internal incentives and dedicated funding, uptake of scaling science tools and methods will remain marginal (Gálvez, 2022; CGIAR, 2023; Schut et al., 2024).</t>
  </si>
  <si>
    <t>CGIAR must invest in core capacities for scaling science, including methodologies to assess scaling potential, track enabling conditions, and document lessons. Research teams should be trained in adaptive management and learning approaches. Programs must also establish platforms for structured cross-country exchanges to transfer learning, build capacity, and foster South-South partnerships. An integrated research-for-scaling agenda should be embedded into CGIAR’s innovation pipeline (Pingali &amp; Aiyar, 2022; HLPE, 2020).</t>
  </si>
  <si>
    <t>External success requires aligning with regional knowledge platforms, universities, and South-South cooperation mechanisms (e.g., ASEAN, SAARC, African Union) to institutionalize learning exchanges and amplify locally generated insights. Donors and IFIs must fund scaling science as a public good. CGIAR should also work with independent evaluators and data science networks to improve analytics, transparency, and decision support (World Bank, 2024; IFAD, 2021).</t>
  </si>
  <si>
    <t>While scaling science is currently underdeveloped, SA and SEA represent priority regions due to ongoing innovation exchanges and emerging learning platforms. These regions also host CGIAR programs with strong national partnerships, making them ideal for piloting South-South scaling platforms. In WCA and ESA, foundational investments in analytics, evaluation, and regional learning will be needed to enhance future readiness for scaling science. Strategic support in these regions can ensure that equity and context-specific learning inform scaling decisions.</t>
  </si>
  <si>
    <t>CGIAR programs rarely conduct scaling-focused impact assessments. When evaluations occur, they typically emphasize outputs (e.g., reach) or intermediate outcomes without systematically analyzing what enables or constrains innovation uptake at scale. As a result, scaling efforts often lack a strong empirical foundation for learning and course correction. Evaluations remain disconnected from strategic decision-making in most Initiatives (Rogers et al., 2021).</t>
  </si>
  <si>
    <t>CGIAR routinely conducts high-quality, scaling-specific impact assessments that generate actionable insights for program improvement, strategic investment, and policy dialogue. Assessments go beyond attribution to explore contribution, contextual drivers, scaling enablers, and risks. Findings are used to refine innovation portfolios and guide scaling pathways, fostering a learning culture across the system (IFPRI, 2023).</t>
  </si>
  <si>
    <t>Regional scores reflect that while impact assessments are widely recognized as important, they are underutilized in most regions. SA and ESA have the greatest needs and opportunities for scaling impact evaluations due to large-scale programs and food insecurity burdens. It is assumed that capacity gaps, limited MEL integration, and lack of donor incentives hinder broader uptake, especially in WCA and SEA (Gálvez, 2022; CGIAR, 2023; Schut et al., 2024).</t>
  </si>
  <si>
    <t>CGIAR needs to institutionalize scaling impact assessment as a standard function within research and innovation programs. This includes dedicated resources, staff with impact evaluation expertise, and methodological guidance on contribution analysis, systems modeling, and participatory assessment. MEL systems should integrate learning loops that allow findings to influence innovation portfolio management (Douthwaite &amp; Hoffecker, 2017).</t>
  </si>
  <si>
    <t>CGIAR must collaborate with evaluation partners, donors, and national systems to co-design contextually relevant assessment strategies. Independent evaluation bodies and platforms like 3ie should be engaged for credibility and cross-learning. Governments and donors need to value scaling impact insights as public goods and embed them in funding conditionalities or policy dialogue (3ie, 2022; World Bank, 2024).</t>
  </si>
  <si>
    <t>SA and ESA are high-priority regions for scaling-focused impact assessments due to their food insecurity burdens and active CGIAR engagement. WCA also warrants investment in evaluation systems, though current institutional capacities are weaker. Prioritized impact assessments in these regions can guide scaling decisions, foster accountability, and enhance learning, especially where large-scale investments or vulnerable populations are involved. Scaling success will depend on building a robust evidence base for what works—and why—in complex food system contexts.</t>
  </si>
  <si>
    <t>Decision-making around innovation scaling in CGIAR remains heavily reliant on qualitative judgment and experience-based learning. While some dashboards and data platforms exist, they are fragmented and not integrated into portfolio design or resource allocation processes. Most Centers lack analytics that connect real-time data with scenario planning, risk analysis, or prioritization of scaling opportunities (World Bank, 2024).</t>
  </si>
  <si>
    <t>CGIAR employs dynamic, data-driven portfolio management tools that support real-time decision-making across regions and impact areas. These tools use machine learning, systems modeling, and multi-criteria decision analysis to evaluate trade-offs, optimize innovation mixes, and respond to contextual shifts. Analytics are embedded in governance structures and tied to research and scaling performance (FAO, 2022).</t>
  </si>
  <si>
    <t>Scores for this HLO are low across regions, including SA, SEA, and ESA, suggesting that despite recognition of the value of advanced analytics, this area remains underdeveloped and underprioritized. It is assumed that weak data systems, siloed information, and limited institutional capacity for applied data science hinder uptake. In many regions, analytics is not yet seen as a critical enabler for strategic scaling (Gálvez, 2022; CGIAR, 2023; Schut et al., 2024).</t>
  </si>
  <si>
    <t>CGIAR must strengthen its internal capacity for data science and analytics, building interdisciplinary teams that can bridge research, MEL, and portfolio management. A shared suite of tools—co-developed with users—should be developed to support real-time performance tracking, predictive modeling, and resource allocation across Initiatives. Data interoperability across Centers is essential, alongside clearer guidance on how to use analytics in decision-making (Anderson et al., 2020).</t>
  </si>
  <si>
    <t>CGIAR should partner with external data science institutions, tech firms, and innovation analytics platforms to co-create tools and build capacity. Governments, donors, and regional bodies should be engaged to align CGIAR analytics with broader food system monitoring platforms, ensuring relevance and uptake. Enabling environments that support open data sharing, privacy safeguards, and digital infrastructure are also critical (UNESCAP, 2023).</t>
  </si>
  <si>
    <t>SA, SEA, and ESA are priority regions for improving innovation analytics due to their complex, data-scarce environments and active CGIAR programming. Despite low current scores, the potential for impact is high if data systems and decision-support tools are systematically developed and embedded. Regional investments should focus on building foundational data infrastructure, integrating MEL with analytics, and demonstrating the value of these tools for adaptive scaling. Early wins in portfolio diagnostics and scenario testing could catalyze wider adoption.</t>
  </si>
  <si>
    <t>Poverty Indicators</t>
  </si>
  <si>
    <t>total score by column</t>
  </si>
  <si>
    <t>Across CGIAR regions, systems to identify poverty-related innovation and scaling demands remain weak, fragmented, and reactive. Most mechanisms rely on general development planning or donor-led priority setting, with limited articulation of localized poverty dynamics. This leads to a mismatch between scaling strategies and actual poverty reduction needs on the ground (FAO, 2022; Gálvez, 2022; CGIAR, 2023; Schut et al., 2024).</t>
  </si>
  <si>
    <t>Inclusive and evidence-based demand signaling systems that systematically identify the poverty-related needs of target populations. These systems are grounded in real-time data, community-based diagnostics, and participatory methods, enabling scaling pathways to align with localized drivers of poverty and livelihood insecurity (IFPRI, 2023).</t>
  </si>
  <si>
    <t>Uniform high priority scores across regions reflect the widespread absence of structured platforms for poverty-focused demand identification. It is assumed that CGIAR and partners currently lack the institutional capacity, data infrastructure, and outreach mechanisms to continuously surface regional poverty reduction priorities (World Bank, 2020).</t>
  </si>
  <si>
    <t>Within CGIAR, success depends on the development of localized, real-time poverty-oriented demand platforms. These platforms must incorporate participatory poverty diagnostics, social mapping, and community feedback systems to capture unmet needs, especially among vulnerable populations (Pingali &amp; Aiyar, 2022).</t>
  </si>
  <si>
    <t>External success hinges on strong collaboration with ministries of social development, national poverty alleviation programs, NGOs, and rural grassroots organizations. These actors play a critical role in identifying and communicating place-specific drivers of poverty and in ensuring equitable participation in scaling prioritization (HLPE, 2020).</t>
  </si>
  <si>
    <t>SA and ESA are high-priority regions due to entrenched poverty, high rural vulnerability, and weak state mechanisms for capturing real-time poverty-related demands. WCA also demonstrates strong alignment, given its low coverage of targeted social programs. CGIAR should focus on building inclusive, digital-enabled poverty signaling systems in these regions to strengthen the relevance and equity of scaling investments.</t>
  </si>
  <si>
    <t>Feedback loops linking on-the-ground poverty realities to CGIAR research and scaling agendas remain weak and inconsistent. Most feedback mechanisms rely on periodic assessments or project close-out reviews, which are poorly suited for real-time adaptation. In South Asia, these gaps are particularly pronounced due to complex governance and high rural poverty, although some Initiatives have begun experimenting with iterative learning tools (Anderson et al., 2020).</t>
  </si>
  <si>
    <t>CGIAR research-for-development programs function as adaptive learning systems, continuously informed by implementation feedback and poverty data. Feedback mechanisms are real-time, decentralized, and embedded within Monitoring, Evaluation, Learning and Impact Assessment (MELIA) systems. They dynamically inform program design, innovation pipelines, and scaling strategies based on localized poverty drivers and stakeholder inputs (Gálvez, 2022; CGIAR, 2023; Schut et al., 2024).</t>
  </si>
  <si>
    <t>This HLO was prioritized based on region-specific feedback capacity gaps, particularly in SA and ESA. SA’s research infrastructure shows modest readiness for adaptive feedback integration, but struggles with institutional inertia. ESA is marked by weak Monitoring, Evaluation, Learning and Impact Assessment (MELIA)  systems and sparse local data, while WCA faces constraints in extension coordination and digital feedback infrastructure. The scores assume these feedback limitations hinder poverty-reduction targeting and responsiveness (FAO, 2022).</t>
  </si>
  <si>
    <t>CGIAR must strengthen internal MEL architectures to capture timely, disaggregated feedback on poverty-related outcomes. This includes embedding adaptive learning modules into research and innovation design, linking Monitoring, Evaluation, Learning and Impact Assessment (MELIA)  systems to real-time field insights, and building researcher capacity to act on emerging evidence. Institutionalizing feedback loops should become standard across Initiatives (Wigboldus, 2018).</t>
  </si>
  <si>
    <t>External success requires close collaboration with public extension systems, rural development agencies, and grassroots organizations. These actors can generate hyperlocal insights into poverty dynamics. Partnership frameworks should enable continuous exchange of field realities and support real-time adaptation. Leveraging rural cooperatives, advisory services, and digital feedback tools will be critical (World Bank, 2024).</t>
  </si>
  <si>
    <t>SA and ESA are top-priority regions due to their high poverty density and underutilized feedback systems. CGIAR should concentrate its efforts on embedding adaptive learning approaches in these regions to enable rapid course correction in poverty-targeted scaling. WCA also requires attention, particularly in strengthening local partnerships and establishing functional Monitoring, Evaluation, Learning and Impact Assessment (MELIA)  systems that bridge implementation and strategy.</t>
  </si>
  <si>
    <t>Coordination between poverty reduction and agrifood system innovation efforts remains limited and fragmented across most CGIAR regions. While sectoral strategies exist—often focused on agriculture, livelihoods, or social protection—these are typically designed in isolation and implemented in silos. There is little systemic integration between research institutions, national planning processes, and poverty reduction initiatives. This results in duplication of efforts and underutilization of evidence and innovations for achieving poverty outcomes (IFAD, 2021).</t>
  </si>
  <si>
    <t>A fully integrated, cross-sectoral strategic framework is developed and institutionalized to align agrifood system innovations with national and regional poverty reduction priorities. This framework enables collaboration among CGIAR, national governments, and partners to co-design and co-implement poverty-sensitive strategies that span agriculture, social protection, employment, and rural development sectors. The ideal state envisions joint ownership, resource alignment, and coordinated delivery of innovations with clear pathways to poverty impact (FAO &amp; WEF, 2022).</t>
  </si>
  <si>
    <t>Based on the revised prioritization, South Asia (SA) and East and Southern Africa (ESA) exhibit the greatest need for improving strategy alignment and coordination for poverty reduction. It is assumed that in these regions, institutional fragmentation and overlapping mandates hinder the scaling of innovations that can directly alleviate poverty. Weak linkages between agriculture and broader development frameworks, along with under-resourced coordination platforms, contribute to inconsistent results (Gálvez, 2022; CGIAR, 2023; Schut et al., 2024).</t>
  </si>
  <si>
    <t>Internally, CGIAR must embed poverty reduction objectives and coordination principles into its Initiative-level theories of change, investment plans, and MELIA systems. This involves strengthening strategic foresight, building capacity for systems thinking, and enabling cross-Initiative collaboration that transcends thematic boundaries. Shared indicators for poverty outcomes and inter-initiative learning mechanisms are necessary to institutionalize integrated planning and delivery (Douthwaite &amp; Hoffecker, 2017).</t>
  </si>
  <si>
    <t>Externally, national governments, ministries of planning, and regional development organizations must lead in creating multi-stakeholder platforms that bring together actors across agriculture, livelihoods, rural infrastructure, and social protection. These platforms must have political backing, joint funding mechanisms, and robust accountability frameworks. Development partners, NGOs, and the private sector should also align their investments and interventions with these strategic coordination frameworks (UNESCAP, 2023).</t>
  </si>
  <si>
    <t>SA and ESA are priority regions where institutional fragmentation has historically undermined the coherence and effectiveness of poverty reduction efforts. Improved coordination is essential to integrate agricultural innovation into broader rural development goals. These regions require support in convening multi-sectoral platforms, fostering strategy co-creation, and ensuring that food system innovation investments contribute directly to poverty outcomes. WCA shows moderate alignment needs, while LAC and CWANA remain lower priority.</t>
  </si>
  <si>
    <t>Innovation networks that link agrifood solutions to poverty outcomes remain underdeveloped and poorly institutionalized across CGIAR regions. Where networks exist, they are typically project-based, short-lived, and disconnected from marginalized communities and rural entrepreneurs. There is limited engagement with grassroots innovators, inclusive enterprises, or financial actors who could help deliver and scale pro-poor innovations. As a result, innovations often fail to reach the rural poor at scale or reflect their needs (Davis et al., 2023).</t>
  </si>
  <si>
    <t>A robust, inclusive, and sustainable network of innovation actors exists—connecting CGIAR, national systems, grassroots innovators, private sector actors, and development intermediaries. These networks foster co-creation and contextualization of agrifood solutions that are directly linked to poverty reduction goals. Supported by enabling policies, digital tools, and financing mechanisms, such ecosystems allow for continuous exchange, testing, and scaling of inclusive innovations tailored to rural poverty contexts (World Bank, 2020).</t>
  </si>
  <si>
    <t>Revised prioritization indicates that innovation networks for poverty outcomes are at an early stage across all regions, reflected in uniformly low scores. It is assumed that even where innovation actors are present, structural barriers—such as exclusion of poor and marginalized groups, lack of pro-poor financing, and weak network governance—limit their effectiveness. The current low maturity suggests that focusing solely on innovation networks without strengthening enabling ecosystems will have limited poverty impact in the short term (Gálvez, 2022; CGIAR, 2023; Schut et al., 2024).</t>
  </si>
  <si>
    <t>Internally, CGIAR must map, convene, and support innovation actors focused on poverty reduction, including inclusive agritech start-ups, youth-led enterprises, and women’s innovation networks. Initiatives should strengthen internal collaboration mechanisms that allow for sharing pro-poor innovations across contexts. Pilot platforms can help test network-based delivery models in high-poverty geographies. Prioritizing equity and inclusion principles in innovation network design is essential for sustainability (van Rijn et al., 2020).</t>
  </si>
  <si>
    <t>Externally, partnerships are needed with inclusive entrepreneurship incubators, local cooperatives, microfinance institutions, and pro-poor innovation platforms. Development actors should support long-term investment in network governance, coordination, and capacity-building. Regional innovation hubs must explicitly include and amplify the voices of marginalized communities to ensure relevance and legitimacy. CGIAR should also collaborate with public and private sector actors to co-finance innovation network infrastructure (IFAD, 2019 &amp; 2022; FAO, 2022).</t>
  </si>
  <si>
    <t>Although regions like SA, ESA, and WCA exhibit strong poverty reduction needs, innovation networks have not yet emerged as a key strategic lever for impact at scale. These regions currently score low on this HLO, suggesting that investments should focus on foundational work—mapping actors, building trust, and piloting inclusive delivery platforms. While not a near-term priority for Scaling for Impact, early ecosystem-building efforts can lay the groundwork for future pro-poor innovation diffusion and scaling pathways.</t>
  </si>
  <si>
    <t>CGIAR programs lack standardized frameworks and tools to evaluate the scalability of agrifood innovations with respect to poverty reduction. Evaluations are often retrospective and fail to account for the socio-economic, cultural, and institutional dynamics that influence whether a solution will benefit the rural poor at scale. The absence of forward-looking, poverty-sensitive assessments means that potentially impactful innovations may be deprioritized—or inappropriately scaled—without evidence of their equity, feasibility, or affordability for poor populations (Rogers et al., 2021).</t>
  </si>
  <si>
    <t>Scalable agrifood innovations are systematically assessed through robust, forward-looking evaluation frameworks that incorporate poverty-sensitive metrics. These methods consider the multidimensional nature of poverty and are applied early and iteratively across the innovation cycle. CGIAR and partners use such tools to prioritize, adapt, or abandon innovations based on their scale potential and inclusivity. These methods are institutionalized within Monitoring, Evaluation, Learning and Impact Assessment (MELIA) systems and inform strategic investment decisions (Glover et al., 2019; Woltering et al., 2019).</t>
  </si>
  <si>
    <t>SA, ESA, and WCA are assigned higher priority due to their need for context-specific, poverty-aware evaluation systems. It is assumed that although some Initiatives have begun piloting scalability frameworks, few have embedded poverty reduction metrics or tools that anticipate differential outcomes for marginalized populations. There is also limited capacity to integrate such evaluations into decision-making processes. Uniform scoring reflects widespread recognition of the need to enhance evaluation rigor to target the poor more effectively (Gálvez, 2022; CGIAR, 2023; Schut et al., 2024).</t>
  </si>
  <si>
    <t>Internally, CGIAR must co-design and mainstream poverty-relevant scalability assessment tools across Initiatives. These should be embedded within MELIA systems and include dimensions such as affordability, reach to poor households, empowerment potential, and resilience outcomes. Capacity building for researchers and MELIA teams will be critical to ensure consistent application and interpretation of results. Evaluative learning must feed into research prioritization and investment planning (Woltering et al., 2019).</t>
  </si>
  <si>
    <t>CGIAR should partner with poverty research institutes, scaling science communities, and evaluation networks to develop and validate context-specific assessment tools. Governments and development partners need to align their scaling criteria with equity-focused frameworks. Impact investors and donors must also be encouraged to adopt these poverty-sensitive evaluation criteria in their funding decisions, fostering demand for evidence-driven inclusive scaling (IFPRI, 2023).</t>
  </si>
  <si>
    <t>SA, ESA, and WCA are high-priority regions for investing in scalable evaluation frameworks for poverty reduction. These regions face deep multidimensional poverty, and poorly targeted scaling efforts risk reinforcing inequalities. Introducing scalable, poverty-aware evaluation methods will enhance targeting accuracy and accountability, ensuring that agrifood innovations reach the most underserved populations. These regions offer fertile ground for piloting and institutionalizing such evaluative approaches.</t>
  </si>
  <si>
    <t>In most CGIAR contexts, solutions for poverty reduction—such as improved varieties, extension tools, market access initiatives, or input subsidies—are deployed as standalone interventions. These fragmented approaches fail to account for the multidimensional constraints facing poor households, including lack of capital, weak service ecosystems, and social exclusion. Bundling efforts are typically inconsistent, insufficiently localized, and not designed with affordability, gender equity, or vulnerability dynamics in mind (Herrero et al., 2021; FAO, 2022).</t>
  </si>
  <si>
    <t>Coherent, contextually adapted solution bundles are designed and delivered to address multiple drivers of rural poverty. These bundles combine technical, financial, institutional, and behavioral components tailored to the needs of the poor. They are co-created with marginalized groups, iteratively refined based on real-world performance, and aligned with national poverty reduction strategies. CGIAR programs institutionalize bundling as a core principle for pro-poor scaling (Gálvez, 2022; CGIAR, 2023; Schut et al., 2024).</t>
  </si>
  <si>
    <t>High prioritization in SA and ESA reflects both the intensity of poverty and the lack of effective solution integration. It is assumed that in these regions, stand-alone interventions fail to achieve sustainable livelihood outcomes for poor populations. Bundling is particularly critical where enabling services are weak, risk exposure is high, and access to inputs or markets is limited. Effective scaling depends on the bundling of innovations with financing, extension, and inclusion mechanisms (Gálvez, 2022; CGIAR, 2023; Schut et al., 2024).</t>
  </si>
  <si>
    <t>Internally, CGIAR must mainstream bundling approaches within program design and implementation, with explicit targeting of the poor. This requires developing guidelines for pro-poor bundling, establishing cross-Initiative bundling task forces, and enhancing capacity for participatory solution design. Monitoring, Evaluation, Learning and Impact Assessment (MELIA) systems should track the performance of bundles on poverty-related outcomes across regions (HLPE, 2020).</t>
  </si>
  <si>
    <t>CGIAR should work closely with microfinance institutions, rural service providers, farmer cooperatives, and social enterprises to co-deploy integrated bundles. Engagement with local governments and social protection programs can ensure that bundles reach the most vulnerable. Donors and investors should be encouraged to fund bundled solutions as cohesive packages rather than disjointed pilots (Anderson et al., 2020; World Bank, 2024).</t>
  </si>
  <si>
    <t>SA and ESA are top-priority regions for scaling solution bundles tailored to poverty dynamics. These regions exhibit complex poverty traps where bundled innovations are essential to break interlocking constraints. WCA also shows emerging relevance. CGIAR should focus on developing ecosystem-specific bundles for women, land-poor farmers, and youth, and work with local actors to validate and refine these packages at scale.</t>
  </si>
  <si>
    <t>In most CGIAR programs, scaling strategies rarely include poverty reduction as an explicit objective. Where scaling is pursued, it tends to emphasize yield increases or technology diffusion without adequate attention to the equity, affordability, and access dimensions that determine impact on poor populations. Poverty-specific risks and structural barriers are often overlooked, limiting the transformative potential of agrifood innovation for vulnerable groups (Wigboldus, 2018).</t>
  </si>
  <si>
    <t>System-oriented scaling strategies are designed to explicitly reduce poverty. These strategies incorporate poverty diagnostics, equity frameworks, gender and youth inclusion criteria, and risk mitigation mechanisms into the scaling process. Scaling pathways are designed to ensure that innovations reach and benefit marginalized populations, are co-owned by local stakeholders, and are embedded in supportive ecosystems and financing architectures (Gálvez, 2022; CGIAR, 2023; Schut et al., 2024).</t>
  </si>
  <si>
    <t>High and consistent prioritization across SA, ESA, and WCA reflects the recognition that current scaling efforts fail to reach the rural poor. It is assumed that effective poverty reduction requires tailored scaling strategies that address structural inequalities, especially in contexts with limited assets, low market integration, or vulnerability to shocks. These regions demand pathways that are inclusive, pro-poor, and resilience-oriented (FAO &amp; WEF, 2022; Pingali &amp; Aiyar, 2022).</t>
  </si>
  <si>
    <t>Internally, CGIAR must develop and adopt a shared framework for pro-poor scaling that is integrated into program design, performance indicators, and strategic planning. Research teams need to build capabilities in systems thinking, inclusion mapping, and adaptive scaling design. Initiatives should pilot and refine scaling models that are equity-sensitive and co-created with the poor. Monitoring, Evaluation, Learning and Impact Assessment (MELIA) systems should include metrics to assess inclusive reach and poverty outcomes (Woltering et al., 2019).</t>
  </si>
  <si>
    <t>External success requires alignment with government social protection systems, rural development programs, and donor funding streams that prioritize poverty alleviation. CGIAR must engage with ministries of agriculture, finance, and planning to ensure scaling strategies are embedded in national investment plans. Regional cooperation platforms should be leveraged to share pro-poor scaling experiences and foster south–south collaboration (World Bank, 2020).</t>
  </si>
  <si>
    <t>SA and ESA are high-priority regions for pro-poor scaling strategies, where large populations of resource-poor farmers remain excluded from current innovation diffusion models. WCA also demonstrates strategic relevance given its structural poverty dynamics. Across these regions, scaling strategies must go beyond technology promotion and focus on systemic bottlenecks, enabling services, and sustained inclusion of the poor.</t>
  </si>
  <si>
    <t>Diagnostics that assess barriers to scaling innovations rarely account for poverty-specific constraints such as access to finance, tenure insecurity, labor dynamics, or gendered barriers. Where diagnostics exist, they tend to focus on technical feasibility or market conditions, overlooking social exclusion and structural inequalities. As a result, scaling strategies are often designed without fully understanding the institutional and socioeconomic conditions that affect poor populations (World Bank, 2024).</t>
  </si>
  <si>
    <t>Diagnostics of enabling environments for scaling are institutionalized and systematically integrate poverty-related indicators. These tools identify policy, institutional, and service delivery barriers to equitable scaling and feed into both program design and policy reform processes. Diagnostics are disaggregated by gender, age, and socioeconomic status, and tailored to specific poverty contexts to guide pro-poor innovation pathways (FAO, 2022).</t>
  </si>
  <si>
    <t>Higher prioritization in SA and ESA reflects significant gaps in diagnostic systems that can meaningfully guide poverty-targeted scaling. It is assumed that in these regions, the lack of structured analysis of enabling environments contributes to ineffective targeting of the poor in agricultural innovation programs. Poverty is not only a condition but a systemic outcome of weak institutions and exclusionary policies—understanding these dynamics is essential for meaningful scale (Gálvez, 2022; CGIAR, 2023; Schut et al., 2024).</t>
  </si>
  <si>
    <t>Within CGIAR, poverty-sensitive diagnostic frameworks must be developed and embedded into research design and scaling strategies. This includes co-developing tools with national partners that assess institutional, social, and economic barriers for poor populations to benefit from innovation. Monitoring, Evaluation, Learning and Impact Assessment (MELIA) systems should include diagnostic feedback loops that guide adaptive scaling (Douthwaite &amp; Hoffecker, 2017).</t>
  </si>
  <si>
    <t>Governments and policy institutions must collaborate to deploy diagnostics as part of rural development and poverty reduction planning. CGIAR should support ministries and subnational bodies to institutionalize diagnostic processes and translate findings into regulatory and budgetary reforms. Civil society organizations can serve as intermediaries to validate diagnostics with poor communities and ensure bottom-up relevance (UNESCAP, 2023).</t>
  </si>
  <si>
    <t>SA and ESA are high-priority regions where diagnostics must be strengthened to reveal and address systemic barriers to inclusive scaling. WCA also demonstrates relevance due to persistent institutional bottlenecks and fragile enabling environments. Improving diagnostics in these regions is essential for directing innovations toward the poor and for supporting broader reforms in agricultural systems and rural development policy.</t>
  </si>
  <si>
    <t>In many regions, essential services that support the scaling of pro-poor innovations—such as finance, legal aid, advisory services, input delivery, and digital access—are fragmented, underfunded, or inaccessible to the rural poor. These services often fail to reach marginalized populations, including women, youth, and landless workers. As a result, promising innovations remain out of reach for those who need them most, limiting poverty reduction potential (FAO, 2021).</t>
  </si>
  <si>
    <t>Inclusive and functional service ecosystems exist to support the scaling of pro-poor innovations. These systems provide bundled, accessible services tailored to the needs of vulnerable groups and facilitate the uptake of innovations through coordinated delivery mechanisms. Services span financial inclusion (e.g., microcredit, insurance), extension and advisory platforms, infrastructure support, and digital tools to ensure scalability is equitable and sustainable (IFAD, 2021).</t>
  </si>
  <si>
    <t>High regional scores for SA and ESA reflect urgent gaps in service access and affordability for poor populations. It is assumed that without strengthening these support systems, even scalable innovations will fail to reach intended beneficiaries. In many low-resource settings, particularly in SA, the informal nature of rural economies compounds challenges in scaling pro-poor solutions (Gálvez, 2022; CGIAR, 2023; Schut et al., 2024).</t>
  </si>
  <si>
    <t>CGIAR must develop models for bundling complementary services into innovation packages tailored to poor and vulnerable populations. Internally, this requires collaboration across Initiatives working on finance, mechanization, digital tools, and institutional innovation. Monitoring, Evaluation, Learning and Impact Assessment (MELIA) systems should track service access as a scaling enabler and identify which support gaps inhibit uptake (Anderson et al., 2020).</t>
  </si>
  <si>
    <t>Externally, CGIAR should engage with financial institutions, microinsurance providers, public extension systems, and NGOs to co-design inclusive service models. Development partners, including bilateral donors and multilateral banks, must be mobilized to co-invest in service infrastructure and institutional capacity building. Local governments and private actors need to be incentivized to deliver services at scale, with accountability to marginalized users (IFAD, 2019 &amp; 2022; FAO, 2022).</t>
  </si>
  <si>
    <t>SA shows the highest urgency for scaling support ecosystem development due to widespread poverty, fragmented public services, and low financial inclusion. ESA also requires significant investments to improve rural service delivery. In WCA, state fragility and geographic dispersion make service innovation especially important. Scaling support systems in these regions is essential to ensure that poverty-reducing innovations are accessible and adopted widely.</t>
  </si>
  <si>
    <t>Across most regions, platforms facilitating dialogue between researchers and policymakers on poverty reduction are weak, fragmented, or non-existent. Where they exist, these platforms often lack continuity, political traction, or institutional mandates. Consequently, research insights and innovations with the potential to reduce poverty are rarely translated into policy or scaled through national programs. CGIAR’s role in policy formulation remains largely advisory and project-dependent, limiting its long-term influence on poverty-targeted reforms (Diao et al., 2023).</t>
  </si>
  <si>
    <t>Trusted, institutionalized science-policy platforms that embed CGIAR research into the design and implementation of public programs focused on poverty reduction. These platforms enable iterative exchange between evidence producers and decision-makers, resulting in policies grounded in empirical insights and adapted to local poverty dynamics. They promote sustained collaboration between CGIAR, ministries, national research systems, and development partners (FAO &amp; WEF, 2022).</t>
  </si>
  <si>
    <t>The high prioritization of this HLO for SA, ESA, and WCA reflects persistent weaknesses in evidence-based policymaking, particularly on poverty-related issues. It is assumed that many countries in these regions lack institutionalized channels for integrating research into national poverty reduction strategies. Further, limited trust between science and policy actors, bureaucratic inertia, and misalignment of timelines reduce the influence of research in driving large-scale, pro-poor outcomes (Gálvez, 2022; CGIAR, 2023; Schut et al., 2024).</t>
  </si>
  <si>
    <t>Within CGIAR, building internal capacity for policy engagement is critical. This includes training researchers in science communication, policy advocacy, and political economy analysis, as well as investing in dedicated policy engagement staff and coordination mechanisms across Centers. Policy engagement should be included in MELIA systems as a cross-cutting success factor. CGIAR must also develop standardized frameworks for co-producing research with policy actors to ensure alignment from the outset (Douthwaite &amp; Hoffecker, 2017).</t>
  </si>
  <si>
    <t>CGIAR should partner with ministries of rural development, planning commissions, and social protection agencies to institutionalize science-policy collaboration. Support is needed from bilateral and multilateral donors to fund long-term interface platforms, including national observatories, working groups, and policy labs. Engagement with regional economic communities (e.g., SAARC, ECOWAS) and global networks (e.g., UNDP, IFAD) will be essential to scale impact across borders and embed CGIAR’s poverty reduction innovations into national policy frameworks (World Bank, 2020).</t>
  </si>
  <si>
    <t>SA, ESA, and WCA require targeted strengthening of science-policy partnerships to enable research-based scaling of poverty reduction solutions. In SA, growing policy engagement presents opportunities for embedding CGIAR tools and evidence in social protection and livelihood programs. In ESA and WCA, fragile governance and capacity limitations highlight the need for externally supported but nationally owned platforms that can sustain engagement and policy influence.</t>
  </si>
  <si>
    <t>CGIAR’s integration into large-scale, poverty-focused investments remains weak across most regions. Existing partnerships with national governments, IFIs, and social protection programs are often fragmented, short-term, or limited to specific projects. This results in a disconnect between CGIAR’s innovations and the delivery systems needed to achieve wide-scale poverty impacts. Long-term co-investment models and institutionalized partnerships targeting poverty are rare (Gálvez, 2022; CGIAR, 2023; Schut et al., 2024).</t>
  </si>
  <si>
    <t>Systematic integration of CGIAR expertise, evidence, and innovations into scalable public investment programs and multi-stakeholder partnerships focused on poverty reduction. CGIAR contributions are embedded in national poverty alleviation strategies, rural development programs, and financing mechanisms. Partnerships are governed by long-term frameworks that ensure joint accountability, resource sharing, and mutual influence over policy, research, and implementation (IFPRI, 2023).</t>
  </si>
  <si>
    <t>Uniform high prioritization of this HLO across regions reflects widespread gaps in institutionalizing CGIAR’s role in poverty-targeted investments. SA shows slightly greater urgency due to the scale and complexity of national anti-poverty programs like MGNREGA and rural livelihood missions. It is assumed that stronger partnerships with public and private actors could greatly amplify CGIAR’s reach, yet current engagement mechanisms are insufficiently structured or under-resourced (FAO, 2022; Gálvez, 2022).</t>
  </si>
  <si>
    <t>Internally, CGIAR must invest in long-term partnership governance models that define roles, responsibilities, and joint planning processes. This includes establishing CGIAR advisory functions within national poverty programs and aligning innovation pipelines with country-led poverty agendas. Success will require dedicated partnership teams, robust coordination between Initiatives, and knowledge-sharing systems that track joint results across regions (Woltering et al., 2019; HLPE, 2020).</t>
  </si>
  <si>
    <t>Externally, strategic engagement is needed with national rural development and poverty reduction ministries, regional economic commissions, and IFIs such as the World Bank and IFAD. Partnerships should aim to embed CGIAR technical assistance and evidence into poverty-focused funding pipelines, social safety net programs, and agro-enterprise schemes. CGIAR should also co-develop regional investment platforms, including innovation accelerators and results-based financing mechanisms (World Bank, 2024; UNESCAP, 2023).</t>
  </si>
  <si>
    <t>SA, ESA, and WCA should be prioritized for embedding CGIAR innovations in scalable investments due to their large-scale rural poverty burdens and active public programs targeting livelihoods and food security. SA, in particular, offers opportunities to influence flagship anti-poverty schemes with strong policy visibility. In ESA and WCA, CGIAR can strengthen its influence by forging alliances with IFIs and aligning with regionally coordinated investment frameworks. Institutionalized partnerships will be critical to translating innovation into lasting poverty impact.</t>
  </si>
  <si>
    <t>Dedicated scaling hubs that explicitly integrate poverty reduction goals are rare or non-existent across most CGIAR regions. Where hubs exist, they tend to be project-bound, short-term, or loosely connected to national poverty frameworks. The absence of institutional anchoring, sustained funding, and tailored tools for poverty-focused scaling limits their utility in driving systemic change for the poor (Gálvez, 2022; CGIAR, 2023; Schut et al., 2024).</t>
  </si>
  <si>
    <t>Fully functional scaling hubs serve as regional platforms that facilitate the packaging, adaptation, and delivery of pro-poor agrifood innovations. These hubs coordinate across CGIAR Initiatives, national systems, and development partners to connect innovations with funding pipelines, rural institutions, and service providers. They provide methodological support, partnership brokering, and monitoring functions to accelerate inclusive scaling (World Bank, 2020).</t>
  </si>
  <si>
    <t>High prioritization of this HLO, particularly in SA and ESA, reflects the urgent need to strengthen institutional infrastructure for scaling innovations that directly target poverty. It is assumed that the absence of such hubs limits CGIAR’s ability to coordinate with rural development and social protection systems. The assumption also reflects the need for platforms that can address regional disparities and fragmentation in innovation scaling efforts (FAO, 2022).</t>
  </si>
  <si>
    <t>Internally, CGIAR must establish multi-Initiative scaling hubs that integrate poverty diagnostics, innovation bundling, demand articulation, and MELIA systems. These hubs should be staffed with interdisciplinary teams and embedded within national research or rural development institutions to ensure contextual alignment. Clear roles, decision-making protocols, and accountability mechanisms are essential to ensure CGIAR-wide coordination and learning (IFAD, 2021).</t>
  </si>
  <si>
    <t>Externally, partnerships must be forged with government agencies responsible for rural livelihoods, social protection, and local development. Regional economic bodies, donor consortia, and innovation accelerators should be engaged to co-invest in hub operations. Success will also depend on leveraging South-South learning networks, including public-private platforms that address rural poverty and agri-enterprise support (FAO &amp; WEF, 2022).</t>
  </si>
  <si>
    <t>SA and ESA are top priorities for establishing scaling hubs focused on poverty reduction, given their high rural poverty densities and presence of large-scale public development programs. These regions also host significant CGIAR activity, making hub localization feasible. WCA is moderately relevant, particularly in countries with weak institutional platforms for inclusive innovation. Hubs should be designed to support cross-sector coordination and to channel scalable innovations into national poverty reduction investments.</t>
  </si>
  <si>
    <t>The integration of poverty-focused perspectives into scaling science remains weak across CGIAR. Tools for scaling science often overlook poverty heterogeneity, structural exclusion, and the dynamics of informal economies. Furthermore, structured South-South learning exchanges on scaling pro-poor innovations are few and uncoordinated. As a result, opportunities to embed equity, contextual adaptation, and mutual learning into scaling processes are missed, limiting both reach and impact (Woltering et al., 2019; IFAD, 2021).</t>
  </si>
  <si>
    <t>Scaling science is embedded in CGIAR’s research, MELIA systems, and innovation portfolios, with clear poverty-sensitive metrics and institutional learning loops. South-South exchange programs are formalized through regional hubs, knowledge networks, and cross-country fellowships, enabling shared learning on inclusive scaling. CGIAR Centers and national systems co-produce knowledge on poverty dynamics in scaling processes, and systematically test and adapt methods for equitable innovation diffusion (Gálvez, 2022; CGIAR, 2023; Schut et al., 2024; FAO &amp; WEF, 2022).</t>
  </si>
  <si>
    <t>High priority scores across SA, ESA, and WCA reflect widespread recognition that scaling success depends on integrating poverty reduction principles into the science and practice of scaling. The assumption is that unless poverty dimensions—such as social exclusion, marginality, and livelihood diversity—are embedded into evidence tools and scaling frameworks, pro-poor outcomes will remain incidental or poorly measured. The lack of South-South knowledge flows further limits the potential for contextual adaptation (FAO, 2022).</t>
  </si>
  <si>
    <t>Internally, CGIAR must develop training modules, learning platforms, and institutional guidance for integrating poverty dimensions into scaling frameworks. This includes disaggregated metrics, user typologies, inclusion indicators, and adaptive learning tools tailored to marginalized contexts. South-South exchange should be institutionalized through staff exchanges, peer-to-peer learning visits, and documentation of scaling innovations from Global South regions. MELIA systems must be aligned to track equity outcomes systematically (Glover et al., 2019; HLPE, 2020).</t>
  </si>
  <si>
    <t>Externally, CGIAR should partner with South-based universities, regional centers of excellence, and intergovernmental platforms (e.g., African Union, SAARC) to design and manage cross-country learning mechanisms focused on inclusive scaling. Development partners must fund long-term exchange platforms and support the translation of learning into policy and investment practices. South-South innovation consortia and digital learning tools can further democratize access to scaling science methods (World Bank, 2024; UNESCAP, 2023).</t>
  </si>
  <si>
    <t>SA is the highest priority for this HLO, given its large rural poor population, high density of innovations, and strong potential for peer learning. ESA and WCA also present compelling cases due to their diversity of scaling environments and poverty challenges. Structured South-South exchange mechanisms across these regions can accelerate learning, reduce duplication, and foster inclusive adaptation of CGIAR innovations. Investments in equity-centered scaling science and mutual learning infrastructure are essential to avoid reinforcing existing inequalities through scaling.</t>
  </si>
  <si>
    <t>Impact assessment practices across CGIAR Initiatives tend to focus on productivity and environmental indicators, with limited emphasis on poverty-related outcomes. Where assessments exist, they are typically ex-post, narrow in scope, or disconnected from scaling decisions. Few evaluations explicitly assess whether scaled innovations have reached and benefited poor or marginalized populations. Consequently, lessons for improving the pro-poor performance of innovation scaling remain underdeveloped (Rogers et al., 2021).</t>
  </si>
  <si>
    <t>CGIAR impact assessments are routinely used to generate actionable insights on how, for whom, and under what conditions scaling contributes to poverty reduction. These evaluations are embedded into program cycles and aligned with scaling frameworks, using both qualitative and quantitative methods to capture distributional impacts. Lessons from impact assessments inform the design, targeting, and adaptation of innovation portfolios, especially in low-income and vulnerable contexts (IFPRI, 2023).</t>
  </si>
  <si>
    <t>Priority scores for this HLO are elevated in SA and ESA due to the high incidence of poverty and the demand for evidence on which scaling approaches reach the poorest. It is assumed that while some impact evaluations are conducted, they rarely disaggregate by poverty status or directly influence scaling decisions. WCA also shows emerging interest in linking impact evidence with strategy refinement, but capacity constraints persist (Gálvez, 2022; CGIAR, 2023; Schut et al., 2024).</t>
  </si>
  <si>
    <t>Internally, CGIAR must develop a standardized impact assessment framework that integrates poverty metrics and equity indicators, and aligns with Scaling for Impact objectives. Evaluation design should be anticipatory—beginning at program inception—and include counterfactual methods, longitudinal tracking, and participatory approaches. MELIA teams need resources, training, and institutional support to conduct rigorous poverty-sensitive impact evaluations, and to embed learning loops into decision processes (Douthwaite &amp; Hoffecker, 2017; 3ie, 2022).</t>
  </si>
  <si>
    <t>Externally, partnerships with impact evaluation organizations such as 3ie, JPAL, IPA, and national statistics offices are critical to strengthen methodological rigor and policy relevance. Donors and implementing partners should require and support poverty-focused assessments, while national governments can facilitate data access and policy dialogue on findings. Multi-actor learning platforms can enhance uptake of insights and increase accountability for pro-poor outcomes (World Bank, 2020).</t>
  </si>
  <si>
    <t>SA and ESA are high-priority regions for scaling impact assessments due to the scale of poverty and the intensity of CGIAR intervention. Generating robust evidence in these regions can help ensure that scaling efforts benefit the most marginalized. WCA also presents an opportunity for institutionalizing learning-oriented impact assessment, particularly as new scaling initiatives expand. Strategic investment in this HLO will increase the credibility, targeting, and inclusivity of scaling outcomes.</t>
  </si>
  <si>
    <t>CGIAR programs currently rely on fragmented and ad hoc data systems to track innovation performance, with limited integration of poverty-related indicators. Portfolio management tools often focus on outputs rather than outcomes and lack the analytical depth to support equity-sensitive decision-making. As a result, decision-makers face challenges in prioritizing innovations that are most relevant for poverty alleviation (FAO, 2022).</t>
  </si>
  <si>
    <t>A robust suite of analytics tools is available to support dynamic, real-time decision-making for innovation portfolio management. These tools integrate poverty, vulnerability, and livelihood data alongside technical and financial metrics. CGIAR Initiatives use dashboards and AI-enhanced platforms to allocate resources, prioritize interventions, and refine innovation bundles to maximize pro-poor outcomes (Gálvez, 2022; CGIAR, 2023; Schut et al., 2024).</t>
  </si>
  <si>
    <t>The relatively high scores in SA, ESA, and SEA reflect urgent gaps in using analytics to drive pro-poor innovation management. It is assumed that while some regional Initiatives use dashboards or results frameworks, these are rarely linked to disaggregated poverty indicators or tailored decision tools. Decision-making is often reactive rather than evidence-driven due to insufficient institutional capacity or lack of data integration (World Bank, 2024).</t>
  </si>
  <si>
    <t>Internally, CGIAR needs to develop integrated analytics platforms that support portfolio optimization based on poverty impact potential. This involves harmonizing data collection across Initiatives, embedding poverty-relevant KPIs into innovation tracking systems, and building analytical dashboards that support scenario modeling. Investment in data architecture, AI-assisted tools, and MELIA staff capacity is critical to operationalize equity-sensitive decision systems (Wigboldus, 2018).</t>
  </si>
  <si>
    <t>Externally, collaboration with geospatial analytics firms, AI developers, and poverty data platforms (e.g., DHS, WorldPop) is required to enhance data granularity and analytical power. CGIAR must also work with national governments, development finance institutions, and research networks to align data-sharing protocols and create enabling conditions for real-time, demand-driven portfolio management (UNESCAP, 2023).</t>
  </si>
  <si>
    <t>SA, ESA, and SEA are regions where enhanced analytics could yield major gains in innovation targeting and efficiency. These regions face complex poverty dynamics, requiring tailored decision support tools to ensure that innovation portfolios align with regional development priorities. Investing in advanced analytics in these regions will strengthen evidence-based scaling strategies and increase the effectiveness of resource allocation.</t>
  </si>
  <si>
    <t>Social inclusion Indicator</t>
  </si>
  <si>
    <t>Existing mechanisms to identify innovation and scaling demands from women, youth, Indigenous Peoples, and marginalized groups are fragmented, underfunded, or absent in most CGIAR regions. Where systems do exist, they are often sector-specific, non-participatory, and disconnected from formal decision-making. This results in research and investment agendas that insufficiently respond to social exclusion dynamics in agrifood systems (FAO, 2022; UN Women, 2021).</t>
  </si>
  <si>
    <t>A well-functioning, inclusive demand signaling system is established across CGIAR and national programs, capturing region-specific needs of structurally excluded groups. These systems are co-designed with civil society, youth organizations, and Indigenous networks, and are grounded in real-time data and participatory foresight. They serve as critical inputs to CGIAR’s prioritization and scaling strategies (HLPE, 2020).</t>
  </si>
  <si>
    <t>Higher prioritization in SA reflects deep-rooted social exclusion patterns—linked to caste, gender norms, and youth marginalization—which limit representation in agricultural innovation processes. WCA and ESA also show elevated needs due to weak institutional channels for youth and minority voices. These assumptions are based on existing CGIAR regional diagnostics and stakeholder feedback (Gálvez, 2022; CGIAR, 2023; Schut et al., 2024).</t>
  </si>
  <si>
    <t>Within CGIAR, inclusive demand signaling must be embedded into the design of Innovation Packages and Scaling Pathways (IPSPs). This requires CGIAR Initiatives to adopt participatory tools such as social network mapping, intersectional demand surveys, and gender/youth scorecards. Strong internal partnerships between research, MELIA, and social inclusion teams are critical to sustain these systems (IFAD, 2021).</t>
  </si>
  <si>
    <t>Build long-term partnerships with civil society actors, Indigenous organizations, youth platforms, and ministries of women and social development. External support is needed to finance inclusive data systems, community-led consultations, and decentralized feedback mechanisms that ensure demand identification reflects the lived realities of marginalized groups (World Bank, 2020).</t>
  </si>
  <si>
    <t>SA is the highest priority due to systemic exclusion and demographic pressure. WCA and ESA also require dedicated investment in building participatory demand ecosystems. In these regions, social marginalization is compounded by institutional barriers to voice and agency. Scaling should begin with regional pilots that demonstrate inclusive demand capture across key subgroups.</t>
  </si>
  <si>
    <t>Feedback mechanisms that channel insights from socially excluded groups into CGIAR’s research and scaling pipelines are largely absent or tokenistic. Existing feedback structures often privilege elite or formal actors and fail to systematically integrate perspectives from women, youth, Indigenous Peoples, or persons with disabilities. As a result, research agendas may overlook barriers to participation and adoption that these groups face (Douthwaite &amp; Hoffecker, 2017).</t>
  </si>
  <si>
    <t>Feedback and adaptive learning systems are fully institutionalized within CGIAR and enable routine updating of research and scaling priorities in response to intersectional social inclusion needs. These systems are decentralized, real-time, and embedded across project lifecycles. They ensure continuous learning from program implementation, especially among marginalized populations (Gálvez, 2022; CGIAR, 2023; Schut et al., 2024).</t>
  </si>
  <si>
    <t>SA and ESA are prioritized due to widespread gaps in participatory learning systems and under-representation of excluded groups in formal R&amp;D processes. While some Initiatives have piloted inclusive MELIA approaches, they are not yet institutionalized. It is assumed that feedback channels must be strengthened through digital access, local partnerships, and trust-building with marginalized communities (FAO, 2022).</t>
  </si>
  <si>
    <t>CGIAR must institutionalize inclusive Monitoring, Evaluation, Learning and Impact Assessment (MELIA) systems that gather disaggregated feedback on barriers to participation, uptake, and benefit distribution. Initiatives should allocate dedicated resources to develop reflexive learning cycles and empower researchers with tools for adaptive design responsive to social equity dynamics (Wigboldus, 2018).</t>
  </si>
  <si>
    <t>Collaboration with grassroots organizations, cooperatives, and social movements is critical to ensure marginalized groups are meaningfully engaged in adaptive research cycles. These actors can act as trusted intermediaries and facilitators of localized monitoring, ensuring feedback reaches research institutions in real time (UNESCAP, 2023).</t>
  </si>
  <si>
    <t>SA and ESA are high-priority regions for this HLO due to persistent social inequalities, youth disengagement, and fragile trust in formal research systems. Strengthening inclusive feedback loops in these contexts will help realign CGIAR’s innovation agenda with the lived experiences of the most excluded. Piloting feedback platforms through trusted intermediaries can catalyze more responsive, equitable innovation pathways.</t>
  </si>
  <si>
    <t>Current CGIAR and national-level strategies for scaling innovations rarely embed clear goals or frameworks for advancing gender equality, youth empowerment, or the inclusion of Indigenous and marginalized groups. Coordination among actors working on agriculture, social protection, and youth/gender policy remains weak, leading to parallel efforts that often bypass the most excluded (IFPRI, 2023).</t>
  </si>
  <si>
    <t>Multi-actor strategies for agrifood innovation and scaling are explicitly aligned with inclusion priorities. These strategies bridge agricultural development with gender, youth, Indigenous, and minority policy agendas. They are developed and implemented in coordination with ministries of social welfare, civil society organizations, and underrepresented groups. They also include accountability structures for tracking and adjusting inclusive impact (FAO &amp; WEF, 2022).</t>
  </si>
  <si>
    <t>SA and WCA are prioritized due to their deeply entrenched social hierarchies and policy fragmentation across inclusion domains. These regions face systemic coordination challenges among ministries (agriculture, gender, youth, Indigenous affairs), which hamper efforts to deliver inclusive innovation at scale. It is assumed that closing coordination gaps will require both top-down leadership and grassroots policy influence (Gálvez, 2022; CGIAR, 2023; Schut et al., 2024).</t>
  </si>
  <si>
    <t>CGIAR must establish cross-Initiative working groups on social inclusion that feed into overarching strategic frameworks. Inclusion metrics and stakeholder mapping should be systematically integrated into strategic planning and outcome monitoring. Researchers and program managers must also receive training in intersectionality and inclusive systems thinking to harmonize actions across portfolios (World Bank, 2024).</t>
  </si>
  <si>
    <t>External actors—including national ministries, regional bodies, and inclusion-focused CSOs—must be engaged through formal policy platforms to co-develop and co-own inclusive innovation strategies. These platforms should foster alignment between agricultural innovation and social policy agendas, supported by shared targets and coordinated funding mechanisms (UN Women, 2021).</t>
  </si>
  <si>
    <t>SA and WCA require urgent improvements in strategic coordination to ensure inclusive scaling outcomes. In these regions, siloed policymaking and weak inter-ministerial collaboration have hindered efforts to reach excluded populations. Developing integrated strategies that link agriculture, social protection, and education will be critical to advancing inclusive transformation. CGIAR should take a convening role in these regions, aligning efforts through policy dialogue and shared delivery frameworks.</t>
  </si>
  <si>
    <t>Innovation ecosystems that support inclusive agrifood solutions remain nascent or missing across most regions. Existing networks are often gender-blind, urban-centric, or focused on technological elites, leaving out marginalized innovators such as women, Indigenous entrepreneurs, youth groups, and informal innovators. Few platforms exist to systematically nurture inclusive co-creation or to connect excluded actors to value chains, finance, or knowledge flows (Davis et al., 2023).</t>
  </si>
  <si>
    <t>Innovation networks are dynamic and inclusive, actively engaging marginalized groups—especially women, youth, and Indigenous innovators—in designing, testing, and scaling agrifood solutions. These networks are supported by incubators, rural innovation hubs, and blended finance models tailored to underserved innovators. They operate within national and regional platforms that connect research, entrepreneurship, and policy ecosystems to foster inclusive scaling (IFAD, 2021).</t>
  </si>
  <si>
    <t>All regions scored low on this HLO, suggesting that despite widespread gaps in inclusive innovation networks, it is not seen as an immediate leverage point for scaling social inclusion outcomes. It is assumed that without complementary improvements in bundling, policy integration, and support services, investment in inclusive innovation networks alone may yield limited short-term returns. However, they remain a foundational medium-term priority (Gálvez, 2022; CGIAR, 2023; Schut et al., 2024).</t>
  </si>
  <si>
    <t>CGIAR should begin by mapping existing informal and formal innovation actors working in marginalized communities and investing in inclusive design principles within its Initiatives. Innovation grants and challenges that prioritize solutions from excluded groups should be piloted, and internal capacities must be strengthened to engage with community innovators and social entrepreneurs (van Rijn et al., 2020).</t>
  </si>
  <si>
    <t>External success depends on partnerships with inclusive business accelerators, rural incubators, social enterprise networks, and national innovation platforms. Investment from donors and regional development banks is needed to create enabling environments for underserved innovators. Support from governments should prioritize regulatory and financial mechanisms that lower barriers for marginalized actors (FAO, 2022; IFAD, 2019 &amp; 2022).</t>
  </si>
  <si>
    <t>Although WCA, ESA, and SA show a strong need for inclusive innovation ecosystems, this HLO received lower prioritization in the KBP due to the perception that systemic enablers must first be strengthened. In these regions, CGIAR should pursue diagnostic studies and test pilot partnerships with inclusive incubators as groundwork for longer-term transformation. Medium-term investments will be essential to ensure future equity in agrifood innovation pipelines.</t>
  </si>
  <si>
    <t>Evaluation methods used across CGIAR programs often fail to incorporate equity dimensions, including how innovations perform for women, youth, Indigenous peoples, and other marginalized groups. Standard tools primarily assess technical, economic, or environmental scalability but lack metrics or frameworks to evaluate differential access, uptake, and outcomes across social groups. This results in blind spots and missed opportunities to design for inclusive scaling (Rogers et al., 2021).</t>
  </si>
  <si>
    <t>CGIAR and partner programs routinely apply inclusive scalability assessment methods that explicitly consider social equity. These tools assess whether innovations reinforce or reduce structural inequalities, and how different groups experience benefits and risks of scaling. The ideal system includes context-sensitive indicators for gender, age, ethnicity, and socioeconomic status, integrated throughout the research and scaling cycle (Glover et al., 2019).</t>
  </si>
  <si>
    <t>SA, ESA, and WCA received higher scores for this HLO, reflecting significant gaps in inclusion-sensitive evaluation capacity. It is assumed that current practices overlook how scaling processes affect different social groups. These regions face deep-rooted structural exclusions, making inclusion-aware assessment methods critical to ensure equitable innovation outcomes (Gálvez, 2022; CGIAR, 2023; Schut et al., 2024).</t>
  </si>
  <si>
    <t>Internally, CGIAR must revise its scaling diagnostics and monitoring, evaluation, learning and impact assessment (MELIA) systems to incorporate disaggregated indicators and intersectional analysis. This includes capacity building for staff on equity-informed evaluation and the development of standardized guidance and toolkits to assess social inclusion in scalability potential (Woltering et al., 2019).</t>
  </si>
  <si>
    <t>External partnerships should involve universities, think tanks, and evaluation bodies with expertise in social inclusion and equity. These partners can help co-design and validate inclusive evaluation frameworks and support regional trainings. National statistics agencies and ministries should be engaged to ensure alignment with equity monitoring standards and data systems (HLPE, 2020).</t>
  </si>
  <si>
    <t>SA, ESA, and WCA should be prioritized for rollout of equity-aware scalability assessment methods. These regions face some of the most entrenched barriers to inclusion in agrifood systems. Embedding these methods in programming can help CGIAR improve accountability, tailor interventions, and avoid reinforcing inequality during scale-out. A phased introduction, aligned with program planning cycles, can ensure institutionalization.</t>
  </si>
  <si>
    <t>Agrifood innovations are often designed and scaled as uniform packages without attention to the differentiated needs, roles, and constraints of marginalized populations. Bundles tend to exclude enabling components such as finance, labor support, or gender-sensitive training. As a result, they often fail to reach or benefit women, youth, Indigenous peoples, or persons with disabilities—limiting the equity and effectiveness of scaling outcomes (FAO, 2022).</t>
  </si>
  <si>
    <t>Agrifood innovation bundles are co-designed with marginalized groups and adapted to context-specific needs. Bundles include both technological and institutional components—such as social protection linkages, inclusive finance, or labor-saving tools—tailored to overcome structural barriers. These bundles are tested for uptake and scalability across diverse user groups, and institutionalized in CGIAR scaling pipelines (Gálvez, 2022; CGIAR, 2023; Schut et al., 2024).</t>
  </si>
  <si>
    <t>SA shows the highest need for inclusive bundling due to persistent gender, caste, and land access inequalities. ESA and WCA also show strong demand for better contextualization of innovation packages to reach youth, women-headed households, and marginalized ethnic groups. The prioritization assumes that inclusive bundling is key to ensuring equitable reach and scalable impact across socially diverse contexts (IFAD, 2021).</t>
  </si>
  <si>
    <t>Internally, CGIAR must embed inclusion criteria and social targeting principles into the design and delivery of agrifood innovation bundles. This requires cross-disciplinary teams—including gender, youth, and social inclusion specialists—engaged early in the design phase. CGIAR should also strengthen guidance for adapting bundles to agroecological and sociocultural contexts, and include metrics to assess inclusivity and equity outcomes (HLPE, 2020).</t>
  </si>
  <si>
    <t>External engagement should focus on validating bundles with marginalized community groups through participatory testing, and working with intermediaries (e.g., women's cooperatives, youth organizations, Indigenous associations) to ensure relevance and ownership. Partnerships with microfinance institutions and local private sector actors are also essential to support distribution and affordability of bundles (World Bank, 2024).</t>
  </si>
  <si>
    <t>SA, ESA, and WCA are high-priority regions for inclusive bundling efforts. In these areas, standard packages often exclude marginalized communities. CGIAR programs should prioritize co-design and adaptation of innovation bundles that explicitly address structural barriers and local preferences. Bundles that combine technology, training, finance, and institutional linkages will increase uptake and foster more equitable food system transformation.</t>
  </si>
  <si>
    <t>Current scaling strategies often treat inclusion as a secondary objective or overlook it entirely. Gender, youth, Indigenous, and minority considerations are rarely embedded in the design, implementation, or monitoring of scaling efforts. Programs tend to focus on technological adoption rates rather than equitable access or distribution of benefits, reinforcing existing social and economic disparities (Wigboldus, 2018).</t>
  </si>
  <si>
    <t>Scaling strategies explicitly integrate social inclusion objectives—ensuring innovations reach marginalized groups and address intersectional exclusion. These strategies adopt equity-based targets, monitor distributional impacts, and are co-created with underrepresented communities. CGIAR and national actors embed inclusion in the core logic of scaling pathways from design to impact assessment (Gálvez, 2022; CGIAR, 2023; Schut et al., 2024).</t>
  </si>
  <si>
    <t>SA and SEA are prioritized for action due to deeply entrenched structural inequalities—including gendered access to resources, caste-based discrimination, and youth unemployment. These contexts require the redesign of existing scaling strategies to focus on equitable access and benefit-sharing. It is assumed that addressing inclusion at the strategy level will have a multiplier effect across scaling outcomes (FAO, 2022).</t>
  </si>
  <si>
    <t>CGIAR needs to operationalize inclusion within its scaling frameworks by applying intersectionality principles and developing inclusive scaling metrics. Scaling logic models should integrate disaggregated targets and indicators from the outset. This also requires upskilling program teams on inclusive design, institutionalizing social inclusion checklists, and aligning scaling priorities with gender, youth, and Indigenous Peoples’ strategies across CGIAR Initiatives (UN Women, 2021).</t>
  </si>
  <si>
    <t>National governments, donors, and civil society must be involved in redesigning scaling strategies to ensure social equity. External actors should provide technical support on intersectional analysis, fund equity-oriented scaling pilots, and facilitate policy dialogue to embed inclusive scaling in national rural development frameworks. UNDP, UN Women, and social protection ministries are key allies in aligning scaling with national inclusion agendas (World Bank, 2020).</t>
  </si>
  <si>
    <t>SA and SEA require immediate redesign of agrifood scaling strategies to ensure inclusion is a core objective, not a peripheral concern. CGIAR programs operating in these regions must shift from output-based scaling to equity-driven pathways. Prioritizing inclusion in strategy development will enable scalable innovations to serve as levers for social transformation rather than reinforcing existing marginalization.</t>
  </si>
  <si>
    <t>Diagnostics of enabling environments often fail to identify or measure structural barriers to inclusion, such as gender bias in land tenure, youth exclusion from extension services, or Indigenous Peoples’ lack of formal recognition. Where diagnostics exist, they tend to focus on economic or institutional constraints without disaggregating the impacts by social group. This limits the design of inclusive scaling interventions (World Bank, 2024).</t>
  </si>
  <si>
    <t>Institutionalized diagnostic tools that regularly assess inclusion-related barriers within enabling environments. These diagnostics evaluate legal, policy, market, and sociocultural factors affecting marginalized groups and feed directly into scaling strategies. Inclusive diagnostics are recognized as a prerequisite for designing equitable innovations and responsible scaling pathways (FAO &amp; WEF, 2022).</t>
  </si>
  <si>
    <t>SA and WCA scored high in prioritization due to the persistence of exclusionary systems rooted in legal, cultural, or institutional norms. These regions lack comprehensive diagnostics that reveal barriers faced by women, youth, Indigenous groups, and other marginalized populations. It is assumed that diagnostics that do not explicitly address inclusion risks perpetuating inequality in scaling (Gálvez, 2022; CGIAR, 2023; Schut et al., 2024).</t>
  </si>
  <si>
    <t>CGIAR must integrate social inclusion metrics and intersectionality frameworks into its diagnostic tools. This includes adapting existing assessment tools to track power dynamics, access disparities, and social norms. Programs should institutionalize diagnostic reviews at key program phases and develop staff capacities in gender and inclusion-sensitive analysis (Douthwaite &amp; Hoffecker, 2017).</t>
  </si>
  <si>
    <t>Externally, CGIAR should collaborate with ministries of gender, youth, Indigenous affairs, and social development to embed inclusive diagnostics in national food system policies. Partnerships with organizations that specialize in rights-based development and social safeguards (e.g., UN Women, UNDP, CARE) can enhance diagnostic rigor and relevance (UNESCAP, 2023).</t>
  </si>
  <si>
    <t>SA and WCA require immediate strengthening of diagnostics to expose structural inequalities that hinder the scaling of inclusive innovations. Investments should focus on integrating social indicators into existing policy diagnostics and fostering government ownership of these tools. CGIAR can play a key role in translating these insights into targeted reforms and innovation design improvements.</t>
  </si>
  <si>
    <t>Inclusive support services—such as financial, legal, technical, and advisory mechanisms—remain inaccessible to marginalized populations across many regions. Barriers include complex eligibility criteria, lack of gender- or youth-responsive service models, and weak outreach to Indigenous and minority communities. Services are often urban-centric or designed for better-off farmers, limiting their utility for inclusive scaling (FAO, 2022).</t>
  </si>
  <si>
    <t>Functional, inclusive ecosystems of scaling support services that are accessible, affordable, and responsive to the distinct needs of excluded groups. These include bundled services (e.g., microcredit, advisory, legal aid) tailored to reach women, youth, Indigenous Peoples, and persons with disabilities. Services are embedded within local institutions and integrated into innovation delivery models (IFAD, 2021).</t>
  </si>
  <si>
    <t>High prioritization scores in SA and ESA reflect the acute service delivery gaps for socially excluded groups. It is assumed that without intentionally designed and targeted support ecosystems, scaling efforts risk reinforcing exclusion by only serving well-connected or resourced actors. Social inclusion in scaling depends on systemic redesign of how services are delivered, financed, and evaluated (Gálvez, 2022; CGIAR, 2023; Schut et al., 2024).</t>
  </si>
  <si>
    <t>CGIAR must embed inclusion-sensitive service delivery models into its innovation scaling pipelines. This includes co-designing services with marginalized communities, piloting delivery through women- or youth-led organizations, and developing tools to assess the accessibility and equity of support ecosystems. Centers must also document and share good practices across Initiatives (Anderson et al., 2020).</t>
  </si>
  <si>
    <t>Partnerships with microfinance institutions, youth platforms, legal aid organizations, and inclusive extension providers are essential. Collaborations with global inclusive finance initiatives (e.g., UNCDF, Women’s World Banking) and national social protection schemes can enhance reach. Donor investments should be channeled to create bundled, gender-transformative services (IFAD, 2019 &amp; 2022; FAO, 2022).</t>
  </si>
  <si>
    <t>SA and ESA show urgent need to scale up inclusive support services. In both regions, exclusion from critical services significantly hinders the scaling of innovations among women, youth, and Indigenous communities. CGIAR should prioritize pilot programs that build local service ecosystems through collaborative design and invest in partnerships that extend coverage to underserved areas.</t>
  </si>
  <si>
    <t>Science-policy partnerships in many regions remain weak or underutilized for advancing social inclusion in scaling. Where partnerships exist, they often overlook equity outcomes, lack mandates to integrate evidence on gender, youth, and marginalization, and are disconnected from ministries responsible for social protection, Indigenous rights, or youth affairs (Diao et al., 2023).</t>
  </si>
  <si>
    <t>Institutionalized, trust-based science-policy interfaces that systematically prioritize social inclusion in agrifood innovation scaling. These platforms enable joint agenda-setting, support inclusive policy reforms, and ensure the translation of research evidence on exclusion into actionable programs and investments (Gálvez, 2022; CGIAR, 2023; Schut et al., 2024).</t>
  </si>
  <si>
    <t>SA and SEA have been identified as regions where the absence of equity-focused science-policy engagement is especially acute. It is assumed that limited political voice among marginalized groups, institutional fragmentation, and lack of inclusion mandates in agricultural policy contribute to this gap. Higher scores reflect both institutional demand and readiness for inclusive policy engagement (FAO, 2022).</t>
  </si>
  <si>
    <t>Internally, CGIAR must strengthen the policy engagement skills of researchers, particularly around social inclusion themes. Initiatives should establish dedicated focal points for policy dialogue on equity and inclusion, develop policy briefs with disaggregated data, and invest in long-term relationships with national ministries of gender, youth, and rural development (Douthwaite &amp; Hoffecker, 2017).</t>
  </si>
  <si>
    <t>External efforts should include fostering policy dialogues that link agriculture, food systems, and social inclusion mandates. Engagements with ministries of social development, women’s affairs, and Indigenous rights are critical. International partners such as UN Women, UNDP, and CARE should be mobilized to support policy alignment and capacity development for inclusive governance (World Bank, 2020).</t>
  </si>
  <si>
    <t>SA and SEA are priority regions for strengthening science-policy interfaces for social inclusion. Building credible, inclusion-centered dialogue platforms in these regions will improve the integration of equity goals in national food systems strategies. CGIAR should leverage its evidence base to advocate for policy change while anchoring engagement in ministries with equity mandates.</t>
  </si>
  <si>
    <t>CGIAR innovations and technical expertise related to social inclusion are insufficiently embedded in large-scale national investments and strategic partnerships. Inclusion objectives are often viewed as secondary to productivity or climate goals, resulting in short-lived, fragmented partnerships that fail to institutionalize inclusion outcomes (Gálvez, 2022; CGIAR, 2023; Schut et al., 2024; Wigboldus, 2018).</t>
  </si>
  <si>
    <t>CGIAR’s inclusion-related innovations and evidence base are systematically integrated into national scaling programs, investments, and policy reforms. Durable partnerships are built with governments, donors, and multilaterals to mainstream gender, youth, and equity outcomes in agrifood system transformation strategies (IFPRI, 2023).</t>
  </si>
  <si>
    <t>SA and SEA score highest due to strong national commitments to social inclusion, but also show major gaps in embedding inclusion within investment pipelines. The assumption is that despite political will, enabling mechanisms—such as advisory roles for CGIAR and long-term coordination platforms—are weak or missing (FAO, 2022).</t>
  </si>
  <si>
    <t>Internally, CGIAR must develop formal strategies for positioning inclusion innovations within major scaling investments. This includes assigning inclusion specialists to work with public and private sector stakeholders, creating investment-readiness profiles for inclusive innovations, and tracking inclusion KPIs across partnerships (Woltering et al., 2019; HLPE, 2020).</t>
  </si>
  <si>
    <t>Externally, partnerships must be formalized through MOUs and investment frameworks that explicitly prioritize social inclusion. Governments should designate equity-related indicators in public investment strategies. Collaboration with UN agencies, regional development platforms, and civil society is essential to anchor inclusive innovation within national programs (UN Women, 2021; UNESCAP, 2023).</t>
  </si>
  <si>
    <t>SA and SEA require urgent action to embed CGIAR’s inclusion expertise in national agricultural development programs. In both regions, the potential for large-scale impact exists—but requires stronger institutional commitments, cross-ministerial coordination, and technical support to integrate social equity across investment decision-making.</t>
  </si>
  <si>
    <t>Existing CGIAR scaling hubs generally lack embedded expertise, systems, or personnel dedicated to social inclusion. Most hubs focus on technical scaling dimensions (e.g., yield improvement, climate adaptation), with minimal engagement on gender, youth, ethnicity, or social equity. Inclusion is often retrofitted or treated as an add-on, resulting in low institutionalization and weak accountability for inclusive scaling (Gálvez, 2022; CGIAR, 2023; Schut et al., 2024).</t>
  </si>
  <si>
    <t>Fully functional scaling hubs that are institutionally equipped to lead inclusive scaling across CGIAR programs. These hubs integrate gender-transformative frameworks, have dedicated staff with expertise in social inclusion, and coordinate across programs to embed equity into all phases of scaling design, implementation, and monitoring (World Bank, 2024).</t>
  </si>
  <si>
    <t>High priority needs are evident in SA, ESA, and WCA, where inclusion capacity in existing scaling infrastructure is low despite high vulnerability of marginalized populations. The assumption is that without targeted resourcing and capacity-building, scaling hubs will fail to mainstream inclusion in strategy, design, or delivery (FAO, 2022).</t>
  </si>
  <si>
    <t>CGIAR must develop training curricula and institutional guidelines to integrate social inclusion into the mandate and operations of scaling hubs. Hubs should be staffed with specialists in gender and social inclusion, and linked with regional CGIAR centers and GENDER and Youth platforms to ensure consistency and capacity (IFAD, 2021).</t>
  </si>
  <si>
    <t>External support is needed from technical agencies and development partners with experience in gender-transformative programming, disability inclusion, and youth empowerment. This includes South-South peer learning, investment from development banks, and partnerships with local inclusion networks and advocacy organizations (UN Women, 2021).</t>
  </si>
  <si>
    <t>SA, ESA, and WCA represent the most urgent priorities for transforming scaling hubs into platforms that can deliver inclusive impact. These regions experience entrenched exclusion and lack institutional support mechanisms for marginalized groups. Without strengthened inclusion capabilities in scaling hubs, equity goals will remain peripheral to broader innovation scaling strategies.</t>
  </si>
  <si>
    <t>Scaling science frameworks and methods largely overlook social inclusion dimensions such as gender inequality, youth marginalization, and structural exclusion. CGIAR’s contributions to scaling research are underutilized in equity-related decision-making, and South-South learning platforms for inclusive innovations are either missing or disconnected from CGIAR programming (Woltering et al., 2019; IFAD, 2021).</t>
  </si>
  <si>
    <t>A globally relevant scaling science architecture in which CGIAR mainstreams inclusion indicators, tools, and adaptive learning frameworks in research design, MELIA systems, and innovation pipelines. Institutionalized South-South exchange programs promote peer learning on inclusive scaling strategies, especially for vulnerable groups in the Global South (Gálvez, 2022; CGIAR, 2023; Schut et al., 2024; FAO &amp; WEF, 2022).</t>
  </si>
  <si>
    <t>Most regions score low on this HLO, reflecting the early-stage development of inclusion-aware scaling science. South Asia (SA) emerges as the highest priority, given intersecting challenges of caste, gender, and youth exclusion. The assumption is that inclusion blind spots in scaling science persist due to limited institutional incentives and weak linkages with inclusion expertise (FAO, 2022).</t>
  </si>
  <si>
    <t>CGIAR must invest in research, tools, and capacity-building that embed inclusion dimensions—such as intersectionality, social norms, and marginality—into scaling science. This includes training scientists on inclusive innovation theories, mainstreaming disaggregated MELIA systems, and establishing platforms for learning across Initiatives and Centers (Glover et al., 2019).</t>
  </si>
  <si>
    <t>Development partners, social science institutions, and multilateral networks (e.g., UNDP, UN Women, South-South Cooperation platforms) must be engaged to support structured peer exchanges, fellowships, and joint publications focused on scaling inclusive innovations. Dedicated financing mechanisms for inclusive scaling knowledge products are also needed (World Bank, 2024; UNESCAP, 2023).</t>
  </si>
  <si>
    <t>SA is the highest priority region, with significant inclusion gaps but strong potential for institutional uptake. ESA and WCA also require support in strengthening equity dimensions within scaling frameworks. Investing in evidence-based tools and South-South learning platforms will help institutionalize inclusive scaling practices and accelerate equitable outcomes across these regions.</t>
  </si>
  <si>
    <t>Impact assessments in CGIAR programs rarely capture how scaling efforts affect social inclusion outcomes such as gender equity, youth empowerment, or support for Indigenous communities. Most evaluations focus on productivity or adoption, with limited analysis of who benefits or is left behind (Rogers et al., 2021).</t>
  </si>
  <si>
    <t>CGIAR routinely generates insights from impact assessments that explicitly address inclusion dimensions. These assessments are disaggregated by gender, age, ethnicity, and other social factors and are systematically used to inform program design, adaptive scaling strategies, and partnerships. Learning loops are institutionalized, and insights are shared across programs and geographies (IFPRI, 2023).</t>
  </si>
  <si>
    <t>Higher priority scores in SA and ESA reflect strong needs for equity-sensitive learning systems and underutilization of impact data to inform inclusive scaling. The assumption is that methodological gaps, capacity constraints, and low demand for socially disaggregated evidence have limited investment in inclusion-focused impact evaluation (Gálvez, 2022; CGIAR, 2023; Schut et al., 2024).</t>
  </si>
  <si>
    <t>CGIAR must mandate the inclusion of disaggregated impact indicators in MELIA systems and ensure that evaluation frameworks assess the distributional effects of scaling efforts. Institutional learning platforms must be strengthened to distill and disseminate insights related to social inclusion across Centers and Initiatives (3ie, 2022).</t>
  </si>
  <si>
    <t>External collaboration with global and regional impact evaluation networks (e.g., 3ie, JPAL) is essential to generate rigorous, context-specific evidence on inclusion outcomes. Partnerships with national statistics offices, gender research institutes, and social policy actors will improve data relevance and uptake (World Bank, 2024).</t>
  </si>
  <si>
    <t>SA and ESA are highest priority regions for this HLO, given structural barriers to inclusion and the opportunity to enhance accountability in scaling. Investing in impact assessments that focus on inclusion will help CGIAR adapt strategies and build trust with marginalized communities. WCA also requires strengthened systems, but data and institutional barriers remain significant.</t>
  </si>
  <si>
    <t>Analytics systems in CGIAR generally lack filters for inclusion, resulting in limited capacity to track and prioritize innovations that benefit women, youth, Indigenous groups, and other marginalized populations. Portfolio tools often emphasize efficiency and productivity metrics over equity considerations, constraining the ability to manage innovations for inclusive outcomes (FAO, 2022).</t>
  </si>
  <si>
    <t>CGIAR applies advanced, equity-sensitive analytics to innovation portfolio management. Decision-support tools integrate real-time, disaggregated data that capture gender, youth, and social inclusion dimensions. These tools guide prioritization of innovations that deliver inclusive benefits, helping to optimize investments for equitable scaling (Gálvez, 2022; CGIAR, 2023; Schut et al., 2024).</t>
  </si>
  <si>
    <t>The strong prioritization of this HLO in SA, SEA, and ESA stems from acute data and system gaps limiting the ability to make socially informed decisions. It is assumed that these regions face high inclusion challenges but also present opportunities to pioneer equity-driven analytics. WCA and LAC also require strengthening but have weaker digital and institutional readiness (World Bank, 2024).</t>
  </si>
  <si>
    <t>CGIAR must embed social inclusion metrics into portfolio tracking systems and dashboards, enabling Initiatives to monitor who benefits from innovations. MELIA systems should include modules for real-time equity analytics. Internal capacity building is needed in inclusive data management, gender-responsive analytics, and decision science (Wigboldus, 2018).</t>
  </si>
  <si>
    <t>Partner with AI and data analytics platforms focused on social equity to co-develop inclusive decision-support tools. Collaborate with tech companies, development banks, and civil society organizations to validate and scale analytics that inform inclusive innovation planning (UNESCAP, 2023).</t>
  </si>
  <si>
    <t>SA, SEA, and ESA are urgent priority regions for investment in inclusive analytics systems, as they combine high social vulnerability with low data visibility. Equipping these regions with gender- and youth-disaggregated decision-support tools will enhance scaling equity and effectiveness. WCA remains a medium priority due to slower digital transformation.</t>
  </si>
  <si>
    <t>Climate adaptation Indicator</t>
  </si>
  <si>
    <t>Climate-resilient demand signaling systems are largely underdeveloped across CGIAR regions. Existing mechanisms to identify adaptation and mitigation needs are either reactive or absent, especially at the local and regional levels. Most signals are top-down or project-driven, failing to capture evolving climate vulnerabilities or grassroots-level priorities (FAO, 2021; Gálvez, 2022; CGIAR, 2023; Schut et al., 2024).</t>
  </si>
  <si>
    <t>Integrated, anticipatory demand systems that proactively identify region-specific climate adaptation and mitigation needs. These systems are driven by participatory inputs, informed by climate risk data, and institutionalized across national and CGIAR frameworks to guide innovation scaling and investment (IPCC, 2022).</t>
  </si>
  <si>
    <t>The uniformly high scores for this HLO in SEA, SA, and LAC indicate the urgent need for demand systems that respond to region-specific climate shocks, rising exposure to extreme events, and lack of institutionalized feedback channels. It is assumed that these regions lack structured mechanisms to aggregate climate adaptation demands from local stakeholders into research and policy frameworks (World Bank, 2024).</t>
  </si>
  <si>
    <t>CGIAR must design and scale participatory climate demand platforms integrated with climate data, geospatial tools, and national research agendas. Initiatives should pilot real-time climate foresight systems and align research planning with demand signals emerging from vulnerable geographies (UNFCCC, 2022).</t>
  </si>
  <si>
    <t>Strong collaboration with national meteorological institutions, civil society actors, and local farmer organizations is needed to collect, validate, and institutionalize climate adaptation and mitigation needs. These external actors must be embedded in multi-level planning systems (FAO &amp; WMO, 2021).</t>
  </si>
  <si>
    <r>
      <t>SEA, SA, and LAC</t>
    </r>
    <r>
      <rPr>
        <sz val="8"/>
        <color theme="1"/>
        <rFont val="Tw Cen MT"/>
        <family val="2"/>
        <charset val="1"/>
      </rPr>
      <t xml:space="preserve"> are top-priority regions where climate-related vulnerabilities are intensifying, but structured demand signaling systems remain absent. Strengthening regional demand articulation platforms is foundational to ensuring that climate-smart innovations address real and emerging adaptation and mitigation needs. Investments in data-enabled, inclusive mechanisms will offer the highest returns in these regions.</t>
    </r>
  </si>
  <si>
    <t>Feedback systems that connect climate risks and adaptation needs to CGIAR research remain weak, fragmented, and inconsistently used across regions. Research and scaling pathways are often rigid and unresponsive to real-time changes in climate exposure or farmer vulnerability, particularly in South Asia (Gálvez, 2022; CGIAR, 2023; Schut et al., 2024).</t>
  </si>
  <si>
    <t>Adaptive research frameworks that evolve with shifting climate risks, farmer experiences, and system shocks. These systems institutionalize two-way learning between field implementation and R&amp;D teams, using early warning systems, participatory tools, and dynamic MELIA systems to continuously refine scaling strategies (IFPRI, 2023).</t>
  </si>
  <si>
    <t>The prioritization of SEA, SA, and LAC reflects both growing climate volatility and an absence of formal mechanisms to adapt research in response to these dynamics. It is assumed that CGIAR programs in these regions lack integration of real-time climate risk monitoring or localized learning loops, and that weak digital infrastructure hampers adaptive management (World Bank, 2020).</t>
  </si>
  <si>
    <t>CGIAR must embed climate monitoring and early warning systems into research pipelines and adaptive MELIA systems. This requires training scientists in anticipatory planning, standardizing climate-resilience indicators, and enabling internal responsiveness to farmer feedback under changing climate conditions (UNEP, 2021).</t>
  </si>
  <si>
    <t>Collaborations are needed with national meteorological agencies, grassroots adaptation networks, and community-based organizations to build robust data ecosystems and facilitate climate-responsive feedback into R&amp;D agendas (WMO, 2022).</t>
  </si>
  <si>
    <r>
      <t>SEA, SA, and LAC</t>
    </r>
    <r>
      <rPr>
        <sz val="8"/>
        <color theme="1"/>
        <rFont val="Tw Cen MT"/>
        <family val="2"/>
        <charset val="1"/>
      </rPr>
      <t xml:space="preserve"> face urgent needs to strengthen adaptive research cycles that respond to local climate realities. Enhancing real-time feedback systems will be essential for ensuring climate innovations remain contextually relevant, particularly as these regions experience frequent extreme weather events and shifting seasonal patterns. Investments should prioritize regional learning platforms and community-anchored adaptation feedback channels.</t>
    </r>
  </si>
  <si>
    <t>Climate adaptation and mitigation strategies often lack cross-sectoral coordination. Agricultural, environmental, and climate institutions frequently operate in silos, leading to fragmented investments, duplicative efforts, and gaps in the scaling of climate-resilient innovations. Integration with national climate plans is inconsistent, especially in SA and ESA (FAO, 2022).</t>
  </si>
  <si>
    <t>Highly coordinated, multi-actor strategies that align CGIAR innovation pipelines with national adaptation plans (NAPs), nationally determined contributions (NDCs), and other climate frameworks. These strategies bridge climate, agriculture, environment, and finance sectors and are co-developed with stakeholders to ensure locally grounded delivery (IPCC, 2022).</t>
  </si>
  <si>
    <t>Higher scores for SA and ESA reflect institutional fragmentation and poor inter-agency coordination, limiting the uptake of climate-smart innovations. SEA is moderately aligned but still lacks comprehensive integration of scaling strategies with climate priorities. It is assumed that without stronger national and regional coordination mandates, scaling will remain ad hoc (Gálvez, 2022; CGIAR, 2023; Schut et al., 2024).</t>
  </si>
  <si>
    <t>CGIAR must ensure that climate adaptation and mitigation goals are embedded in program strategies and scaling plans. This includes mapping alignment opportunities with NAPs and NDCs, establishing cross-Center coordination task forces, and fostering internal leadership capacity for climate strategy integration (HLPE, 2020).</t>
  </si>
  <si>
    <t>External success hinges on engagement with national climate planning bodies, regional adaptation platforms, and development partners working on climate mainstreaming. Strategic partnerships are needed with UNFCCC focal points, ministries of agriculture and environment, and multilateral funding agencies (UNESCAP, 2023).</t>
  </si>
  <si>
    <r>
      <t>SA and ESA</t>
    </r>
    <r>
      <rPr>
        <sz val="8"/>
        <color theme="1"/>
        <rFont val="Tw Cen MT"/>
        <family val="2"/>
        <charset val="1"/>
      </rPr>
      <t xml:space="preserve"> require urgent investment in institutional coordination for climate-related scaling. Strengthening inter-ministerial platforms and aligning CGIAR efforts with national climate strategies will help ensure innovations are not just climate-smart but also policy-relevant. </t>
    </r>
    <r>
      <rPr>
        <b/>
        <sz val="8"/>
        <color theme="1"/>
        <rFont val="Tw Cen MT"/>
        <family val="2"/>
        <charset val="1"/>
      </rPr>
      <t>SEA</t>
    </r>
    <r>
      <rPr>
        <sz val="8"/>
        <color theme="1"/>
        <rFont val="Tw Cen MT"/>
        <family val="2"/>
        <charset val="1"/>
      </rPr>
      <t>, while moderately aligned, would benefit from deeper integration of CGIAR programs with regional adaptation frameworks.</t>
    </r>
  </si>
  <si>
    <t>Innovation networks that support the co-development and diffusion of climate-smart agrifood solutions are generally underdeveloped. Where they exist, they are fragmented, short-term, and lack coordination across research, extension, and the private sector. Regional innovation ecosystems rarely prioritize climate resilience, leaving many innovations isolated from scaling pathways (World Bank, 2024).</t>
  </si>
  <si>
    <t>Inclusive, climate-smart innovation ecosystems that connect CGIAR Centers, NARES, agritech startups, extension services, and farmers across regions. These networks enable rapid piloting, knowledge exchange, and scaling of climate adaptation and mitigation innovations tailored to specific agroecological zones (Gálvez, 2022; CGIAR, 2023; Schut et al., 2024).</t>
  </si>
  <si>
    <r>
      <t xml:space="preserve">Despite the recognized importance of innovation networks, this HLO received uniformly low prioritization across regions, including </t>
    </r>
    <r>
      <rPr>
        <b/>
        <sz val="8"/>
        <color theme="1"/>
        <rFont val="Tw Cen MT"/>
        <family val="2"/>
        <charset val="1"/>
      </rPr>
      <t>WCA</t>
    </r>
    <r>
      <rPr>
        <sz val="8"/>
        <color theme="1"/>
        <rFont val="Tw Cen MT"/>
        <family val="2"/>
        <charset val="1"/>
      </rPr>
      <t xml:space="preserve">, </t>
    </r>
    <r>
      <rPr>
        <b/>
        <sz val="8"/>
        <color theme="1"/>
        <rFont val="Tw Cen MT"/>
        <family val="2"/>
        <charset val="1"/>
      </rPr>
      <t>CWANA</t>
    </r>
    <r>
      <rPr>
        <sz val="8"/>
        <color theme="1"/>
        <rFont val="Tw Cen MT"/>
        <family val="2"/>
        <charset val="1"/>
      </rPr>
      <t xml:space="preserve">, and </t>
    </r>
    <r>
      <rPr>
        <b/>
        <sz val="8"/>
        <color theme="1"/>
        <rFont val="Tw Cen MT"/>
        <family val="2"/>
        <charset val="1"/>
      </rPr>
      <t>LAC</t>
    </r>
    <r>
      <rPr>
        <sz val="8"/>
        <color theme="1"/>
        <rFont val="Tw Cen MT"/>
        <family val="2"/>
        <charset val="1"/>
      </rPr>
      <t>, indicating that, relative to other climate adaptation needs, network-building currently holds limited strategic leverage. It is assumed that innovation networks will be more impactful when bundled with enabling policy reforms, demand signaling, and public-private investment platforms (FAO, 2022).</t>
    </r>
  </si>
  <si>
    <t>CGIAR should focus on diagnostic groundwork—mapping climate innovation actors, identifying leverage points for engagement, and establishing protocols for co-creation. Emphasis should be on fostering internal coherence across Initiatives working on climate innovation, without duplicating national efforts (van Rijn et al., 2020).</t>
  </si>
  <si>
    <t>CGIAR must selectively support or partner with regional hubs, climate innovation accelerators, and inclusive business incubators. Public-private partnerships should be designed to complement existing platforms and avoid the creation of redundant systems (IFAD, 2021).</t>
  </si>
  <si>
    <r>
      <t xml:space="preserve">Given </t>
    </r>
    <r>
      <rPr>
        <b/>
        <sz val="8"/>
        <color theme="1"/>
        <rFont val="Tw Cen MT"/>
        <family val="2"/>
        <charset val="1"/>
      </rPr>
      <t>low prioritization across all regions</t>
    </r>
    <r>
      <rPr>
        <sz val="8"/>
        <color theme="1"/>
        <rFont val="Tw Cen MT"/>
        <family val="2"/>
        <charset val="1"/>
      </rPr>
      <t xml:space="preserve">, including </t>
    </r>
    <r>
      <rPr>
        <b/>
        <sz val="8"/>
        <color theme="1"/>
        <rFont val="Tw Cen MT"/>
        <family val="2"/>
        <charset val="1"/>
      </rPr>
      <t>SA</t>
    </r>
    <r>
      <rPr>
        <sz val="8"/>
        <color theme="1"/>
        <rFont val="Tw Cen MT"/>
        <family val="2"/>
        <charset val="1"/>
      </rPr>
      <t xml:space="preserve">, </t>
    </r>
    <r>
      <rPr>
        <b/>
        <sz val="8"/>
        <color theme="1"/>
        <rFont val="Tw Cen MT"/>
        <family val="2"/>
        <charset val="1"/>
      </rPr>
      <t>ESA</t>
    </r>
    <r>
      <rPr>
        <sz val="8"/>
        <color theme="1"/>
        <rFont val="Tw Cen MT"/>
        <family val="2"/>
        <charset val="1"/>
      </rPr>
      <t xml:space="preserve">, </t>
    </r>
    <r>
      <rPr>
        <b/>
        <sz val="8"/>
        <color theme="1"/>
        <rFont val="Tw Cen MT"/>
        <family val="2"/>
        <charset val="1"/>
      </rPr>
      <t>SEA</t>
    </r>
    <r>
      <rPr>
        <sz val="8"/>
        <color theme="1"/>
        <rFont val="Tw Cen MT"/>
        <family val="2"/>
        <charset val="1"/>
      </rPr>
      <t xml:space="preserve">, </t>
    </r>
    <r>
      <rPr>
        <b/>
        <sz val="8"/>
        <color theme="1"/>
        <rFont val="Tw Cen MT"/>
        <family val="2"/>
        <charset val="1"/>
      </rPr>
      <t>WCA</t>
    </r>
    <r>
      <rPr>
        <sz val="8"/>
        <color theme="1"/>
        <rFont val="Tw Cen MT"/>
        <family val="2"/>
        <charset val="1"/>
      </rPr>
      <t xml:space="preserve">, and </t>
    </r>
    <r>
      <rPr>
        <b/>
        <sz val="8"/>
        <color theme="1"/>
        <rFont val="Tw Cen MT"/>
        <family val="2"/>
        <charset val="1"/>
      </rPr>
      <t>CWANA</t>
    </r>
    <r>
      <rPr>
        <sz val="8"/>
        <color theme="1"/>
        <rFont val="Tw Cen MT"/>
        <family val="2"/>
        <charset val="1"/>
      </rPr>
      <t>, this HLO is currently a medium- to long-term priority. Foundational investments—such as landscape analyses, relationship-building, and early-stage pilots—may be pursued, but immediate scaling gains are expected to be limited unless bundled with higher-priority HLOs like 1.1 (Demand signaling) and 2.3 (Bundling).</t>
    </r>
  </si>
  <si>
    <t>Current evaluation methods for agrifood innovations rarely integrate climate resilience metrics. Assessments of scalability are often ad hoc, retrospective, and disconnected from real-time adaptation and mitigation needs. Without structured tools, innovations may scale in ways that exacerbate vulnerabilities or ignore local climate contexts (Woltering et al., 2019).</t>
  </si>
  <si>
    <t>A standardized, climate-informed evaluation framework is embedded across CGIAR programs. This system proactively assesses the scalability of innovations in terms of resilience, mitigation potential, equity, and systems fit. Tools are applied iteratively throughout the innovation process to guide adaptive scaling decisions (Glover et al., 2019).</t>
  </si>
  <si>
    <r>
      <t xml:space="preserve">Prioritization scores reflect </t>
    </r>
    <r>
      <rPr>
        <b/>
        <sz val="8"/>
        <color theme="1"/>
        <rFont val="Tw Cen MT"/>
        <family val="2"/>
        <charset val="1"/>
      </rPr>
      <t>high demand</t>
    </r>
    <r>
      <rPr>
        <sz val="8"/>
        <color theme="1"/>
        <rFont val="Tw Cen MT"/>
        <family val="2"/>
        <charset val="1"/>
      </rPr>
      <t xml:space="preserve"> in </t>
    </r>
    <r>
      <rPr>
        <b/>
        <sz val="8"/>
        <color theme="1"/>
        <rFont val="Tw Cen MT"/>
        <family val="2"/>
        <charset val="1"/>
      </rPr>
      <t>SA, SEA, and ESA</t>
    </r>
    <r>
      <rPr>
        <sz val="8"/>
        <color theme="1"/>
        <rFont val="Tw Cen MT"/>
        <family val="2"/>
        <charset val="1"/>
      </rPr>
      <t xml:space="preserve"> where adaptation challenges intersect with complex agroecological and social realities. It is assumed that scaling without robust climate-resilience diagnostics increases the risk of maladaptation. Lower capacity in </t>
    </r>
    <r>
      <rPr>
        <b/>
        <sz val="8"/>
        <color theme="1"/>
        <rFont val="Tw Cen MT"/>
        <family val="2"/>
        <charset val="1"/>
      </rPr>
      <t>WCA and CWANA</t>
    </r>
    <r>
      <rPr>
        <sz val="8"/>
        <color theme="1"/>
        <rFont val="Tw Cen MT"/>
        <family val="2"/>
        <charset val="1"/>
      </rPr>
      <t xml:space="preserve"> may explain weaker uptake or recognition of this HLO’s relevance (Gálvez, 2022; CGIAR, 2023; Schut et al., 2024).</t>
    </r>
  </si>
  <si>
    <t>CGIAR should develop and institutionalize evaluation toolkits that integrate climate adaptation/mitigation indicators. These tools must be built into MELIA systems, aligned with project cycles, and deployed at key decision points. Internal capacity building is required to use evaluation outputs for adaptive portfolio management (HLPE, 2020).</t>
  </si>
  <si>
    <t>External collaboration is needed with think tanks, climate science institutes, and evaluation networks to co-develop and validate methods. Development partners and national stakeholders must be engaged to align assessments with public planning and climate reporting requirements (FAO, 2022; IPCC, 2022).</t>
  </si>
  <si>
    <r>
      <t>SA, SEA, LAC and ESA</t>
    </r>
    <r>
      <rPr>
        <sz val="8"/>
        <color theme="1"/>
        <rFont val="Tw Cen MT"/>
        <family val="2"/>
        <charset val="1"/>
      </rPr>
      <t xml:space="preserve"> should be prioritized for deployment of climate-resilient scaling diagnostics. These regions show both the highest vulnerability and strongest demand for climate-smart innovation scaling. Although </t>
    </r>
    <r>
      <rPr>
        <b/>
        <sz val="8"/>
        <color theme="1"/>
        <rFont val="Tw Cen MT"/>
        <family val="2"/>
        <charset val="1"/>
      </rPr>
      <t>WCA</t>
    </r>
    <r>
      <rPr>
        <sz val="8"/>
        <color theme="1"/>
        <rFont val="Tw Cen MT"/>
        <family val="2"/>
        <charset val="1"/>
      </rPr>
      <t xml:space="preserve"> and </t>
    </r>
    <r>
      <rPr>
        <b/>
        <sz val="8"/>
        <color theme="1"/>
        <rFont val="Tw Cen MT"/>
        <family val="2"/>
        <charset val="1"/>
      </rPr>
      <t>CWANA</t>
    </r>
    <r>
      <rPr>
        <sz val="8"/>
        <color theme="1"/>
        <rFont val="Tw Cen MT"/>
        <family val="2"/>
        <charset val="1"/>
      </rPr>
      <t xml:space="preserve"> show lower readiness, early piloting may help build capacities for climate-informed evaluation systems.</t>
    </r>
  </si>
  <si>
    <t>Agrifood innovations for climate adaptation are often implemented as standalone interventions—such as drought-tolerant seeds or climate advisory tools—without integration into holistic, climate-smart solution bundles. Existing efforts are fragmented, under-resourced, and poorly contextualized, limiting their scalability and long-term impact (Herrero et al., 2021).</t>
  </si>
  <si>
    <t>Ecosystem-specific, climate-resilient innovation bundles are developed, tested, and scaled. These bundles integrate technologies (e.g., resilient varieties), services (e.g., insurance, climate advisories), and enabling conditions (e.g., finance, behavior change communication) tailored to agroecological and socioeconomic contexts (Gálvez, 2022; CGIAR, 2023; Schut et al., 2024).</t>
  </si>
  <si>
    <r>
      <t xml:space="preserve">High priority in </t>
    </r>
    <r>
      <rPr>
        <b/>
        <sz val="8"/>
        <color theme="1"/>
        <rFont val="Tw Cen MT"/>
        <family val="2"/>
        <charset val="1"/>
      </rPr>
      <t>SA, SEA, and LAC</t>
    </r>
    <r>
      <rPr>
        <sz val="8"/>
        <color theme="1"/>
        <rFont val="Tw Cen MT"/>
        <family val="2"/>
        <charset val="1"/>
      </rPr>
      <t xml:space="preserve"> reflects urgent demand for localized climate adaptation bundles. In </t>
    </r>
    <r>
      <rPr>
        <b/>
        <sz val="8"/>
        <color theme="1"/>
        <rFont val="Tw Cen MT"/>
        <family val="2"/>
        <charset val="1"/>
      </rPr>
      <t>ESA</t>
    </r>
    <r>
      <rPr>
        <sz val="8"/>
        <color theme="1"/>
        <rFont val="Tw Cen MT"/>
        <family val="2"/>
        <charset val="1"/>
      </rPr>
      <t xml:space="preserve">, moderate prioritization indicates growing engagement but uneven bundling practices. </t>
    </r>
    <r>
      <rPr>
        <b/>
        <sz val="8"/>
        <color theme="1"/>
        <rFont val="Tw Cen MT"/>
        <family val="2"/>
        <charset val="1"/>
      </rPr>
      <t>WCA and CWANA</t>
    </r>
    <r>
      <rPr>
        <sz val="8"/>
        <color theme="1"/>
        <rFont val="Tw Cen MT"/>
        <family val="2"/>
        <charset val="1"/>
      </rPr>
      <t xml:space="preserve"> score lower, suggesting limited bundling capacity or relevance perceived by regional stakeholders (FAO, 2022; World Bank, 2024).</t>
    </r>
  </si>
  <si>
    <t>CGIAR must prioritize co-development of climate-smart bundles through cross-Center collaboration and local actor engagement. These efforts require harmonized bundling methodologies, knowledge-sharing platforms, and systems to test, adapt, and refine bundles across contexts. Internal alignment with the Climate and Resilience Initiatives is critical (HLPE, 2020).</t>
  </si>
  <si>
    <t>External success hinges on strategic partnerships with national agricultural research systems (NARS), farmer organizations, private input suppliers, and climate finance actors. Multi-stakeholder co-design, validation, and support systems are essential to ensure that bundles meet end-user needs and can be deployed at scale (UNFCCC, 2022; FAO, 2021).</t>
  </si>
  <si>
    <r>
      <t>SA, SEA, and LAC</t>
    </r>
    <r>
      <rPr>
        <sz val="8"/>
        <color theme="1"/>
        <rFont val="Tw Cen MT"/>
        <family val="2"/>
        <charset val="1"/>
      </rPr>
      <t xml:space="preserve"> should be prioritized for scaling climate-smart bundles, given their high vulnerability and stakeholder readiness. </t>
    </r>
    <r>
      <rPr>
        <b/>
        <sz val="8"/>
        <color theme="1"/>
        <rFont val="Tw Cen MT"/>
        <family val="2"/>
        <charset val="1"/>
      </rPr>
      <t>ESA</t>
    </r>
    <r>
      <rPr>
        <sz val="8"/>
        <color theme="1"/>
        <rFont val="Tw Cen MT"/>
        <family val="2"/>
        <charset val="1"/>
      </rPr>
      <t xml:space="preserve"> shows potential for rapid gains with targeted investment, while </t>
    </r>
    <r>
      <rPr>
        <b/>
        <sz val="8"/>
        <color theme="1"/>
        <rFont val="Tw Cen MT"/>
        <family val="2"/>
        <charset val="1"/>
      </rPr>
      <t>WCA and CWANA</t>
    </r>
    <r>
      <rPr>
        <sz val="8"/>
        <color theme="1"/>
        <rFont val="Tw Cen MT"/>
        <family val="2"/>
        <charset val="1"/>
      </rPr>
      <t xml:space="preserve"> require foundational work to build bundling capacity and stakeholder demand for integrated adaptation packages.</t>
    </r>
  </si>
  <si>
    <t>Agrifood system scaling strategies rarely integrate climate adaptation and mitigation coherently. Most approaches are fragmented, short-term, and reactive, focusing on pilot demonstrations rather than system-wide change. Alignment with National Adaptation Plans (NAPs) or Nationally Determined Contributions (NDCs) is often weak or missing (Wigboldus, 2018).</t>
  </si>
  <si>
    <t>Comprehensive scaling strategies are embedded within national climate adaptation and mitigation frameworks. These strategies emphasize systems thinking, coordinate across value chains and sectors, and align with long-term climate goals. CGIAR and partners implement adaptive, inclusive, and data-informed scaling pathways (Gálvez, 2022; CGIAR, 2023; Schut et al., 2024).</t>
  </si>
  <si>
    <r>
      <t>SA, SEA, and LAC</t>
    </r>
    <r>
      <rPr>
        <sz val="8"/>
        <color theme="1"/>
        <rFont val="Tw Cen MT"/>
        <family val="2"/>
        <charset val="1"/>
      </rPr>
      <t xml:space="preserve"> scored highest due to the urgency of climate threats and the need to transition from fragmented efforts to structured scaling strategies. </t>
    </r>
    <r>
      <rPr>
        <b/>
        <sz val="8"/>
        <color theme="1"/>
        <rFont val="Tw Cen MT"/>
        <family val="2"/>
        <charset val="1"/>
      </rPr>
      <t>ESA</t>
    </r>
    <r>
      <rPr>
        <sz val="8"/>
        <color theme="1"/>
        <rFont val="Tw Cen MT"/>
        <family val="2"/>
        <charset val="1"/>
      </rPr>
      <t xml:space="preserve"> has ongoing efforts but requires stronger system orientation. </t>
    </r>
    <r>
      <rPr>
        <b/>
        <sz val="8"/>
        <color theme="1"/>
        <rFont val="Tw Cen MT"/>
        <family val="2"/>
        <charset val="1"/>
      </rPr>
      <t>WCA and CWANA</t>
    </r>
    <r>
      <rPr>
        <sz val="8"/>
        <color theme="1"/>
        <rFont val="Tw Cen MT"/>
        <family val="2"/>
        <charset val="1"/>
      </rPr>
      <t xml:space="preserve"> scored lowest, indicating limited institutional traction and lower integration of scaling with climate strategies (FAO, 2022).</t>
    </r>
  </si>
  <si>
    <t>CGIAR must integrate climate-responsive scaling frameworks into its research pipelines and delivery models. Internal alignment across Initiatives and the mainstreaming of climate adaptation/mitigation into Scaling Readiness tools and MELIA systems are key. Institutional leadership on climate-scaling convergence is needed (Woltering et al., 2019).</t>
  </si>
  <si>
    <t>External partners—including governments, donors, and climate finance institutions—must co-develop national and regional scaling roadmaps linked to NAPs/NDCs. Support is also needed to mobilize long-term financing and enable multistakeholder governance of climate-smart scaling (Green Climate Fund, 2021; IPCC, 2022).</t>
  </si>
  <si>
    <r>
      <t xml:space="preserve">Scaling for Impact should prioritize </t>
    </r>
    <r>
      <rPr>
        <b/>
        <sz val="8"/>
        <color theme="1"/>
        <rFont val="Tw Cen MT"/>
        <family val="2"/>
        <charset val="1"/>
      </rPr>
      <t>SA, SEA, and LAC</t>
    </r>
    <r>
      <rPr>
        <sz val="8"/>
        <color theme="1"/>
        <rFont val="Tw Cen MT"/>
        <family val="2"/>
        <charset val="1"/>
      </rPr>
      <t xml:space="preserve">, where climate urgency aligns with institutional momentum for scaling transformation. In </t>
    </r>
    <r>
      <rPr>
        <b/>
        <sz val="8"/>
        <color theme="1"/>
        <rFont val="Tw Cen MT"/>
        <family val="2"/>
        <charset val="1"/>
      </rPr>
      <t>ESA</t>
    </r>
    <r>
      <rPr>
        <sz val="8"/>
        <color theme="1"/>
        <rFont val="Tw Cen MT"/>
        <family val="2"/>
        <charset val="1"/>
      </rPr>
      <t xml:space="preserve">, coordinated scaling strategies can reinforce emerging climate efforts. </t>
    </r>
    <r>
      <rPr>
        <b/>
        <sz val="8"/>
        <color theme="1"/>
        <rFont val="Tw Cen MT"/>
        <family val="2"/>
        <charset val="1"/>
      </rPr>
      <t>WCA and CWANA</t>
    </r>
    <r>
      <rPr>
        <sz val="8"/>
        <color theme="1"/>
        <rFont val="Tw Cen MT"/>
        <family val="2"/>
        <charset val="1"/>
      </rPr>
      <t xml:space="preserve"> require foundational investments in institutional awareness, capacity, and cross-sector alignment.</t>
    </r>
  </si>
  <si>
    <t>Diagnostic tools and processes that assess climate-specific barriers to scaling are poorly institutionalized across most regions. Where they exist, they tend to be general or sectoral, lacking climate vulnerability, governance, or finance lenses. As a result, CGIAR and national programs struggle to align innovations with enabling conditions for climate-smart scaling (World Bank, 2024).</t>
  </si>
  <si>
    <t>Institutionalized and iterative diagnostics identify regulatory, financial, institutional, and social barriers to climate-smart scaling. These diagnostics are embedded in program design and national planning cycles and aligned with climate risk and vulnerability assessments to ensure that scaling efforts target systemic constraints (FAO, 2022).</t>
  </si>
  <si>
    <r>
      <t>SA and SEA</t>
    </r>
    <r>
      <rPr>
        <sz val="8"/>
        <color theme="1"/>
        <rFont val="Tw Cen MT"/>
        <family val="2"/>
        <charset val="1"/>
      </rPr>
      <t xml:space="preserve"> show the greatest need for climate-informed diagnostics due to high climate vulnerability, fragmented governance, and weak policy integration. </t>
    </r>
    <r>
      <rPr>
        <b/>
        <sz val="8"/>
        <color theme="1"/>
        <rFont val="Tw Cen MT"/>
        <family val="2"/>
        <charset val="1"/>
      </rPr>
      <t>ESA</t>
    </r>
    <r>
      <rPr>
        <sz val="8"/>
        <color theme="1"/>
        <rFont val="Tw Cen MT"/>
        <family val="2"/>
        <charset val="1"/>
      </rPr>
      <t xml:space="preserve"> shows moderate traction through some emerging diagnostic work. </t>
    </r>
    <r>
      <rPr>
        <b/>
        <sz val="8"/>
        <color theme="1"/>
        <rFont val="Tw Cen MT"/>
        <family val="2"/>
        <charset val="1"/>
      </rPr>
      <t>WCA and CWANA</t>
    </r>
    <r>
      <rPr>
        <sz val="8"/>
        <color theme="1"/>
        <rFont val="Tw Cen MT"/>
        <family val="2"/>
        <charset val="1"/>
      </rPr>
      <t xml:space="preserve"> scored low, indicating limited diagnostic capacity or policy uptake (Gálvez, 2022; CGIAR, 2023; Schut et al., 2024).</t>
    </r>
  </si>
  <si>
    <t>CGIAR must co-develop and institutionalize climate-smart diagnostic frameworks across Initiatives, ensuring these are tied to Scaling Readiness and MELIA systems. Diagnostics should assess factors like climate finance readiness, policy coherence, and inclusivity. These tools must be adaptable to regional contexts and support prioritization of climate-responsive interventions (UNEP, 2021).</t>
  </si>
  <si>
    <t>National governments and climate policy platforms must embed CGIAR-supported diagnostics into National Adaptation Plans (NAPs) and other instruments. External collaboration is essential with regional climate observatories, adaptation hubs, and donors who can translate diagnostic insights into enabling policy and investment reform (WMO, 2022; UNESCAP, 2023).</t>
  </si>
  <si>
    <r>
      <t>SA and SEA</t>
    </r>
    <r>
      <rPr>
        <sz val="8"/>
        <color theme="1"/>
        <rFont val="Tw Cen MT"/>
        <family val="2"/>
        <charset val="1"/>
      </rPr>
      <t xml:space="preserve"> should be the highest priority for CGIAR support to strengthen diagnostic capacity for scaling climate-smart solutions. In </t>
    </r>
    <r>
      <rPr>
        <b/>
        <sz val="8"/>
        <color theme="1"/>
        <rFont val="Tw Cen MT"/>
        <family val="2"/>
        <charset val="1"/>
      </rPr>
      <t>ESA</t>
    </r>
    <r>
      <rPr>
        <sz val="8"/>
        <color theme="1"/>
        <rFont val="Tw Cen MT"/>
        <family val="2"/>
        <charset val="1"/>
      </rPr>
      <t xml:space="preserve">, targeted partnerships can reinforce emerging diagnostic platforms. In </t>
    </r>
    <r>
      <rPr>
        <b/>
        <sz val="8"/>
        <color theme="1"/>
        <rFont val="Tw Cen MT"/>
        <family val="2"/>
        <charset val="1"/>
      </rPr>
      <t>WCA and CWANA</t>
    </r>
    <r>
      <rPr>
        <sz val="8"/>
        <color theme="1"/>
        <rFont val="Tw Cen MT"/>
        <family val="2"/>
        <charset val="1"/>
      </rPr>
      <t>, CGIAR should invest in foundational awareness-raising and pilot diagnostics to demonstrate relevance and build entry points.</t>
    </r>
  </si>
  <si>
    <t>Support services critical to scaling climate-smart innovations—such as insurance, climate finance, legal advisory, and technical assistance—are highly fragmented, underfunded, or inaccessible to vulnerable farmers and communities. Most CGIAR-linked projects rely on ad hoc partnerships, and public sector systems often lack the infrastructure and incentives to provide timely, localized support (FAO, 2022).</t>
  </si>
  <si>
    <t>Functional, inclusive ecosystems of climate-smart support services are developed and institutionalized. These ecosystems deliver bundled services—insurance, financial instruments, technical advisory, early warning access—tailored to the needs of vulnerable populations and aligned with climate adaptation and mitigation goals (IFAD, 2021).</t>
  </si>
  <si>
    <r>
      <t>SA and SEA</t>
    </r>
    <r>
      <rPr>
        <sz val="8"/>
        <color theme="1"/>
        <rFont val="Tw Cen MT"/>
        <family val="2"/>
        <charset val="1"/>
      </rPr>
      <t xml:space="preserve"> scored highest due to the critical gaps in climate finance access, limited insurance penetration, and weak advisory service ecosystems. </t>
    </r>
    <r>
      <rPr>
        <b/>
        <sz val="8"/>
        <color theme="1"/>
        <rFont val="Tw Cen MT"/>
        <family val="2"/>
        <charset val="1"/>
      </rPr>
      <t>ESA</t>
    </r>
    <r>
      <rPr>
        <sz val="8"/>
        <color theme="1"/>
        <rFont val="Tw Cen MT"/>
        <family val="2"/>
        <charset val="1"/>
      </rPr>
      <t xml:space="preserve"> presents moderate opportunity due to emerging platforms and donor engagement. </t>
    </r>
    <r>
      <rPr>
        <b/>
        <sz val="8"/>
        <color theme="1"/>
        <rFont val="Tw Cen MT"/>
        <family val="2"/>
        <charset val="1"/>
      </rPr>
      <t>WCA and CWANA</t>
    </r>
    <r>
      <rPr>
        <sz val="8"/>
        <color theme="1"/>
        <rFont val="Tw Cen MT"/>
        <family val="2"/>
        <charset val="1"/>
      </rPr>
      <t xml:space="preserve"> scored lowest, reflecting either systemic service delivery barriers or lower prioritization of climate-aligned service provision (Gálvez, 2022; CGIAR, 2023; Schut et al., 2024).</t>
    </r>
  </si>
  <si>
    <t>CGIAR must work with Initiatives to map existing service gaps and develop models for bundling climate-relevant services into scaling programs. Internal coordination should focus on integrating support services into innovation delivery mechanisms and fostering partnerships with MELIA systems to monitor service uptake and effectiveness (UNFCCC, 2022).</t>
  </si>
  <si>
    <t>Externally, CGIAR should collaborate with global and regional microinsurance providers, rural climate finance platforms, and advisory extension networks to pilot and scale bundled services. National governments must also align regulatory frameworks and incentivize private sector engagement in climate-responsive service delivery (World Bank, 2020; IFAD, 2021).</t>
  </si>
  <si>
    <r>
      <t>SA and SEA</t>
    </r>
    <r>
      <rPr>
        <sz val="8"/>
        <color theme="1"/>
        <rFont val="Tw Cen MT"/>
        <family val="2"/>
        <charset val="1"/>
      </rPr>
      <t xml:space="preserve"> require urgent and targeted support to develop bundled, climate-smart services that reach vulnerable populations. In </t>
    </r>
    <r>
      <rPr>
        <b/>
        <sz val="8"/>
        <color theme="1"/>
        <rFont val="Tw Cen MT"/>
        <family val="2"/>
        <charset val="1"/>
      </rPr>
      <t>ESA</t>
    </r>
    <r>
      <rPr>
        <sz val="8"/>
        <color theme="1"/>
        <rFont val="Tw Cen MT"/>
        <family val="2"/>
        <charset val="1"/>
      </rPr>
      <t xml:space="preserve">, investments should build on existing service ecosystems and donor partnerships. In </t>
    </r>
    <r>
      <rPr>
        <b/>
        <sz val="8"/>
        <color theme="1"/>
        <rFont val="Tw Cen MT"/>
        <family val="2"/>
        <charset val="1"/>
      </rPr>
      <t>WCA and CWANA</t>
    </r>
    <r>
      <rPr>
        <sz val="8"/>
        <color theme="1"/>
        <rFont val="Tw Cen MT"/>
        <family val="2"/>
        <charset val="1"/>
      </rPr>
      <t>, foundational service diagnostics and awareness campaigns may be required before moving toward bundled support system development.</t>
    </r>
  </si>
  <si>
    <t>Existing science-policy partnerships rarely prioritize climate adaptation and mitigation in a systematic way. Interactions between CGIAR researchers and national policymakers are often ad hoc or project-based, lacking formal platforms or sustained engagement on climate resilience and innovation scaling. This results in weak policy uptake of CGIAR climate innovations and limited co-design of adaptation strategies (Diao et al., 2023).</t>
  </si>
  <si>
    <t>Formalized, trusted platforms are established to connect CGIAR scientists, national governments, and climate policymakers. These platforms enable two-way communication, co-design of climate-smart policies, evidence-informed decision-making, and institutional learning across scaling programs for adaptation and mitigation (Gálvez, 2022; CGIAR, 2023; Schut et al., 2024).</t>
  </si>
  <si>
    <t>SA and SEA are scored as highest priority regions due to their vulnerability to climate extremes, ongoing climate policy development (e.g., NAPs, NDCs), and the lack of institutionalized science-policy interfaces. ESA presents moderate opportunity. WCA and CWANA scored lower, likely due to less active national adaptation agendas or limited CGIAR-policy engagement in these regions (FAO, 2022; World Bank, 2024).</t>
  </si>
  <si>
    <t>CGIAR must develop internal policy engagement capacities, including training researchers in policy communication and advocacy. A clear strategy is needed to embed policy influence goals into program design, and to integrate scientific evidence from adaptation pilots into national scaling policy frameworks (UNESCAP, 2023).</t>
  </si>
  <si>
    <t>Collaborations with ministries of environment, agriculture, and planning are critical. Governments should support the creation of CGIAR-linked climate policy working groups, integrate CGIAR findings into climate strategies, and fund joint agenda-setting processes. International organizations can catalyze these interfaces by convening regional dialogues and policy communities (World Bank, 2024; UNFCCC, 2022).</t>
  </si>
  <si>
    <r>
      <t>SA and SEA</t>
    </r>
    <r>
      <rPr>
        <sz val="8"/>
        <color theme="1"/>
        <rFont val="Tw Cen MT"/>
        <family val="2"/>
        <charset val="1"/>
      </rPr>
      <t xml:space="preserve"> are priority regions for strengthening CGIAR’s role in shaping climate scaling policy through institutionalized science-policy interfaces. </t>
    </r>
    <r>
      <rPr>
        <b/>
        <sz val="8"/>
        <color theme="1"/>
        <rFont val="Tw Cen MT"/>
        <family val="2"/>
        <charset val="1"/>
      </rPr>
      <t>ESA</t>
    </r>
    <r>
      <rPr>
        <sz val="8"/>
        <color theme="1"/>
        <rFont val="Tw Cen MT"/>
        <family val="2"/>
        <charset val="1"/>
      </rPr>
      <t xml:space="preserve"> should be supported to build on existing structures. In </t>
    </r>
    <r>
      <rPr>
        <b/>
        <sz val="8"/>
        <color theme="1"/>
        <rFont val="Tw Cen MT"/>
        <family val="2"/>
        <charset val="1"/>
      </rPr>
      <t>WCA and CWANA</t>
    </r>
    <r>
      <rPr>
        <sz val="8"/>
        <color theme="1"/>
        <rFont val="Tw Cen MT"/>
        <family val="2"/>
        <charset val="1"/>
      </rPr>
      <t>, groundwork is needed through awareness-building, relationship development, and alignment with broader climate governance initiatives.</t>
    </r>
  </si>
  <si>
    <t>CGIAR’s climate adaptation and mitigation innovations are not systematically embedded in large-scale public or multilateral climate programs. Partnerships with national and regional investment programs are fragmented, short-term, and often limited to pilot phases. As a result, opportunities for broader uptake and funding of climate-smart technologies remain underutilized (Gálvez, 2022; CGIAR, 2023; Schut et al., 2024).</t>
  </si>
  <si>
    <t>CGIAR innovations and evidence directly inform the design, implementation, and scaling of national adaptation plans (NAPs), nationally determined contributions (NDCs), and multilateral climate investments. Long-term, institutionalized partnerships are established with ministries, IFIs, climate funds, and private investors to co-develop and scale climate-resilient innovations across geographies (IFPRI, 2023; FAO, 2022).</t>
  </si>
  <si>
    <t>SA, SEA, and LAC scored highest due to strong climate adaptation agendas, growing demand for scalable solutions, and alignment with global climate finance. However, CGIAR engagement in these regions is still evolving. It is assumed that institutional gaps, capacity constraints, and limited joint planning mechanisms hinder more systematic integration of CGIAR expertise in climate investment programs (World Bank, 2024; UNESCAP, 2023).</t>
  </si>
  <si>
    <t>Internally, CGIAR must develop structured engagement protocols and advisory frameworks for embedding climate-smart innovations into large-scale programs. Staff capacity in investment design, policy alignment, and cross-sector coordination needs strengthening. CGIAR must also establish climate-smart investment playbooks to support country teams in engaging public and private actors (Woltering et al., 2019).</t>
  </si>
  <si>
    <t>External success requires forging multi-stakeholder platforms and formal MOUs between CGIAR and government ministries, development banks (e.g., World Bank, GCF), and private climate investors. Stronger linkages with national climate plans and budgetary processes are essential. Engagement through global platforms like the UNFCCC (COP) can enhance visibility and uptake of CGIAR innovation portfolios (UNFCCC, 2022; Green Climate Fund, 2021).</t>
  </si>
  <si>
    <r>
      <t>SA, SEA, and LAC</t>
    </r>
    <r>
      <rPr>
        <sz val="8"/>
        <color theme="1"/>
        <rFont val="Tw Cen MT"/>
        <family val="2"/>
        <charset val="1"/>
      </rPr>
      <t xml:space="preserve"> are top-priority regions for embedding CGIAR innovations into climate investment frameworks. These regions have active climate policy and financing environments that align well with CGIAR’s scaling goals. </t>
    </r>
    <r>
      <rPr>
        <b/>
        <sz val="8"/>
        <color theme="1"/>
        <rFont val="Tw Cen MT"/>
        <family val="2"/>
        <charset val="1"/>
      </rPr>
      <t>ESA</t>
    </r>
    <r>
      <rPr>
        <sz val="8"/>
        <color theme="1"/>
        <rFont val="Tw Cen MT"/>
        <family val="2"/>
        <charset val="1"/>
      </rPr>
      <t xml:space="preserve"> shows moderate opportunity, while </t>
    </r>
    <r>
      <rPr>
        <b/>
        <sz val="8"/>
        <color theme="1"/>
        <rFont val="Tw Cen MT"/>
        <family val="2"/>
        <charset val="1"/>
      </rPr>
      <t>WCA and CWANA</t>
    </r>
    <r>
      <rPr>
        <sz val="8"/>
        <color theme="1"/>
        <rFont val="Tw Cen MT"/>
        <family val="2"/>
        <charset val="1"/>
      </rPr>
      <t xml:space="preserve"> need foundational engagement, awareness building, and partnership brokering to enable future integration.</t>
    </r>
  </si>
  <si>
    <t>Existing scaling hubs across CGIAR are limited in their ability to integrate climate-smart innovation portfolios. Most do not specialize in climate adaptation or mitigation and often lack dedicated staff, tools, or regional linkages to support ecosystem-wide scaling for climate resilience (Gálvez, 2022; CGIAR, 2023; Schut et al., 2024).</t>
  </si>
  <si>
    <t>Fully functional climate-smart scaling hubs that operate across regions and programs, supporting the curation, contextualization, and deployment of innovations that enhance resilience and reduce emissions. These hubs serve as knowledge nodes, technical backstops, and conveners of public-private networks for accelerating climate-oriented scaling (World Bank, 2024).</t>
  </si>
  <si>
    <r>
      <t xml:space="preserve">Based on the KBP exercise, </t>
    </r>
    <r>
      <rPr>
        <b/>
        <sz val="8"/>
        <color theme="1"/>
        <rFont val="Tw Cen MT"/>
        <family val="2"/>
        <charset val="1"/>
      </rPr>
      <t>SA, SEA, and LAC</t>
    </r>
    <r>
      <rPr>
        <sz val="8"/>
        <color theme="1"/>
        <rFont val="Tw Cen MT"/>
        <family val="2"/>
        <charset val="1"/>
      </rPr>
      <t xml:space="preserve"> are considered priority regions due to rising climate vulnerabilities and active climate policy frameworks. The absence of specialized scaling hubs in these regions limits CGIAR’s capacity to coordinate delivery efforts aligned with national climate plans and multilateral investments.</t>
    </r>
  </si>
  <si>
    <t>Internally, CGIAR must invest in upgrading existing hubs or establishing new regional platforms that explicitly integrate climate priorities. This includes developing climate-smart innovation repositories, staff training in resilience assessment and carbon accounting, and mainstreaming climate metrics into scaling tools and dashboards (UNESCAP, 2023; Woltering et al., 2019).</t>
  </si>
  <si>
    <t>External success requires coordinated engagement with national agricultural research and extension systems (NARES), climate funds (e.g., GCF, IFAD), and innovation intermediaries. Hubs must secure long-term financing and be linked to national climate policy bodies, including ministries of environment and agriculture, and be aligned with global climate action platforms (Green Climate Fund, 2021; UNFCCC, 2022).</t>
  </si>
  <si>
    <r>
      <t>SA, SEA, and LAC</t>
    </r>
    <r>
      <rPr>
        <sz val="8"/>
        <color theme="1"/>
        <rFont val="Tw Cen MT"/>
        <family val="2"/>
        <charset val="1"/>
      </rPr>
      <t xml:space="preserve"> require immediate establishment or upgrading of regional climate-focused scaling hubs. These regions face complex climate risks and house large smallholder populations needing tailored innovation delivery. </t>
    </r>
    <r>
      <rPr>
        <b/>
        <sz val="8"/>
        <color theme="1"/>
        <rFont val="Tw Cen MT"/>
        <family val="2"/>
        <charset val="1"/>
      </rPr>
      <t>ESA</t>
    </r>
    <r>
      <rPr>
        <sz val="8"/>
        <color theme="1"/>
        <rFont val="Tw Cen MT"/>
        <family val="2"/>
        <charset val="1"/>
      </rPr>
      <t xml:space="preserve"> is moderately prepared but still needs functional integration. </t>
    </r>
    <r>
      <rPr>
        <b/>
        <sz val="8"/>
        <color theme="1"/>
        <rFont val="Tw Cen MT"/>
        <family val="2"/>
        <charset val="1"/>
      </rPr>
      <t>WCA and CWANA</t>
    </r>
    <r>
      <rPr>
        <sz val="8"/>
        <color theme="1"/>
        <rFont val="Tw Cen MT"/>
        <family val="2"/>
        <charset val="1"/>
      </rPr>
      <t xml:space="preserve"> will benefit from knowledge exchange and hub replication models adapted to their climate and institutional contexts.</t>
    </r>
  </si>
  <si>
    <t>Scaling science within CGIAR has yet to fully integrate climate adaptation and mitigation as core analytical dimensions. Few platforms or methodologies explicitly link climate resilience metrics with scaling frameworks, and South-South exchanges remain ad hoc and fragmented. Current models often overlook the complex systems thinking required to scale climate innovations equitably across geographies (Woltering et al., 2019; IFAD, 2021).</t>
  </si>
  <si>
    <t>Climate-resilient scaling science becomes institutionalized across CGIAR programs, with evidence-based tools, scenario modeling, and risk analytics embedded into research pipelines. Regular South-South exchange mechanisms facilitate the diffusion and contextualization of climate-smart innovations across vulnerable regions. Scaling science supports adaptive management, systems transformation, and anticipatory action (FAO &amp; WEF, 2022; CGIAR, 2023).</t>
  </si>
  <si>
    <r>
      <t xml:space="preserve">The KBP exercise indicates </t>
    </r>
    <r>
      <rPr>
        <b/>
        <sz val="8"/>
        <color theme="1"/>
        <rFont val="Tw Cen MT"/>
        <family val="2"/>
        <charset val="1"/>
      </rPr>
      <t>very low maturity across all regions</t>
    </r>
    <r>
      <rPr>
        <sz val="8"/>
        <color theme="1"/>
        <rFont val="Tw Cen MT"/>
        <family val="2"/>
        <charset val="1"/>
      </rPr>
      <t xml:space="preserve">, but </t>
    </r>
    <r>
      <rPr>
        <b/>
        <sz val="8"/>
        <color theme="1"/>
        <rFont val="Tw Cen MT"/>
        <family val="2"/>
        <charset val="1"/>
      </rPr>
      <t>SA</t>
    </r>
    <r>
      <rPr>
        <sz val="8"/>
        <color theme="1"/>
        <rFont val="Tw Cen MT"/>
        <family val="2"/>
        <charset val="1"/>
      </rPr>
      <t xml:space="preserve"> holds the highest strategic priority, followed by </t>
    </r>
    <r>
      <rPr>
        <b/>
        <sz val="8"/>
        <color theme="1"/>
        <rFont val="Tw Cen MT"/>
        <family val="2"/>
        <charset val="1"/>
      </rPr>
      <t>SEA</t>
    </r>
    <r>
      <rPr>
        <sz val="8"/>
        <color theme="1"/>
        <rFont val="Tw Cen MT"/>
        <family val="2"/>
        <charset val="1"/>
      </rPr>
      <t xml:space="preserve"> and </t>
    </r>
    <r>
      <rPr>
        <b/>
        <sz val="8"/>
        <color theme="1"/>
        <rFont val="Tw Cen MT"/>
        <family val="2"/>
        <charset val="1"/>
      </rPr>
      <t>LAC</t>
    </r>
    <r>
      <rPr>
        <sz val="8"/>
        <color theme="1"/>
        <rFont val="Tw Cen MT"/>
        <family val="2"/>
        <charset val="1"/>
      </rPr>
      <t>. This reflects their vulnerability to climate impacts, need for anticipatory scaling models, and their emerging national climate research ecosystems. It is assumed that institutional capacity to operationalize scaling science remains weak without strategic investments (Gálvez, 2022; CGIAR, 2023; Schut et al., 2024).</t>
    </r>
  </si>
  <si>
    <t>CGIAR must invest in scaling science curricula, dedicated research tracks, and institutional platforms that mainstream climate adaptation and mitigation analytics. Tools must link innovation characteristics to system resilience indicators. Internal capacity-building should extend to Monitoring, Evaluation, Learning, and Impact Assessment (MELIA) teams, enabling them to generate climate-informed scaling insights (UNEP, 2021; CGIAR, 2023).</t>
  </si>
  <si>
    <t>Collaboration with academic partners and climate-specialized think tanks is critical to anchor scaling science in robust evidence. South-South learning mechanisms should be formalized through global cooperation platforms, engaging institutions like the African Union, ASEAN, and regional CGIAR partners. Donor support from GCF, IFAD, and FAO will be essential to sustain exchange programs (UNFCCC, 2022; World Bank, 2024).</t>
  </si>
  <si>
    <r>
      <t>SA</t>
    </r>
    <r>
      <rPr>
        <sz val="8"/>
        <color theme="1"/>
        <rFont val="Tw Cen MT"/>
        <family val="2"/>
        <charset val="1"/>
      </rPr>
      <t xml:space="preserve"> requires immediate integration of climate-smart scaling science into national and CGIAR programming. </t>
    </r>
    <r>
      <rPr>
        <b/>
        <sz val="8"/>
        <color theme="1"/>
        <rFont val="Tw Cen MT"/>
        <family val="2"/>
        <charset val="1"/>
      </rPr>
      <t>SEA and LAC</t>
    </r>
    <r>
      <rPr>
        <sz val="8"/>
        <color theme="1"/>
        <rFont val="Tw Cen MT"/>
        <family val="2"/>
        <charset val="1"/>
      </rPr>
      <t xml:space="preserve"> should be targeted for pilot exchange platforms that facilitate innovation transfer across similar agroecological zones. While </t>
    </r>
    <r>
      <rPr>
        <b/>
        <sz val="8"/>
        <color theme="1"/>
        <rFont val="Tw Cen MT"/>
        <family val="2"/>
        <charset val="1"/>
      </rPr>
      <t>ESA</t>
    </r>
    <r>
      <rPr>
        <sz val="8"/>
        <color theme="1"/>
        <rFont val="Tw Cen MT"/>
        <family val="2"/>
        <charset val="1"/>
      </rPr>
      <t xml:space="preserve"> shows moderate readiness, </t>
    </r>
    <r>
      <rPr>
        <b/>
        <sz val="8"/>
        <color theme="1"/>
        <rFont val="Tw Cen MT"/>
        <family val="2"/>
        <charset val="1"/>
      </rPr>
      <t>WCA and CWANA</t>
    </r>
    <r>
      <rPr>
        <sz val="8"/>
        <color theme="1"/>
        <rFont val="Tw Cen MT"/>
        <family val="2"/>
        <charset val="1"/>
      </rPr>
      <t xml:space="preserve"> should be engaged through South-South learning networks to build capacity over time.</t>
    </r>
  </si>
  <si>
    <t>Impact evaluations within CGIAR seldom assess the adaptation or mitigation outcomes of scaled innovations. Existing assessments are typically limited to productivity or economic metrics, and do not systematically capture resilience outcomes, emission reductions, or system-level climate benefits. This gap limits learning, undermines accountability, and hinders climate-smart decision-making (Rogers et al., 2021).</t>
  </si>
  <si>
    <t>Rigorous and systematic impact assessment frameworks are in place to evaluate the effectiveness of scaled agrifood innovations in contributing to climate adaptation and mitigation goals. These frameworks use climate-relevant indicators (e.g., vulnerability reduction, emissions avoided) and feed into learning loops for research and policy refinement (IFPRI, 2023; IPCC, 2022).</t>
  </si>
  <si>
    <r>
      <t xml:space="preserve">The KBP exercise indicates that </t>
    </r>
    <r>
      <rPr>
        <b/>
        <sz val="8"/>
        <color theme="1"/>
        <rFont val="Tw Cen MT"/>
        <family val="2"/>
        <charset val="1"/>
      </rPr>
      <t>SA and ESA</t>
    </r>
    <r>
      <rPr>
        <sz val="8"/>
        <color theme="1"/>
        <rFont val="Tw Cen MT"/>
        <family val="2"/>
        <charset val="1"/>
      </rPr>
      <t xml:space="preserve"> have the highest needs and strategic value for climate-focused impact evaluations due to their exposure to extreme events and investment in adaptation innovations. It is assumed that data infrastructure, evaluation capacity, and MELIA systems are insufficient to track climate impacts consistently across regions (Gálvez, 2022; CGIAR, 2023; Schut et al., 2024).</t>
    </r>
  </si>
  <si>
    <t>CGIAR must update MELIA frameworks to include standardized indicators and methods for assessing climate adaptation and mitigation results. Evaluation should be integrated into program design and include both outcome- and process-level metrics. Investments are needed in training evaluators and leveraging remote sensing, big data, and scenario tools for climate analytics (3ie, 2022; UNEP, 2021).</t>
  </si>
  <si>
    <t>Strategic partnerships should be established with climate-focused evaluation networks (e.g., IPCC-affiliated consortia, 3ie), national statistical offices, and academic institutions. External funders should be engaged to support long-term, independent assessments of climate outcomes from CGIAR-supported scaling efforts (FAO, 2022; World Bank, 2024).</t>
  </si>
  <si>
    <r>
      <t>SA and ESA</t>
    </r>
    <r>
      <rPr>
        <sz val="8"/>
        <color theme="1"/>
        <rFont val="Tw Cen MT"/>
        <family val="2"/>
        <charset val="1"/>
      </rPr>
      <t xml:space="preserve"> require urgent institutionalization of climate-related impact assessments to ensure that scaling efforts contribute meaningfully to resilience goals. </t>
    </r>
    <r>
      <rPr>
        <b/>
        <sz val="8"/>
        <color theme="1"/>
        <rFont val="Tw Cen MT"/>
        <family val="2"/>
        <charset val="1"/>
      </rPr>
      <t>SEA and LAC</t>
    </r>
    <r>
      <rPr>
        <sz val="8"/>
        <color theme="1"/>
        <rFont val="Tw Cen MT"/>
        <family val="2"/>
        <charset val="1"/>
      </rPr>
      <t xml:space="preserve">, while moderately prioritized, present opportunities for piloting climate-smart evaluations. </t>
    </r>
    <r>
      <rPr>
        <b/>
        <sz val="8"/>
        <color theme="1"/>
        <rFont val="Tw Cen MT"/>
        <family val="2"/>
        <charset val="1"/>
      </rPr>
      <t>WCA and CWANA</t>
    </r>
    <r>
      <rPr>
        <sz val="8"/>
        <color theme="1"/>
        <rFont val="Tw Cen MT"/>
        <family val="2"/>
        <charset val="1"/>
      </rPr>
      <t xml:space="preserve"> remain lower-priority regions for this HLO currently, but would benefit from inclusion in global learning platforms and capacity-building efforts.</t>
    </r>
  </si>
  <si>
    <t>Existing analytics systems for managing agrifood innovation portfolios rarely incorporate climate adaptation or mitigation filters. Decision-making tools often emphasize productivity or scaling potential without assessing climate risk exposure, ecosystem suitability, or carbon intensity. This limits CGIAR’s ability to strategically prioritize innovations based on resilience, emissions reduction potential, or co-benefits (World Bank, 2024).</t>
  </si>
  <si>
    <t>CGIAR and partner organizations systematically use climate-smart analytics and decision-support tools to manage innovation portfolios. These tools integrate geospatial data, scenario modeling, and climate vulnerability indicators to guide investment in high-impact, climate-aligned innovations (Gálvez, 2022; CGIAR, 2023; Schut et al., 2024).</t>
  </si>
  <si>
    <t>SA, SEA, and ESA were identified as high-priority regions needing urgent strengthening of analytics capacity. It is assumed that existing tools lack customization for climate variables, and local systems are often under-resourced in data science capabilities. Meanwhile, WCA and CWANA currently register as lower priority for this HLO due to limited existing analytics applications and fewer climate-relevant programs (FAO, 2022).</t>
  </si>
  <si>
    <t>CGIAR must enhance internal capacity for climate-smart portfolio analysis by integrating climate filters into existing MELIA systems. This includes developing or adapting tools that combine climate risk maps, agroecological zoning, and innovation readiness data. Training programs on climate-data interpretation and analytics must target research managers and decision-makers (Green Climate Fund, 2021).</t>
  </si>
  <si>
    <t>External collaboration with GIS platforms, climate analytics startups, and AI-driven tools is necessary. Partnerships with national meteorological agencies, open-source data providers (e.g., SERVIR, Copernicus), and regional academic institutions will ensure contextualization of analytics. Support from climate donors and tech foundations will be critical for tool development and deployment (UNESCAP, 2023).</t>
  </si>
  <si>
    <r>
      <t>SA, SEA, and ESA</t>
    </r>
    <r>
      <rPr>
        <sz val="8"/>
        <color theme="1"/>
        <rFont val="Tw Cen MT"/>
        <family val="2"/>
        <charset val="1"/>
      </rPr>
      <t xml:space="preserve"> are high-priority regions for deploying climate-integrated innovation analytics, given their exposure to climate risks and need for informed scaling decisions. Early investment in climate-smart dashboards, scenario modeling, and localized decision-support systems will be essential. </t>
    </r>
    <r>
      <rPr>
        <b/>
        <sz val="8"/>
        <color theme="1"/>
        <rFont val="Tw Cen MT"/>
        <family val="2"/>
        <charset val="1"/>
      </rPr>
      <t>LAC</t>
    </r>
    <r>
      <rPr>
        <sz val="8"/>
        <color theme="1"/>
        <rFont val="Tw Cen MT"/>
        <family val="2"/>
        <charset val="1"/>
      </rPr>
      <t xml:space="preserve"> shows moderate relevance. </t>
    </r>
    <r>
      <rPr>
        <b/>
        <sz val="8"/>
        <color theme="1"/>
        <rFont val="Tw Cen MT"/>
        <family val="2"/>
        <charset val="1"/>
      </rPr>
      <t>WCA and CWANA</t>
    </r>
    <r>
      <rPr>
        <sz val="8"/>
        <color theme="1"/>
        <rFont val="Tw Cen MT"/>
        <family val="2"/>
        <charset val="1"/>
      </rPr>
      <t xml:space="preserve"> are lower-priority but should be engaged through shared platforms and regional analytics capacity-building efforts.</t>
    </r>
  </si>
  <si>
    <t>Environmental Indicators</t>
  </si>
  <si>
    <t>Demand for environmental health within agri-food systems remains weak across regions, with few formalized mechanisms to capture emerging risks or ecological degradation signals. Where demand systems do exist, they are disconnected from agricultural innovation planning and lack the capacity to respond to localized environmental stressors such as biodiversity loss, deforestation, and soil degradation (FAO, 2022; UNEP, 2021).</t>
  </si>
  <si>
    <t>Robust, participatory demand systems that proactively identify environmental health threats and scaling opportunities. These systems are integrated with early warning mechanisms, local ecological knowledge, and foresight tools to shape CGIAR’s innovation and investment pipeline toward sustainability objectives (IPBES, 2019).</t>
  </si>
  <si>
    <t>Environmental demand signaling mechanisms are generally underdeveloped. Higher scores in SA, SEA, and LAC reflect increasing urgency to integrate environmental intelligence into agricultural decision-making systems. Lower scores in CWANA and WCA suggest systemic neglect of ecosystem signals and weak institutional responsiveness (Gálvez, 2022; CGIAR, 2023; Schut et al., 2024).</t>
  </si>
  <si>
    <t>CGIAR must strengthen its internal foresight, monitoring, and environmental analytics capacities. This includes embedding biodiversity and ecosystem alert systems in its research prioritization frameworks, aligning MELIA systems to track ecological stressors, and developing protocols for incorporating environmental demand into innovation design (HLPE, 2020).</t>
  </si>
  <si>
    <t>External efforts must focus on partnering with environmental NGOs, Indigenous knowledge networks, and ministries of environment. Collaboration should also extend to meteorological and geospatial agencies to build data-sharing systems capable of detecting and responding to environmental health threats (World Bank, 2020).</t>
  </si>
  <si>
    <t>SA, SEA, and LAC emerge as top priorities for CGIAR’s demand signaling reform in this impact area. These regions face escalating biodiversity loss and environmental degradation yet lack integrated systems to translate these into demand signals for sustainable innovations. Building participatory, real-time environmental demand systems is essential to redirect CGIAR investments toward ecological integrity and nature-positive outcomes.</t>
  </si>
  <si>
    <t>Environmental degradation and biodiversity loss are rarely factored into real-time research adaptation processes. Feedback mechanisms that could inform CGIAR’s environmental R&amp;D are either absent or limited to project-level assessments. Without dynamic learning systems, innovations continue to scale without regard for environmental thresholds or ecological trade-offs (UNEP, 2021; World Bank, 2024).</t>
  </si>
  <si>
    <t>Research-for-development operates as a living system, continuously adapting to emerging environmental risks and lessons from implementation. CGIAR Initiatives routinely integrate signals from ecological monitoring, Indigenous knowledge, and local conservation actors into their adaptive cycles—ensuring environmental responsiveness and impact (IPCC, 2022).</t>
  </si>
  <si>
    <t>Feedback loops tied to environmental indicators are largely missing across all regions. SA, SEA, and LAC were prioritized due to the dual pressures of biodiversity collapse and underdeveloped research adaptation systems. Assumes CGIAR Initiatives have limited internal incentives and partnerships to adapt R&amp;D based on environmental feedback (Gálvez, 2022; CGIAR, 2023; Schut et al., 2024).</t>
  </si>
  <si>
    <t>Internally, CGIAR must embed environmental monitoring and learning into its Monitoring, Evaluation, Learning and Impact Assessment (MELIA) systems. This requires investment in training scientists on environmental sensing, developing protocols for integrating ecological feedback, and linking innovation decision-making with biodiversity impact metrics (Douthwaite &amp; Hoffecker, 2017).</t>
  </si>
  <si>
    <t>Collaboration with national biodiversity monitoring agencies, environmental NGOs, citizen science platforms, and local stewardship networks is critical. These actors can generate early warning data and contextual insights to help CGIAR recalibrate research and scaling pathways toward ecosystem sustainability (IPBES, 2019).</t>
  </si>
  <si>
    <t>SA, SEA, and LAC must be prioritized for building adaptive environmental feedback systems due to rising ecological vulnerability and CGIAR’s expansion into these biodiversity-sensitive regions. Without improved feedback loops, agri-food innovations risk compounding land degradation and biodiversity threats. Establishing scalable, real-time adaptation mechanisms is essential for embedding sustainability in CGIAR’s R&amp;D model.</t>
  </si>
  <si>
    <t>Strategic planning for agri-food system transformation rarely incorporates environmental health objectives. Where strategies exist, they tend to be siloed—separating agricultural intensification from ecosystem stewardship—and are typically reactive rather than proactive. There is limited coordination between CGIAR programs and national biodiversity, pollution, or soil health initiatives (FAO, 2022).</t>
  </si>
  <si>
    <t>Fully integrated strategies that align agricultural innovation with environmental protection across sectors. CGIAR works in coordination with ministries of environment, agriculture, land use, and health to co-develop joint strategies that enable scaling without ecological compromise. Environmental goals are embedded across scaling frameworks, with joint investment plans, targets, and monitoring (HLPE, 2020).</t>
  </si>
  <si>
    <t>The prioritization scores reflect moderate but urgent gaps in SA, SEA, and LAC—regions facing rapid environmental degradation but lacking cohesive institutional mechanisms to integrate environmental sustainability into innovation scaling. It is assumed that CGIAR has had limited engagement in environment-focused strategy forums, and that cross-sectoral linkages remain underdeveloped (Gálvez, 2022; CGIAR, 2023; Schut et al., 2024).</t>
  </si>
  <si>
    <t>Internally, CGIAR must mainstream environmental objectives into all Initiative strategies, including through the use of shared environmental KPIs, environmental safeguards, and regular joint strategy reviews. Strategy co-development mechanisms across Initiatives—especially those focused on agroecology, biodiversity, and soil health—must be strengthened (IFPRI, 2023).</t>
  </si>
  <si>
    <t>Externally, coordination with ministries of environment, biodiversity, and land management is crucial to ensure CGIAR scaling efforts are embedded within broader environmental agendas. This also requires strategic alignment with UN conventions such as CBD and SDG 15, and participation in national environmental planning processes (UNEP, 2021).</t>
  </si>
  <si>
    <t>SA, SEA, and LAC must be prioritized for improved environmental coordination due to the intersection of biodiversity hotspots, ecosystem threats, and weak policy integration. In these regions, building joint scaling strategies with environmental ministries and civil society partners will be essential for ensuring that innovation systems do not undermine long-term ecological resilience.</t>
  </si>
  <si>
    <t>Environmental health-focused innovation networks are nascent or absent in most regions. Existing platforms are limited to isolated conservation or regenerative agriculture initiatives, with weak institutional support, fragmented actor participation, and minimal integration with agricultural innovation systems. Most scaling efforts are not embedded in networks that prioritize environmental performance (World Bank, 2024).</t>
  </si>
  <si>
    <t>Robust, cross-sectoral innovation ecosystems that drive environmentally responsible scaling. These networks link CGIAR researchers, environmental NGOs, local innovators, and private actors in collaborative hubs and digital platforms that co-develop, adapt, and scale eco-friendly solutions. They actively promote learning, experimentation, and knowledge exchange around sustainable technologies (Gálvez, 2022; CGIAR, 2023; Schut et al., 2024).</t>
  </si>
  <si>
    <t>Table 1 indicates that CWANA and WCA scored lowest across the Environmental Health Impact Area, particularly on network-related HLOs. The uniformly low prioritization of HLO 2.1 across regions suggests that innovation networks are currently seen as offering limited near-term leverage for environmental health outcomes. It is assumed that without complementary policy or demand-side incentives, network building alone will not catalyze large-scale environmental transformation (FAO, 2022).</t>
  </si>
  <si>
    <t>Within CGIAR, environmental themes must be integrated into innovation platforms and cross-Initiative collaborations. This includes mapping ecosystem-based innovators, developing tools for environmental co-benefits screening, and piloting green innovation accelerators in biodiversity-sensitive regions. Targeted partnerships across environmental and agrifood research domains are needed (Wigboldus, 2018).</t>
  </si>
  <si>
    <t>CGIAR should collaborate with sustainability-focused business incubators, regenerative agriculture movements, and biodiversity innovation hubs—particularly in regions where strong local actors exist. Supporting platforms such as green business competitions and environmental innovation fellowships can foster experimentation. However, efforts must avoid duplicating structures and instead reinforce existing networks (UNESCAP, 2023).</t>
  </si>
  <si>
    <t>Given the low scores and weak network foundations in CWANA and WCA, this HLO currently holds lower relative priority for Scaling for Impact in those regions. In contrast, SA, SEA, and LAC—with active agroecology and climate-smart agriculture experimentation—can benefit from strategic investment in building and formalizing environmental innovation networks. These should serve as platforms for long-term ecosystem-oriented scaling.</t>
  </si>
  <si>
    <t>Scalability assessments in CGIAR programs rarely include indicators related to ecosystem health, biodiversity impacts, or natural resource sustainability. Most evaluations focus on adoption or yield outcomes, neglecting long-term environmental trade-offs or system-level consequences. Environmental criteria are inconsistently applied across projects and regions (Rogers et al., 2021).</t>
  </si>
  <si>
    <t>Standardized, rigorous evaluation frameworks that incorporate environmental indicators into scalability assessments across all CGIAR initiatives. These frameworks include metrics for biodiversity conservation, soil and water quality, and land use change, and are applied prospectively to inform decision-making on environmentally sound innovations (Woltering et al., 2019).</t>
  </si>
  <si>
    <r>
      <t xml:space="preserve">Based on Table 1, this HLO shows </t>
    </r>
    <r>
      <rPr>
        <b/>
        <sz val="8"/>
        <color theme="1"/>
        <rFont val="Tw Cen MT"/>
        <family val="2"/>
        <charset val="1"/>
      </rPr>
      <t>moderate gaps</t>
    </r>
    <r>
      <rPr>
        <sz val="8"/>
        <color theme="1"/>
        <rFont val="Tw Cen MT"/>
        <family val="2"/>
        <charset val="1"/>
      </rPr>
      <t xml:space="preserve"> across regions, with SA, SEA, and LAC having greater opportunity and institutional alignment to adopt environment-sensitive evaluation methods. CWANA and WCA show lower prioritization, indicating that scaling decisions in those regions are less frequently informed by environmental metrics. It is assumed that institutional demand and technical capacity to embed environmental criteria in evaluation remain variable (Gálvez, 2022; CGIAR, 2023; Schut et al., 2024).</t>
    </r>
  </si>
  <si>
    <t>CGIAR must institutionalize environmental sustainability as a cross-cutting component of Monitoring, Evaluation, Learning and Impact Assessment (MELIA) systems. This includes developing scalable tools and indicators for environmental performance, piloting them in focal geographies, and building the capacity of researchers and MELIA staff to apply them consistently (HLPE, 2020).</t>
  </si>
  <si>
    <t>Externally, partnerships with ecosystem services researchers, biodiversity valuation experts, and national statistical offices are needed to co-develop and validate environmental indicators. Support from international environmental research networks and platforms like IPBES and UNEP can improve scientific rigor and policy alignment (IPBES, 2019; FAO, 2022).</t>
  </si>
  <si>
    <t>SA, SEA, and LAC are relatively better positioned to pilot and institutionalize environment-sensitive scalability assessments, given growing emphasis on sustainable intensification and policy demand for green transitions. CWANA and WCA, which currently lack enabling frameworks or clear entry points, may benefit more from capacity-building and foundational efforts. These regional disparities necessitate a phased, context-sensitive rollout.</t>
  </si>
  <si>
    <t>Agrifood innovations are typically deployed as isolated technical fixes rather than as environmentally sound, context-specific bundles. While individual innovations—such as conservation agriculture or integrated pest management—may support environmental health, they are rarely bundled with complementary practices like biodiversity-friendly inputs, soil restoration methods, or water-saving technologies. Environmental trade-offs are seldom considered during bundling (FAO, 2022).</t>
  </si>
  <si>
    <t>Locally adapted, ecosystem-specific innovation bundles that integrate environmental restoration, biodiversity conservation, and climate resilience principles. These bundles are co-designed with local stakeholders, tested across agroecological zones, and aligned with national environmental priorities. Environmental sustainability becomes a design criterion, not a retrofit (Gálvez, 2022; CGIAR, 2023; Schut et al., 2024).</t>
  </si>
  <si>
    <r>
      <t xml:space="preserve">Based on Table 1, </t>
    </r>
    <r>
      <rPr>
        <b/>
        <sz val="8"/>
        <color theme="1"/>
        <rFont val="Tw Cen MT"/>
        <family val="2"/>
        <charset val="1"/>
      </rPr>
      <t>SA, SEA, and LAC</t>
    </r>
    <r>
      <rPr>
        <sz val="8"/>
        <color theme="1"/>
        <rFont val="Tw Cen MT"/>
        <family val="2"/>
        <charset val="1"/>
      </rPr>
      <t xml:space="preserve"> scored highest for this HLO, reflecting both demand for sustainability transitions and relatively stronger enabling environments. It is assumed that these regions possess more active civil society engagement, policy demand, and CGIAR presence to support bundling innovations that improve environmental outcomes. CWANA and WCA received lower scores, suggesting fewer incentives, market linkages, or institutional structures to support environment-oriented bundling.</t>
    </r>
  </si>
  <si>
    <t>CGIAR must mainstream environmental integration into innovation design protocols. This includes cross-Initiative collaboration on developing bundling templates that include biodiversity, soil, and water considerations. Environmental scientists should be embedded in design teams, and bundling should be guided by agroecological zoning and participatory diagnostics (UNEP, 2021).</t>
  </si>
  <si>
    <t>National agricultural research systems, NGOs, and private-sector actors must co-develop and validate bundled solutions with farmers and Indigenous communities. Incentives should be aligned through environmental payment schemes or climate-smart certification models. Engagement with organic agriculture alliances and restoration initiatives can facilitate uptake (FAO, 2022; UNEP, 2021).</t>
  </si>
  <si>
    <t>SA, SEA, and LAC show both the highest needs and the strongest foundations for scaling environmentally sound innovation bundles. CGIAR should prioritize bundling pilots and ecosystem-based scaling approaches in these regions. CWANA and WCA, while still relevant, may require foundational work including capacity-building, demonstration plots, and institutional support to move toward bundled scaling pathways.</t>
  </si>
  <si>
    <t>Environmental considerations are often sidelined or treated as secondary in existing agrifood scaling strategies. Current approaches emphasize productivity and income generation, with limited attention to biodiversity, land degradation, or ecosystem services. Scaling pathways rarely integrate safeguards or system-level resilience metrics (Wigboldus, 2018; FAO, 2022).</t>
  </si>
  <si>
    <t>Integrated scaling strategies that explicitly prioritize environmental sustainability alongside agricultural growth. These strategies align with national biodiversity targets, climate mitigation goals, and agroecological transition plans. They are designed to minimize negative externalities, enhance soil and water health, and promote nature-positive transitions across scales (Gálvez, 2022; CGIAR, 2023; Schut et al., 2024).</t>
  </si>
  <si>
    <r>
      <t xml:space="preserve">Although environmental degradation is a shared concern globally, Table 1 shows </t>
    </r>
    <r>
      <rPr>
        <b/>
        <sz val="8"/>
        <color theme="1"/>
        <rFont val="Tw Cen MT"/>
        <family val="2"/>
        <charset val="1"/>
      </rPr>
      <t>SA, SEA, and LAC</t>
    </r>
    <r>
      <rPr>
        <sz val="8"/>
        <color theme="1"/>
        <rFont val="Tw Cen MT"/>
        <family val="2"/>
        <charset val="1"/>
      </rPr>
      <t xml:space="preserve"> as scoring highest on this HLO. This reflects increasing political momentum and policy receptivity toward environmentally responsible scaling in these regions. </t>
    </r>
    <r>
      <rPr>
        <b/>
        <sz val="8"/>
        <color theme="1"/>
        <rFont val="Tw Cen MT"/>
        <family val="2"/>
        <charset val="1"/>
      </rPr>
      <t>CWANA and WCA</t>
    </r>
    <r>
      <rPr>
        <sz val="8"/>
        <color theme="1"/>
        <rFont val="Tw Cen MT"/>
        <family val="2"/>
        <charset val="1"/>
      </rPr>
      <t xml:space="preserve"> scored lower, suggesting that scaling strategies remain more focused on short-term productivity gains or face greater institutional and policy inertia.</t>
    </r>
  </si>
  <si>
    <t>CGIAR must embed environmental performance indicators and safeguards into the design and evaluation of all scaling strategies. This requires building internal capacities on systems thinking, sustainability trade-off analysis, and environmental risk assessment. Initiatives should be incentivized to adopt holistic, cross-impact area strategies guided by agroecological and environmental principles (IPCC, 2022; UNEP, 2021).</t>
  </si>
  <si>
    <t>Governments and donors must co-finance scaling strategies that align with national action plans under the Convention on Biological Diversity (CBD), land degradation neutrality targets, and environmental regulatory frameworks. Collaborations with environmental ministries, landscape restoration coalitions, and biodiversity agencies are critical for enabling environment-friendly scaling (CBD, 2020; FAO, 2022).</t>
  </si>
  <si>
    <r>
      <t>SA, SEA, and LAC</t>
    </r>
    <r>
      <rPr>
        <sz val="8"/>
        <color theme="1"/>
        <rFont val="Tw Cen MT"/>
        <family val="2"/>
        <charset val="1"/>
      </rPr>
      <t xml:space="preserve"> should be the focus for implementing and refining system-wide environmental scaling strategies due to high prioritization, policy alignment, and civil society engagement. In </t>
    </r>
    <r>
      <rPr>
        <b/>
        <sz val="8"/>
        <color theme="1"/>
        <rFont val="Tw Cen MT"/>
        <family val="2"/>
        <charset val="1"/>
      </rPr>
      <t>CWANA and WCA</t>
    </r>
    <r>
      <rPr>
        <sz val="8"/>
        <color theme="1"/>
        <rFont val="Tw Cen MT"/>
        <family val="2"/>
        <charset val="1"/>
      </rPr>
      <t>, a stepwise approach is needed—starting with pilot strategies, capacity-building, and creating demand among policymakers for sustainability metrics in scaling programs.</t>
    </r>
  </si>
  <si>
    <t>Diagnostics used in agrifood programs typically focus on economic and institutional factors, while environmental health dimensions—such as land degradation, water stress, and biodiversity loss—are inconsistently captured. Where diagnostics do exist, they are fragmented, non-standardized, and rarely linked to corrective action or policy reform (World Bank, 2024; FAO, 2022).</t>
  </si>
  <si>
    <t>A system-wide diagnostic framework is institutionalized across CGIAR and national programs, integrating environmental risk and resilience metrics. These diagnostics inform the design, implementation, and monitoring of interventions, ensuring that scaling efforts do not compromise ecological thresholds and instead strengthen environmental governance (UNEP, 2021; HLPE, 2020).</t>
  </si>
  <si>
    <r>
      <t xml:space="preserve">Based on Table 1, this HLO exhibits </t>
    </r>
    <r>
      <rPr>
        <b/>
        <sz val="8"/>
        <color theme="1"/>
        <rFont val="Tw Cen MT"/>
        <family val="2"/>
        <charset val="1"/>
      </rPr>
      <t>moderate but important priority across all regions</t>
    </r>
    <r>
      <rPr>
        <sz val="8"/>
        <color theme="1"/>
        <rFont val="Tw Cen MT"/>
        <family val="2"/>
        <charset val="1"/>
      </rPr>
      <t xml:space="preserve">, particularly in </t>
    </r>
    <r>
      <rPr>
        <b/>
        <sz val="8"/>
        <color theme="1"/>
        <rFont val="Tw Cen MT"/>
        <family val="2"/>
        <charset val="1"/>
      </rPr>
      <t>SA, SEA, and LAC</t>
    </r>
    <r>
      <rPr>
        <sz val="8"/>
        <color theme="1"/>
        <rFont val="Tw Cen MT"/>
        <family val="2"/>
        <charset val="1"/>
      </rPr>
      <t xml:space="preserve"> where ecosystem degradation is severe and where enabling environment reforms are gaining traction. </t>
    </r>
    <r>
      <rPr>
        <b/>
        <sz val="8"/>
        <color theme="1"/>
        <rFont val="Tw Cen MT"/>
        <family val="2"/>
        <charset val="1"/>
      </rPr>
      <t>CWANA and WCA</t>
    </r>
    <r>
      <rPr>
        <sz val="8"/>
        <color theme="1"/>
        <rFont val="Tw Cen MT"/>
        <family val="2"/>
        <charset val="1"/>
      </rPr>
      <t xml:space="preserve"> scored lower, reflecting either limited data infrastructure or reduced political commitment to environmental diagnostics.</t>
    </r>
  </si>
  <si>
    <t>CGIAR must adopt and adapt diagnostic tools that embed environmental health metrics—including soil erosion indices, water scarcity, biodiversity indicators, and agroecological resilience. These tools should be incorporated into MELIA systems and linked to program design and scaling decisions. Training is needed across Initiatives to use diagnostics not only as a compliance tool but also as a driver of innovation targeting (UNEP, 2021; Douthwaite &amp; Hoffecker, 2017).</t>
  </si>
  <si>
    <t>Governments and partners must support institutionalization of these diagnostics through legal mandates, budget allocations, and coordination across ministries of environment, agriculture, and planning. External partners—such as IPBES, UNEP, and regional observatories—can provide methodological guidance, remote sensing tools, and data platforms for robust diagnostics (IPBES, 2019; UNESCAP, 2023).</t>
  </si>
  <si>
    <r>
      <t>SA, SEA, and LAC</t>
    </r>
    <r>
      <rPr>
        <sz val="8"/>
        <color theme="1"/>
        <rFont val="Tw Cen MT"/>
        <family val="2"/>
        <charset val="1"/>
      </rPr>
      <t xml:space="preserve"> are strong candidates for deploying enhanced diagnostic frameworks, given both environmental urgency and emerging institutional receptivity. In </t>
    </r>
    <r>
      <rPr>
        <b/>
        <sz val="8"/>
        <color theme="1"/>
        <rFont val="Tw Cen MT"/>
        <family val="2"/>
        <charset val="1"/>
      </rPr>
      <t>WCA and CWANA</t>
    </r>
    <r>
      <rPr>
        <sz val="8"/>
        <color theme="1"/>
        <rFont val="Tw Cen MT"/>
        <family val="2"/>
        <charset val="1"/>
      </rPr>
      <t>, groundwork must be laid through policy advocacy, investment in data systems, and demonstration of the value of environmental diagnostics in de-risking agricultural scaling.</t>
    </r>
  </si>
  <si>
    <t>Green finance, ecological advisory services, and environmentally focused legal and regulatory support remain highly fragmented across agrifood systems. Most environmental scaling efforts operate with limited access to bundled support services—such as payments for ecosystem services (PES), biodiversity credits, or sustainable land management technical assistance (FAO, 2022).</t>
  </si>
  <si>
    <t>Integrated, accessible support ecosystems are in place to facilitate environmentally responsible scaling. These include environmental finance, advisory services tailored to natural resource stewardship, and legal instruments such as tenure security for conservation and land restoration. These services operate at local, national, and regional levels to support innovation scale-out while maintaining environmental integrity (IFAD, 2021).</t>
  </si>
  <si>
    <r>
      <t xml:space="preserve">Gaps in environmental support services are </t>
    </r>
    <r>
      <rPr>
        <b/>
        <sz val="8"/>
        <color theme="1"/>
        <rFont val="Tw Cen MT"/>
        <family val="2"/>
        <charset val="1"/>
      </rPr>
      <t>moderate to high</t>
    </r>
    <r>
      <rPr>
        <sz val="8"/>
        <color theme="1"/>
        <rFont val="Tw Cen MT"/>
        <family val="2"/>
        <charset val="1"/>
      </rPr>
      <t xml:space="preserve"> across all regions, but especially pronounced in </t>
    </r>
    <r>
      <rPr>
        <b/>
        <sz val="8"/>
        <color theme="1"/>
        <rFont val="Tw Cen MT"/>
        <family val="2"/>
        <charset val="1"/>
      </rPr>
      <t>SA, SEA, and LAC</t>
    </r>
    <r>
      <rPr>
        <sz val="8"/>
        <color theme="1"/>
        <rFont val="Tw Cen MT"/>
        <family val="2"/>
        <charset val="1"/>
      </rPr>
      <t xml:space="preserve">, where agrifood systems intersect with severe biodiversity loss and unsustainable land-use practices. </t>
    </r>
    <r>
      <rPr>
        <b/>
        <sz val="8"/>
        <color theme="1"/>
        <rFont val="Tw Cen MT"/>
        <family val="2"/>
        <charset val="1"/>
      </rPr>
      <t>CWANA and WCA</t>
    </r>
    <r>
      <rPr>
        <sz val="8"/>
        <color theme="1"/>
        <rFont val="Tw Cen MT"/>
        <family val="2"/>
        <charset val="1"/>
      </rPr>
      <t xml:space="preserve"> show lower prioritization, potentially due to weaker integration of ecological goals in national agricultural agendas (Gálvez, 2022; CGIAR, 2023; Schut et al., 2024).</t>
    </r>
  </si>
  <si>
    <t>Internally, CGIAR must build capacity to assess, design, and link environmental innovation with appropriate support mechanisms. This includes developing internal guidance on green finance pathways, ecosystem-based advisory models, and environmental compliance mechanisms for scaling. Programs should include dedicated environmental support service components within their scaling strategies (FAO, 2022; Douthwaite &amp; Hoffecker, 2017).</t>
  </si>
  <si>
    <t>Governments, donors, and private partners must strengthen policy and financial ecosystems that enable scaling of green technologies and conservation practices. This includes operationalizing biodiversity funds, carbon credit markets, PES schemes, and ecological insurance platforms. Engagement with IFIs (e.g., GEF, GCF), and national treasuries is critical to align incentives and de-risk investment (GEF, 2023; World Bank, 2020).</t>
  </si>
  <si>
    <r>
      <t>SA, SEA, and LAC</t>
    </r>
    <r>
      <rPr>
        <sz val="8"/>
        <color theme="1"/>
        <rFont val="Tw Cen MT"/>
        <family val="2"/>
        <charset val="1"/>
      </rPr>
      <t xml:space="preserve"> require urgent development of bundled support services that align innovation scaling with environmental goals. In </t>
    </r>
    <r>
      <rPr>
        <b/>
        <sz val="8"/>
        <color theme="1"/>
        <rFont val="Tw Cen MT"/>
        <family val="2"/>
        <charset val="1"/>
      </rPr>
      <t>CWANA and WCA</t>
    </r>
    <r>
      <rPr>
        <sz val="8"/>
        <color theme="1"/>
        <rFont val="Tw Cen MT"/>
        <family val="2"/>
        <charset val="1"/>
      </rPr>
      <t>, foundational ecosystem-building—including awareness raising, green investment planning, and proof-of-concept interventions—may be needed before full-scale service integration.</t>
    </r>
  </si>
  <si>
    <t>Institutional interfaces between environmental research and policy remain weak or underdeveloped across many regions. Environmental health concerns—such as biodiversity loss, pollution, and soil degradation—are often excluded from science-policy dialogues on agrifood system transformation. Where platforms exist, they tend to be fragmented, poorly funded, or not embedded in national decision-making processes (Diao et al., 2023; FAO, 2022).</t>
  </si>
  <si>
    <t>Trusted, well-functioning science-policy platforms exist that systematically link CGIAR and partner evidence to national environmental and agricultural policy decisions. These platforms integrate environmental sustainability metrics, support cross-sectoral dialogue, and foster timely uptake of scientific insights into reforms, particularly in the context of scaling innovations that intersect with land, water, and biodiversity systems (Gálvez, 2022; CGIAR, 2023; Schut et al., 2024).</t>
  </si>
  <si>
    <r>
      <t xml:space="preserve">Regional prioritization is </t>
    </r>
    <r>
      <rPr>
        <b/>
        <sz val="8"/>
        <color theme="1"/>
        <rFont val="Tw Cen MT"/>
        <family val="2"/>
        <charset val="1"/>
      </rPr>
      <t>moderate</t>
    </r>
    <r>
      <rPr>
        <sz val="8"/>
        <color theme="1"/>
        <rFont val="Tw Cen MT"/>
        <family val="2"/>
        <charset val="1"/>
      </rPr>
      <t xml:space="preserve">, with relatively greater urgency in </t>
    </r>
    <r>
      <rPr>
        <b/>
        <sz val="8"/>
        <color theme="1"/>
        <rFont val="Tw Cen MT"/>
        <family val="2"/>
        <charset val="1"/>
      </rPr>
      <t>SA, SEA, and LAC</t>
    </r>
    <r>
      <rPr>
        <sz val="8"/>
        <color theme="1"/>
        <rFont val="Tw Cen MT"/>
        <family val="2"/>
        <charset val="1"/>
      </rPr>
      <t xml:space="preserve">, where agrifood innovations often conflict with environmental goals unless science is embedded into decision-making. </t>
    </r>
    <r>
      <rPr>
        <b/>
        <sz val="8"/>
        <color theme="1"/>
        <rFont val="Tw Cen MT"/>
        <family val="2"/>
        <charset val="1"/>
      </rPr>
      <t>CWANA and WCA</t>
    </r>
    <r>
      <rPr>
        <sz val="8"/>
        <color theme="1"/>
        <rFont val="Tw Cen MT"/>
        <family val="2"/>
        <charset val="1"/>
      </rPr>
      <t xml:space="preserve"> show weaker prioritization due to limited policy mandates or environmental governance capacity. Assumptions include institutional openness to reform and policy interest in biodiversity, pollution control, and ecosystem services (FAO, 2022).</t>
    </r>
  </si>
  <si>
    <t>Internally, CGIAR must invest in strengthening its institutional capacities for environmental policy engagement. This includes training researchers in policy communication, establishing dedicated science-policy units within environmentally focused Initiatives, and integrating environmental policy objectives into scaling strategies and MELIA systems (Douthwaite &amp; Hoffecker, 2017).</t>
  </si>
  <si>
    <t>Externally, it is essential to formalize partnerships with ministries of environment, agriculture, planning, and finance. This should include joint agenda-setting processes, secondment of scientific staff to policy units, and support to cross-ministerial working groups. Engagement with UNEP, IPBES, and other multilateral environmental governance mechanisms is key for vertical policy coherence (UNESCAP, 2023; World Bank, 2024).</t>
  </si>
  <si>
    <r>
      <t>SA, SEA, and LAC</t>
    </r>
    <r>
      <rPr>
        <sz val="8"/>
        <color theme="1"/>
        <rFont val="Tw Cen MT"/>
        <family val="2"/>
        <charset val="1"/>
      </rPr>
      <t xml:space="preserve"> require deliberate investments in science-policy platforms that facilitate uptake of environmental research into agrifood decision-making. In </t>
    </r>
    <r>
      <rPr>
        <b/>
        <sz val="8"/>
        <color theme="1"/>
        <rFont val="Tw Cen MT"/>
        <family val="2"/>
        <charset val="1"/>
      </rPr>
      <t>CWANA and WCA</t>
    </r>
    <r>
      <rPr>
        <sz val="8"/>
        <color theme="1"/>
        <rFont val="Tw Cen MT"/>
        <family val="2"/>
        <charset val="1"/>
      </rPr>
      <t>, long-term efforts are needed to build basic science-policy infrastructure and align environmental objectives with national development priorities.</t>
    </r>
  </si>
  <si>
    <t>CGIAR’s environmental innovations and expertise are not consistently integrated into national investment programs or public-private scaling platforms. Partnerships for scaling environmentally sustainable solutions tend to be project-based and short-lived, often disconnected from national biodiversity or land degradation strategies. Opportunities to embed nature-positive innovations into IFI, donor, or regional investment pipelines are frequently missed (Gálvez, 2022; CGIAR, 2023; Schut et al., 2024).</t>
  </si>
  <si>
    <t>CGIAR environmental innovations are systematically embedded into national and regional investment programs, contributing to sustainable intensification, biodiversity conservation, and restoration. Long-term, institutionalized partnerships exist between CGIAR, governments, financial institutions, and civil society to co-deliver scaling efforts that align with national action plans on environmental health, including land use, water quality, and deforestation (IFPRI, 2023).</t>
  </si>
  <si>
    <r>
      <t xml:space="preserve">According to revised prioritization insights, </t>
    </r>
    <r>
      <rPr>
        <b/>
        <sz val="8"/>
        <color theme="1"/>
        <rFont val="Tw Cen MT"/>
        <family val="2"/>
        <charset val="1"/>
      </rPr>
      <t>SA, SEA, and LAC</t>
    </r>
    <r>
      <rPr>
        <sz val="8"/>
        <color theme="1"/>
        <rFont val="Tw Cen MT"/>
        <family val="2"/>
        <charset val="1"/>
      </rPr>
      <t xml:space="preserve"> score highest due to strong relevance of CGIAR’s environmental scaling contributions. These regions face pressing sustainability challenges but also have stronger policy and investment interest in nature-positive approaches. Lower scores in </t>
    </r>
    <r>
      <rPr>
        <b/>
        <sz val="8"/>
        <color theme="1"/>
        <rFont val="Tw Cen MT"/>
        <family val="2"/>
        <charset val="1"/>
      </rPr>
      <t>CWANA and WCA</t>
    </r>
    <r>
      <rPr>
        <sz val="8"/>
        <color theme="1"/>
        <rFont val="Tw Cen MT"/>
        <family val="2"/>
        <charset val="1"/>
      </rPr>
      <t xml:space="preserve"> reflect limited mainstreaming of environmental goals in national investment planning. Assumes openness among IFIs and governments to co-design and finance integrated environmental scaling efforts (FAO, 2022).</t>
    </r>
  </si>
  <si>
    <t>Internally, CGIAR must develop a system-wide environmental integration framework that ensures innovations targeting environmental health (e.g., ecosystem restoration, soil health) are packaged for scalability and investment readiness. This includes mainstreaming environmental KPIs into innovation pipelines and formalizing CGIAR representation in relevant government and IFI planning processes (Woltering et al., 2019).</t>
  </si>
  <si>
    <t>Externally, partnerships must be brokered with ministries of environment, agriculture, and finance; multilateral funds (e.g., GEF, Green Climate Fund); and regional development banks to secure co-financing and ensure uptake of CGIAR environmental expertise. Collaboration with platforms like UNEP and CBD will help embed CGIAR tools and approaches into global biodiversity and climate financing frameworks (UNEP, 2021; UNESCAP, 2023).</t>
  </si>
  <si>
    <r>
      <t xml:space="preserve">Environmental scaling partnerships are of </t>
    </r>
    <r>
      <rPr>
        <b/>
        <sz val="8"/>
        <color theme="1"/>
        <rFont val="Tw Cen MT"/>
        <family val="2"/>
        <charset val="1"/>
      </rPr>
      <t>high strategic priority</t>
    </r>
    <r>
      <rPr>
        <sz val="8"/>
        <color theme="1"/>
        <rFont val="Tw Cen MT"/>
        <family val="2"/>
        <charset val="1"/>
      </rPr>
      <t xml:space="preserve"> in </t>
    </r>
    <r>
      <rPr>
        <b/>
        <sz val="8"/>
        <color theme="1"/>
        <rFont val="Tw Cen MT"/>
        <family val="2"/>
        <charset val="1"/>
      </rPr>
      <t>SA, SEA, and LAC</t>
    </r>
    <r>
      <rPr>
        <sz val="8"/>
        <color theme="1"/>
        <rFont val="Tw Cen MT"/>
        <family val="2"/>
        <charset val="1"/>
      </rPr>
      <t xml:space="preserve">, where CGIAR can play a catalytic role in shaping sustainable investment trajectories. In </t>
    </r>
    <r>
      <rPr>
        <b/>
        <sz val="8"/>
        <color theme="1"/>
        <rFont val="Tw Cen MT"/>
        <family val="2"/>
        <charset val="1"/>
      </rPr>
      <t>CWANA and WCA</t>
    </r>
    <r>
      <rPr>
        <sz val="8"/>
        <color theme="1"/>
        <rFont val="Tw Cen MT"/>
        <family val="2"/>
        <charset val="1"/>
      </rPr>
      <t>, foundational work is required to build institutional trust and align environmental innovations with existing agricultural development programs.</t>
    </r>
  </si>
  <si>
    <t>Existing scaling hubs across CGIAR Initiatives rarely prioritize environmental health as a core dimension. Where present, support for environmental integration tends to be fragmented or ad hoc, lacking dedicated technical expertise, funding, or coordination mechanisms. Environmental goals such as soil restoration, pollution reduction, or biodiversity conservation are not consistently embedded in hub design, tools, or partnerships (Gálvez, 2022; CGIAR, 2023; Schut et al., 2024).</t>
  </si>
  <si>
    <t>Scaling hubs are fully equipped to support environmental health integration across CGIAR programs. They provide technical assistance, facilitate partnerships, offer policy engagement pathways, and host region-specific knowledge on scaling nature-positive innovations. Hubs are embedded within national innovation systems and work with environmental ministries and development partners to align with sustainability goals (World Bank, 2024).</t>
  </si>
  <si>
    <r>
      <t xml:space="preserve">Environmental health-related scaling hubs are a </t>
    </r>
    <r>
      <rPr>
        <b/>
        <sz val="8"/>
        <color theme="1"/>
        <rFont val="Tw Cen MT"/>
        <family val="2"/>
        <charset val="1"/>
      </rPr>
      <t>moderate strategic priority</t>
    </r>
    <r>
      <rPr>
        <sz val="8"/>
        <color theme="1"/>
        <rFont val="Tw Cen MT"/>
        <family val="2"/>
        <charset val="1"/>
      </rPr>
      <t xml:space="preserve"> in </t>
    </r>
    <r>
      <rPr>
        <b/>
        <sz val="8"/>
        <color theme="1"/>
        <rFont val="Tw Cen MT"/>
        <family val="2"/>
        <charset val="1"/>
      </rPr>
      <t>SA, SEA, and LAC</t>
    </r>
    <r>
      <rPr>
        <sz val="8"/>
        <color theme="1"/>
        <rFont val="Tw Cen MT"/>
        <family val="2"/>
        <charset val="1"/>
      </rPr>
      <t xml:space="preserve">, where there is momentum for scaling sustainability-aligned innovation. In </t>
    </r>
    <r>
      <rPr>
        <b/>
        <sz val="8"/>
        <color theme="1"/>
        <rFont val="Tw Cen MT"/>
        <family val="2"/>
        <charset val="1"/>
      </rPr>
      <t>CWANA and WCA</t>
    </r>
    <r>
      <rPr>
        <sz val="8"/>
        <color theme="1"/>
        <rFont val="Tw Cen MT"/>
        <family val="2"/>
        <charset val="1"/>
      </rPr>
      <t>, low scores reflect limited demand, funding, or institutional readiness to embed environmental objectives into program support infrastructure. Assumes hubs can evolve to include cross-cutting sustainability functions (FAO, 2022).</t>
    </r>
  </si>
  <si>
    <t>Internally, CGIAR must retrofit existing scaling hubs to provide specialized support on environmental health and biodiversity. This includes building internal capacity on nature-based solutions, sustainability safeguards, and environmental policy engagement. Hubs should also develop decision-support tools that prioritize environmental externalities and track sustainability metrics (UNEP, 2021).</t>
  </si>
  <si>
    <t>Externally, support from donors, green finance institutions, and environmental agencies is needed to mainstream environmental functions into hub operations. Partnerships should be developed with platforms like the GEF, UNEP, and regional ecological research networks. Policy linkages with national environmental authorities will enhance legitimacy and programmatic integration (GEF, 2023; UNESCAP, 2023).</t>
  </si>
  <si>
    <r>
      <t>SA, SEA, and LAC</t>
    </r>
    <r>
      <rPr>
        <sz val="8"/>
        <color theme="1"/>
        <rFont val="Tw Cen MT"/>
        <family val="2"/>
        <charset val="1"/>
      </rPr>
      <t xml:space="preserve"> should be prioritized for developing or upgrading scaling hubs with environmental specialization, building on their high prioritization scores and alignment with global biodiversity and sustainability agendas. In </t>
    </r>
    <r>
      <rPr>
        <b/>
        <sz val="8"/>
        <color theme="1"/>
        <rFont val="Tw Cen MT"/>
        <family val="2"/>
        <charset val="1"/>
      </rPr>
      <t>CWANA and WCA</t>
    </r>
    <r>
      <rPr>
        <sz val="8"/>
        <color theme="1"/>
        <rFont val="Tw Cen MT"/>
        <family val="2"/>
        <charset val="1"/>
      </rPr>
      <t>, pilot environmental modules within broader scaling efforts could prepare the groundwork for eventual hub evolution.</t>
    </r>
  </si>
  <si>
    <t>Scaling science remains underdeveloped in the context of environmental health and biodiversity. Most CGIAR programs lack frameworks, tools, or institutional incentives to track environmental outcomes or integrate adaptive learning related to ecological change. Furthermore, structured South-South learning programs that emphasize biodiversity, land restoration, or sustainable resource management are rare (Woltering et al., 2019; IFAD, 2021).</t>
  </si>
  <si>
    <t>Environmental sustainability is embedded across CGIAR’s scaling science frameworks. Evidence-based tools guide scaling decisions to ensure nature-positive outcomes. Institutional learning systems capture, evaluate, and adapt innovations for environmental health. South-South platforms enable cross-regional exchange of sustainable practices and foster mutual capacity-building across Global South actors (FAO &amp; WEF, 2022; IPBES, 2019).</t>
  </si>
  <si>
    <r>
      <t xml:space="preserve">This HLO shows </t>
    </r>
    <r>
      <rPr>
        <b/>
        <sz val="8"/>
        <color theme="1"/>
        <rFont val="Tw Cen MT"/>
        <family val="2"/>
        <charset val="1"/>
      </rPr>
      <t>high prioritization in SA, SEA, and LAC</t>
    </r>
    <r>
      <rPr>
        <sz val="8"/>
        <color theme="1"/>
        <rFont val="Tw Cen MT"/>
        <family val="2"/>
        <charset val="1"/>
      </rPr>
      <t xml:space="preserve">, where environmental degradation, biodiversity loss, and climate-induced pressures are acute. In </t>
    </r>
    <r>
      <rPr>
        <b/>
        <sz val="8"/>
        <color theme="1"/>
        <rFont val="Tw Cen MT"/>
        <family val="2"/>
        <charset val="1"/>
      </rPr>
      <t>CWANA and WCA</t>
    </r>
    <r>
      <rPr>
        <sz val="8"/>
        <color theme="1"/>
        <rFont val="Tw Cen MT"/>
        <family val="2"/>
        <charset val="1"/>
      </rPr>
      <t>, lower scores suggest scaling science is not yet a prominent tool for addressing sustainability challenges. Assumes that where environmental learning systems are institutionalized, scaling pathways will be more resilient and impactful (Gálvez, 2022; CGIAR, 2023; Schut et al., 2024).</t>
    </r>
  </si>
  <si>
    <t>Internally, CGIAR must develop and deploy curricula and guidance that embed environmental indicators in scaling frameworks. Monitoring, Evaluation, Learning and Impact Assessment (MELIA) systems should be updated to include biodiversity and land use change metrics. Internal capacity-building is required to ensure researchers and scaling advisors understand ecological thresholds, planetary boundaries, and the science of sustainable transitions (HLPE, 2020).</t>
  </si>
  <si>
    <t>Partnerships must be established with academic institutions, biodiversity research centers, and South-South cooperation networks. Donors and global funds focused on biodiversity and climate co-benefits (e.g., GEF, UNEP) should support structured exchanges, learning fellowships, and regional knowledge platforms that document and share good practices in environmentally responsible scaling (UNEP, 2021; UNESCAP, 2023).</t>
  </si>
  <si>
    <r>
      <t>SA, SEA, and LAC</t>
    </r>
    <r>
      <rPr>
        <sz val="8"/>
        <color theme="1"/>
        <rFont val="Tw Cen MT"/>
        <family val="2"/>
        <charset val="1"/>
      </rPr>
      <t xml:space="preserve"> are strategic entry points for institutionalizing scaling science for environmental health, with opportunities to leverage ongoing land restoration, agroecology, and nature-positive agriculture initiatives. </t>
    </r>
    <r>
      <rPr>
        <b/>
        <sz val="8"/>
        <color theme="1"/>
        <rFont val="Tw Cen MT"/>
        <family val="2"/>
        <charset val="1"/>
      </rPr>
      <t>CWANA and WCA</t>
    </r>
    <r>
      <rPr>
        <sz val="8"/>
        <color theme="1"/>
        <rFont val="Tw Cen MT"/>
        <family val="2"/>
        <charset val="1"/>
      </rPr>
      <t xml:space="preserve"> should be engaged through pilot exchanges and exploratory partnerships to expand the reach of environmental scaling science.</t>
    </r>
  </si>
  <si>
    <t>Impact assessments in CGIAR scaling programs rarely include systematic tracking of environmental health outcomes. Biodiversity loss, soil degradation, pollution reduction, or ecosystem co-benefits are not consistently evaluated, limiting the system’s ability to learn from environmental scaling interventions. Existing assessments often rely on generalized indicators, overlooking spatial, temporal, and ecosystem-level dynamics (Rogers et al., 2021).</t>
  </si>
  <si>
    <t>Scaling impact evaluations rigorously integrate environmental indicators such as ecosystem services, biodiversity restoration, and land-use change metrics. Evaluations are disaggregated by agroecological zones and include long-term effects on environmental systems. Findings from these assessments feed into adaptive programming and inform the design of more sustainable scaling pathways (IFPRI, 2023; HLPE, 2020).</t>
  </si>
  <si>
    <t>The moderate prioritization across all regions suggests a shared gap in environmental performance tracking within scaling initiatives. SA, SEA, and LAC show relatively stronger relevance given their participation in biodiversity- and sustainability-related programs. In contrast, CWANA and WCA regions exhibit weaker institutional demand and technical capacity for conducting environmental impact assessments (Gálvez, 2022; CGIAR, 2023; Schut et al., 2024).</t>
  </si>
  <si>
    <t>CGIAR must institutionalize environmental impact assessment protocols within its Monitoring, Evaluation, Learning and Impact Assessment (MELIA) systems. Internal guidance should standardize key performance indicators (KPIs) related to biodiversity, soil health, water use, and ecosystem resilience. Building capacity among evaluation specialists and researchers is essential to mainstream these tools into routine scaling evaluations (3ie, 2022; HLPE, 2020).</t>
  </si>
  <si>
    <t>External collaborations are needed with environmental evaluation agencies, ecosystem service valuation experts, and global monitoring initiatives. CGIAR should co-develop and validate methods with partners like UNEP, IPBES, and academic institutions specializing in environmental science. Donor agencies and multilateral funds must require environmental criteria in project evaluations to incentivize adoption (IPBES, 2019; World Bank, 2024).</t>
  </si>
  <si>
    <r>
      <t xml:space="preserve">Environmental impact assessment systems should be prioritized in </t>
    </r>
    <r>
      <rPr>
        <b/>
        <sz val="8"/>
        <color theme="1"/>
        <rFont val="Tw Cen MT"/>
        <family val="2"/>
        <charset val="1"/>
      </rPr>
      <t>SA, SEA, and LAC</t>
    </r>
    <r>
      <rPr>
        <sz val="8"/>
        <color theme="1"/>
        <rFont val="Tw Cen MT"/>
        <family val="2"/>
        <charset val="1"/>
      </rPr>
      <t xml:space="preserve">, where land degradation and biodiversity concerns are pressing and where policy environments increasingly support nature-positive outcomes. </t>
    </r>
    <r>
      <rPr>
        <b/>
        <sz val="8"/>
        <color theme="1"/>
        <rFont val="Tw Cen MT"/>
        <family val="2"/>
        <charset val="1"/>
      </rPr>
      <t>CWANA and WCA</t>
    </r>
    <r>
      <rPr>
        <sz val="8"/>
        <color theme="1"/>
        <rFont val="Tw Cen MT"/>
        <family val="2"/>
        <charset val="1"/>
      </rPr>
      <t xml:space="preserve"> should be engaged through pilot evaluations and partnerships that build foundational capacity for environmental scaling insights.</t>
    </r>
  </si>
  <si>
    <t>Current portfolio management and decision-support systems in CGIAR programs rarely incorporate environmental health filters. Innovation pipelines are typically managed using productivity and adoption metrics, without systematic integration of ecosystem impacts, land use change, soil health, or biodiversity indicators. This limits the capacity to prioritize innovations that contribute to environmental sustainability goals (FAO, 2022).</t>
  </si>
  <si>
    <t>CGIAR’s innovation portfolio management tools are upgraded to include climate and environmental metrics. Dashboards support multi-criteria decision-making by integrating ecosystem services, deforestation risks, carbon footprints, and water usage, alongside productivity and socioeconomic criteria. These analytics guide investment, scaling prioritization, and scenario planning (Gálvez, 2022; CGIAR, 2023; Schut et al., 2024).</t>
  </si>
  <si>
    <t>SA, SEA, and LAC scored higher for this HLO based on their existing environmental programming and increasing data readiness. However, across all regions, current analytics platforms are limited in integrating geospatial, ecological, and biodiversity metrics into decision-making. CWANA and WCA show lower maturity, constrained by weak data ecosystems and institutional demand for environmentally informed innovation management (World Bank, 2024).</t>
  </si>
  <si>
    <t>CGIAR must design and operationalize data architectures that support environmental decision analytics. This includes integrating spatial datasets on land degradation, soil carbon, and biodiversity hotspots into MELIA systems and decision-support tools. Training scientists and innovation managers in environmental analytics, geospatial analysis, and AI-assisted tools is key to successful adoption (UNEP, 2021; HLPE, 2020).</t>
  </si>
  <si>
    <t>External partnerships should focus on AI and GIS specialists, environmental data providers (e.g., WRI, IPBES), and open-data platforms. Collaboration with remote sensing agencies and sustainability analytics startups will help build predictive tools tailored to agri-environmental contexts. Engagement with donors and environmental finance institutions can ensure alignment with ESG (Environmental, Social, Governance) frameworks (GEF, 2023; UNESCAP, 2023).</t>
  </si>
  <si>
    <r>
      <t xml:space="preserve">Custom analytics for environmental innovation management should be rolled out first in </t>
    </r>
    <r>
      <rPr>
        <b/>
        <sz val="8"/>
        <color theme="1"/>
        <rFont val="Tw Cen MT"/>
        <family val="2"/>
        <charset val="1"/>
      </rPr>
      <t>SA, SEA, and LAC</t>
    </r>
    <r>
      <rPr>
        <sz val="8"/>
        <color theme="1"/>
        <rFont val="Tw Cen MT"/>
        <family val="2"/>
        <charset val="1"/>
      </rPr>
      <t xml:space="preserve">, where biodiversity and environmental degradation risks intersect with scaling opportunities. These regions offer enabling conditions to pilot advanced analytics. </t>
    </r>
    <r>
      <rPr>
        <b/>
        <sz val="8"/>
        <color theme="1"/>
        <rFont val="Tw Cen MT"/>
        <family val="2"/>
        <charset val="1"/>
      </rPr>
      <t>CWANA and WCA</t>
    </r>
    <r>
      <rPr>
        <sz val="8"/>
        <color theme="1"/>
        <rFont val="Tw Cen MT"/>
        <family val="2"/>
        <charset val="1"/>
      </rPr>
      <t xml:space="preserve"> require longer-term support to develop data systems and capacity for environmental portfolio monitoring.</t>
    </r>
  </si>
  <si>
    <r>
      <t xml:space="preserve">Potential Scale of Impact - </t>
    </r>
    <r>
      <rPr>
        <i/>
        <sz val="11"/>
        <color theme="0"/>
        <rFont val="Aptos Narrow"/>
        <family val="2"/>
        <scheme val="minor"/>
      </rPr>
      <t xml:space="preserve">this tab </t>
    </r>
    <r>
      <rPr>
        <b/>
        <i/>
        <u/>
        <sz val="11"/>
        <color theme="0"/>
        <rFont val="Aptos Narrow"/>
        <family val="2"/>
        <scheme val="minor"/>
      </rPr>
      <t xml:space="preserve">automatically </t>
    </r>
    <r>
      <rPr>
        <i/>
        <sz val="11"/>
        <color theme="0"/>
        <rFont val="Aptos Narrow"/>
        <family val="2"/>
        <scheme val="minor"/>
      </rPr>
      <t xml:space="preserve">populates your scores from your Step A Impact Area tabs, </t>
    </r>
    <r>
      <rPr>
        <b/>
        <i/>
        <u/>
        <sz val="11"/>
        <color theme="0"/>
        <rFont val="Aptos Narrow"/>
        <family val="2"/>
        <scheme val="minor"/>
      </rPr>
      <t xml:space="preserve">automatically </t>
    </r>
    <r>
      <rPr>
        <i/>
        <sz val="11"/>
        <color theme="0"/>
        <rFont val="Aptos Narrow"/>
        <family val="2"/>
        <scheme val="minor"/>
      </rPr>
      <t xml:space="preserve">weighting them by the regional Potential Scale of Impact Scores - </t>
    </r>
    <r>
      <rPr>
        <b/>
        <i/>
        <u/>
        <sz val="11"/>
        <color theme="0"/>
        <rFont val="Aptos Narrow"/>
        <family val="2"/>
        <scheme val="minor"/>
      </rPr>
      <t>You do not have to do anything in this tab</t>
    </r>
    <r>
      <rPr>
        <i/>
        <sz val="11"/>
        <color theme="0"/>
        <rFont val="Aptos Narrow"/>
        <family val="2"/>
        <scheme val="minor"/>
      </rPr>
      <t>, the excel formulas do the weighting for you.</t>
    </r>
  </si>
  <si>
    <t xml:space="preserve"> </t>
  </si>
  <si>
    <t xml:space="preserve">Food Security </t>
  </si>
  <si>
    <t>Poverty reduction</t>
  </si>
  <si>
    <t>Social Inclusion</t>
  </si>
  <si>
    <t>Climate Adaptation</t>
  </si>
  <si>
    <t>Environmental health</t>
  </si>
  <si>
    <r>
      <rPr>
        <sz val="11"/>
        <rFont val="Aptos Narrow"/>
        <family val="2"/>
        <scheme val="minor"/>
      </rPr>
      <t xml:space="preserve">Link to spreadsheet with raw data: </t>
    </r>
    <r>
      <rPr>
        <u/>
        <sz val="11"/>
        <color theme="10"/>
        <rFont val="Aptos Narrow"/>
        <family val="2"/>
        <scheme val="minor"/>
      </rPr>
      <t>Projected Benefits Data (Nov 2024) - With Analysis.xlsx</t>
    </r>
  </si>
  <si>
    <t>Poor Population ($2.15)</t>
  </si>
  <si>
    <t>Gender Inclusivity Index</t>
  </si>
  <si>
    <t>Coverage</t>
  </si>
  <si>
    <t>Region totals</t>
  </si>
  <si>
    <t>Units</t>
  </si>
  <si>
    <t xml:space="preserve">Share of total population living below the minimum calorie daily threshold </t>
  </si>
  <si>
    <t>Millions of people living below the poverty line</t>
  </si>
  <si>
    <t>Millions of tons of CO2eq emissions</t>
  </si>
  <si>
    <t>Region</t>
  </si>
  <si>
    <t>r_wld</t>
  </si>
  <si>
    <t>r_dev</t>
  </si>
  <si>
    <t>Population</t>
  </si>
  <si>
    <t>Billions of people</t>
  </si>
  <si>
    <t>Number of undernourished</t>
  </si>
  <si>
    <t>Number of poor</t>
  </si>
  <si>
    <t>GII</t>
  </si>
  <si>
    <t>GHG emssions</t>
  </si>
  <si>
    <t>Weights for Food Security scale of impact</t>
  </si>
  <si>
    <t>Transposed weights</t>
  </si>
  <si>
    <r>
      <t xml:space="preserve">Deviations from Scores - </t>
    </r>
    <r>
      <rPr>
        <sz val="12"/>
        <color rgb="FFFFFFFF"/>
        <rFont val="Arial"/>
        <family val="2"/>
      </rPr>
      <t>In this tab, you should higlight, for the HLOs (and regions), where, based on Phase 2 of the methodology, your Program/Accelerator team has decided to deviate from the scores shown in Phase 1. Here you will justify your decisions - this analysis will inform the content of your Inception Report, Section 5.2.</t>
    </r>
  </si>
  <si>
    <t>HLO (Region + Impact Area, if relevant)</t>
  </si>
  <si>
    <t xml:space="preserve">Other factors considered </t>
  </si>
  <si>
    <t>How they were considered</t>
  </si>
  <si>
    <t xml:space="preserve">Final decisions and justifications on the priority of this HLO </t>
  </si>
  <si>
    <t>Food security</t>
  </si>
  <si>
    <t>High comparative advantage (score: 0.89), strong emphasis on this work from donors, integral to scaling science theory and practice. This HLO is crucial to S4I's Theory of Change and is designed to support improved innovation supply-stakeholder demand alignment across the entire 2025-2030 Portfolio of Programs and Accelerators.</t>
  </si>
  <si>
    <t>HLO 1.1.2 received a medium comparative advantage score (0.69) and moderate prioritization across South Asia, East and Southern Africa, and West and Central Africa in the KBP process. While these scores were not as high as others, they were sufficient to validate this HLO’s contribution as a systemwide enabler. Rather than being assigned to a specific region, this HLO was considered by S4I as a cross-cutting function embedded in the Program’s adaptive learning logic. It supports feedback loops and evidence-based decision-making, particularly through CGIAR’s Annual Adaptive Management process and within AoWs 2 and 5.
In refining investment decisions, S4I factored in the ongoing need for internal systems that enable course correction and learning across Science Programs. This HLO’s contribution to aligning scaling priorities with real-time feedback from implementation experience justified its continued integration into the Program’s delivery model, especially given its role in enhancing CGIAR’s capacity to adjust interventions based on performance, stakeholder inputs, and innovation maturity.</t>
  </si>
  <si>
    <t>S4I retained HLO 1.1.2 as a foundational support function for 2025, embedded across the Program rather than prioritized as a regional or standalone investment. This choice reflected the moderate yet consistent prioritization across regions, the value of this HLO for strengthening internal learning systems, and its relevance to adaptive scaling strategies. The decision was informed by KBP and comparative advantage analysis, as well as the operational logic of integrating feedback loops into scaling processes to enhance responsiveness and effectiveness.</t>
  </si>
  <si>
    <t>Medium comparative advantage (score: 0.69), linked to adaptive learning functions in AoW 2 and AoW 5; embedded in legacy RII activities</t>
  </si>
  <si>
    <t>HLO 1.1.2 received a medium comparative advantage rating (0.69), and its KBP prioritization was moderate across South Asia, East and Southern Africa, and West and Central Africa. S4I considered this alignment sufficient to retain the HLO as a cross-cutting, system-level function. Its value lies in supporting other CGIAR Science Programs through CGIAR’s Annual Adaptive Management process, strengthening alignment between stakeholder demand, scaling progress, and innovation prioritization.
While not tied to a single geography, this HLO supports program-wide functions central to learning, iteration, and scaling strategy refinement—particularly within AoWs 2 and 5. Given the 2025 transitional context, its role in facilitating coherence across legacy RII and new Portfolio structures was an additional factor in maintaining Program-level engagemen</t>
  </si>
  <si>
    <t>S4I maintained HLO 1.1.2 as a foundational element of its Theory of Change, embedded across the Program rather than structured as a standalone regional investment. The decision reflected convergence between KBP findings, comparative advantage assessment, and the need for strong internal learning systems to support scaling effectiveness.</t>
  </si>
  <si>
    <t>High comparative advantage (score: 0.89); foundational for cross-CGIAR Program coherence; Strong ability of CGIAR to convene national partners and develop strategies</t>
  </si>
  <si>
    <t>S4I’s decision-making around HLO 1.1.3 was shaped by its strong comparative advantage rating (0.89), which reflected CGIAR’s unique positioning to convene national actors and guide strategy alignment across its Portfolio. Stakeholder consultations and KBP results consistently highlighted this HLO’s importance for harmonizing CGIAR’s scaling architecture with national and IFI investment priorities—particularly in South Asia and Africa, where coordination gaps had historically hindered impact. However, while KBP assessments recognized its value, regional prioritization was moderate compared to more delivery-focused HLOs, and the function was seen as indirectly enabling rather than producing immediate field outcomes.
S4I considered additional factors before determining final prioritization. These included: (a) the lack of W3 or bilateral funding mapped to this function, (b) the resource constraints of the 2025 transition year, and (c) the need to focus near-term funding on HLOs with direct delivery pathways. Although not selected for high-intensity investment in 2025, the HLO remains embedded in S4I’s design logic as a cross-cutting enabler. Its convening role—especially for policy alignment and cross-Program coherence—continues to underpin other scaling functions and will be reassessed for expansion in 2026 based on available funds and delivery needs.</t>
  </si>
  <si>
    <t>S4I deprioritized HLO 1.1.3 for standalone investment in 2025 due to limited W1 resources and the absence of aligned W3/bilateral funding. This was not due to a lack of importance; rather, it was a pragmatic response to current financial realities. Importantly, S4I still regards this HLO as system-critical. It was retained in the Program’s Theory of Change, and elements of its strategy engagement functions were streamlined for implementation in a smaller number of priority countries. Its role in aligning scaling strategies with national agendas and IFI investment processes remains essential to the success of other HLOs, particularly those under AoW 2 and AoW 4.  The Program will track its catalytic role through ongoing country engagement, with the aim of expanding support in future annual plans when resources allow.</t>
  </si>
  <si>
    <t>Moderate comparative advantage (score: 0.63); weak scores in KBP; less donor interest in activities in LAC, SEA, CWANA than Africa and SA</t>
  </si>
  <si>
    <t>HLO 2.2.1 plays an enabling role in strengthening innovation networks that support the diffusion and scaling of agrifood system solutions. The KBP exercise yielded lower scores for this HLO in regions like Latin America, Southeast Asia, and CWANA, due largely to weaker institutional alignment, fewer mapped delivery partners, and less current donor interest. In contrast, higher prioritization emerged in Africa and South Asia, where innovation networks are more active and food and nutrition security challenges more urgent. S4I weighed this regional divergence in the KBP against a moderate comparative advantage rating (0.63), recognizing that while CGIAR’s role was not dominant, it remained essential as a convenor and network builder.
Other key factors shaped the final investment logic. S4I considered prior engagement through RIIs, the maturity of partner networks, and the availability of W3-aligned investment in network-based delivery models. The role of innovation platforms and multistakeholder scaling hubs, especially in ESA and SA, also contributed to its strategic fit. However, without consistent partner presence or investment backing in lower-scoring regions, the decision was made to focus activities where demand signals and network readiness were already strong.</t>
  </si>
  <si>
    <t>In 2025, S4I maintained HLO 2.2.1 with targeted investments in Africa and South Asia, where CGIAR’s comparative advantage and stakeholder alignment were strongest. Engagements in Latin America and Southeast Asia were scaled back due to ecosystem immaturity and limited external co-investment. This approach enabled the Program to preserve a high-leverage role for innovation networks in key scaling geographies, without overstretching resources in regions with lower short-term delivery feasibility. The HLO remains core to AoW 2 and is foundational to the emerging Scaling Flagship architecture. While not emphasized equally across all regions, its contribution to strengthening scaling ecosystems, bundling innovation actors, and catalyzing regional learning will continue to be built out through aligned investments and donor dialogue. The decision reflects a strategic balance between KBP outcomes, CA analysis, and funding feasibility, with opportunities for scaled engagement in 2026 as flagship designs evolve.</t>
  </si>
  <si>
    <t>Medium comparative advantage (score: 0.69); strong KBP scores; lexemplary foundations for this work led by the RIIs; AoW 2 sequencing</t>
  </si>
  <si>
    <t>HLO 2.2.2 plays a diagnostic role in the S4I Theory of Change, providing the methodological foundations needed to assess whether agrifood innovations are ready for scale. In the KBP exercise, this HLO received strong prioritization scores, especially in South Asia and East and Southern Africa, where evaluative approaches for solution readiness are in demand due to the scale and diversity of national agricultural transformation programs. S4I’s final prioritization of this HLO built on these KBP signals and was further strengthened by its comparative advantage rating (0.69), which reflected CGIAR’s longstanding leadership in adaptive research and systems diagnostics.
Importantly, HLO 2.2.2 is not standalone. It functions as part of a coordinated sequence with HLOs 2.2.3 and 2.2.4, where assessments lead to bundling and strategy design. Recognizing the interdependence of these HLOs, S4I opted not to treat individual scores or geographic preferences in isolation. Instead, the Program used KBP outputs to confirm regional relevance—especially in areas where prior investments through the RIIs had already demonstrated proof-of-concept for solution evaluation models—and then validated final investments based on alignment with W3/bilateral flows, partner capacity, and the presence of CGIAR-validated innovations with strong uptake potential.</t>
  </si>
  <si>
    <t xml:space="preserve">S4I retained HLO 2.2.2 as a core delivery mechanism in 2025, anchored in both KBP prioritization and the methodological requirements of its scaling architecture. The HLO’s strong scores in SA and ESA, coupled with its role in enabling demand-responsive innovation assessment, led to its continued inclusion in priority regions. Funding allocations were aligned with earlier RII-led work that demonstrated the utility of scaling readiness diagnostics and evaluation tools in shaping flagship packages. HLO 2.2.2 also contributed to the framing of CGIAR’s solution bundles in the Scaling Flagships and provided critical inputs into targeting strategies and adaptive scaling methods under AoW 2 and AoW 5. For these reasons, and due to its cross-HLO integration function, the HLO was treated as non-negotiable for effective flagship development and rollout in the selected geographies.
</t>
  </si>
  <si>
    <t>Medium comparative advantage (score: 0.69); strong KBP score; linked to ToC outcome pathways; significant W3 investments</t>
  </si>
  <si>
    <t>HLO 2.2.3 focuses on translating proven innovations into scale-ready packages that respond to systemic constraints and user needs. In the KBP exercise, this HLO scored highly in South Asia and East and Southern Africa, both of which have a growing portfolio of validated CGIAR innovations and national partners seeking integrated solutions. These regions also reflect strong donor interest in scaling bundled innovations, aligning this HLO with the food and nutrition security impact area.
With a comparative advantage rating of 0.69 and strong linkage to S4I’s Flagship model under AoW 2, HLO 2.2.3 was considered essential to operationalizing scaling approach. Its role in sequencing—coming after diagnostic assessments (HLO 2.2.2) and preceding investment strategies (HLO 2.2.4)—meant that even minor deviations could disrupt downstream delivery. S4I thus used the KBP rankings as confirmation of its regional relevance, but emphasized coherence with investment mapping, partner capacity, and institutional readiness. This was particularly relevant in countries like Bangladesh, Kenya, and Ethiopia, where CGIAR had both strong innovation portfolios and national buy-in for coordinated scaling.</t>
  </si>
  <si>
    <t>HLO 2.2.3 was prioritized for full implementation in SA and ESA, consistent with KBP results and its embedded role in S4I’s design. Its function as a connector between assessment and strategy enabled targeted delivery of CGIAR innovations through the Scaling Flagship structure. The HLO was also instrumental in aggregating technologies, advisory tools, and behavioral approaches into cohesive packages suitable for scaling via public and private sector platforms. This made it highly relevant to W3/bilateral donors seeking systems-based returns. S4I did not disaggregate this HLO’s value from those preceding or following it but treated it as integral to the logic chain. Decisions in 2025 reflected not only KBP priority but also continuity from prior investments, enabling partners, and the Program’s commitment to population-level impact through innovation bundling.</t>
  </si>
  <si>
    <t>Medium comparative advantage (score: 0.69); KBP ranked high in SA and ESA; strong alignment with impact logic</t>
  </si>
  <si>
    <t>HLO 2.2.4 enables the design of scaling strategies based on the diagnostics and bundles developed under HLOs 2.2.2 and 2.2.3. It is the final step in the HLO 2.2 sequence and focuses on translating evidence and stakeholder alignment into delivery mechanisms with defined reach, roles, and resources. The KBP results showed particularly high relevance in South Asia and East and Southern Africa—regions where scaling strategies must align with IFI investment, donor targets, and national delivery systems to achieve sustained outcomes.
This HLO received a comparative advantage rating of 0.69, affirming CGIAR’s role in applying research-based scaling frameworks that integrate investment planning with stakeholder-led delivery. Given the HLO’s embeddedness in the design logic of AoW 2 and its fit with S4I priorities with food security impact goals, S4I treated this as indispensable to program coherence. Decisions were supported by evidence of W3/bilateral co-financing, strong government partner engagement, and the presence of CGIAR-derived innovation bundles in select countries. Rather than viewing this HLO as optional, S4I used KBP outputs to determine which regions had the readiness to fully absorb and act on such strategies.</t>
  </si>
  <si>
    <t>S4I maintained HLO 2.2.4 as a top priority in SA and ESA for 2025, based on its function as a culmination point of the AoW 2 delivery pathway. It was not separated from HLOs 2.2.2 and 2.2.3 in decision-making, as all three form a mutually dependent process of assessment, bundling, and strategy deployment. Final prioritization considered not just KBP rankings but also prior institutional presence, partner capabilities, and aligned financing flows. This HLO also provided the core planning architecture for the Scaling Flagships, allowing them to transition from idea to implementation. Its retention supports the broader effort to build scalable delivery systems rooted in stakeholder demand, innovation diagnostics, and evidence-based investment design. S4I will continue tracking outcomes linked to this HLO to inform refinement and broader uptake across CGIAR’s Portfolio in subsequent years.</t>
  </si>
  <si>
    <t>Medium comparative advantage (score: 0.65); KBP performacnce in SEA low</t>
  </si>
  <si>
    <t>HLO 3.3.1 centers on identifying and analyzing policy, institutional, and regulatory barriers that affect scaling success. During the KBP exercise, this HLO received lower prioritization scores in regions such as Southeast Asia, due in part to limited presence of relevant institutions and diagnostic capacity. Its comparative advantage rating of 0.65 confirmed CGIAR’s moderate ability to lead on this type of work systemwide. Although not among the highest-ranked HLOs, the KBP outputs were instrumental in shaping regional targeting discussions.
In assessing final investment options, S4I considered the limited institutional readiness and mapped partnerships in some regions, particularly in SEA and CWANA. The 2025 planning year is transitional, and much of the CGIAR system remains structured around legacy configurations. Therefore, the Program chose to reflect continuity with prior scaling efforts while positioning HLO 3.3.1 as a long-term enabler rather than a 2025 delivery focus. The role of this HLO—especially in guiding targeted support under AoW 3—remains conceptually critical to the Program. However, final prioritization considered the current strength of diagnostic ecosystems, availability of aligned funding, and the potential of partners to support scaling processes.</t>
  </si>
  <si>
    <t xml:space="preserve">While HLO 3.3.1 was not prioritized for immediate standalone investment in 2025, it remains central to S4I’s broader Theory of Change and future design. The slightly lower KBP results were viewed in conjunction with comparative advantage analysis and an assessment of enabling environment readiness across regions. CGIAR’s ability to drive this HLO is expected to grow over time, particularly as AoW 3 matures and W3/bilateral alignment deepens. The Program will revisit the role of HLO 3.3.1 in Q3 of 2025 as part of its detailed prioritization for the 2026–2030 cycle. Its relevance to the food and nutrition security impact area is still recognized, particularly in countries where scaling outcomes hinge on regulatory and institutional alignment. </t>
  </si>
  <si>
    <t>Moderate comparative advantage (score: 0.65); significant partner-led scaling activity (e.g., IFIs, policy orgs)</t>
  </si>
  <si>
    <t>HLO 3.3.2 focuses on providing targeted services to improve the scaling readiness of public systems, institutions, and policies. In the KBP exercise, its relevance was evident in regions with robust IFI engagement and policy-led transformation efforts—particularly South Asia, East and Southern Africa, and West and Central Africa. These findings aligned with S4I’s internal assessments and its comparative advantage rating of 0.65, reflecting moderate institutional experience in this area and a strong base of partnerships.
Rather than positioning this HLO as a stand-alone function, S4I considered how it could best complement active IFI-funded programs and partner-led scaling strategies. CGIAR’s value lies in providing strategic technical input and co-developing scaling pathways with existing policy and financial actors. In prioritizing this HLO, S4I factored in both its delivery feasibility and fit with S4I priorities with AoW 3 and AoW 4. The decision was also guided by mapped W3 and bilateral investments that could benefit from complementary CGIAR support in scaling services, especially in regions where enabling conditions were being actively developed.</t>
  </si>
  <si>
    <t>HLO 3.3.2 was retained in S4I’s 2025 Plan as an embedded support function within broader regional strategies, particularly where enabling environments and institutional capacities are being co-developed with partners. South Asia, East and Southern Africa, and West and Central Africa were prioritized based on strong partner ecosystems and alignment with CGIAR’s scaling approach. Rather than deploying a generic set of services, S4I’s decision reflects an adaptive approach—tailoring support to IFI pipelines, government scaling frameworks, and pre-identified innovation pathways. The KBP exercise confirmed that demand for this work was concentrated in regions with active investment agendas, making it an ideal match for CGIAR’s strengths in scaling facilitation. While the HLO’s comparative advantage is moderate, its role in translating technical insight into institutional action was seen as essential for long-term system strengthening. It will therefore be implemented as a cross-cutting service, embedded in regional strategies and coordinated closely with AoW 4 financing engagement.</t>
  </si>
  <si>
    <t>Moderate comparative advantage (score: 0.65); high KBP score in SA; low in LAC/SEA</t>
  </si>
  <si>
    <t>HLO 3.3.3 aims to strengthen the interface between evidence, policy, and responsible scaling by enabling Science Programs to engage more effectively with national governments and shape enabling policies. In the KBP exercise, it received strong support in South Asia, but scored lower in Latin America and Southeast Asia. A moderate comparative advantage rating of 0.65 indicated CGIAR’s ability to deliver on this function through selected centers and existing country relationships.
In prioritizing HLO 3.3.3, S4I considered the regional variation in relevance alongside programmatic needs for responsive policy systems that enable scaling in food and nutrition security. Its strategic importance was confirmed in regions such as South Asia and East and Southern Africa, where national policy landscapes are already influencing investment pipelines and institutional delivery. 2025 planning also reflected the transitional nature of the year, with S4I choosing to embed this HLO within AoW 3 rather than launching it as a standalone delivery priority. Its inclusion in the broader coordination and diagnostic efforts reflects a phased approach: building on earlier work, linking to future Science Program collaboration, and ensuring responsiveness to regional engagement opportunities as they mature.</t>
  </si>
  <si>
    <t>S4I retained HLO 3.3.3 as an integral part of its 2025 portfolio planning but did not prioritize it for immediate region-specific delivery. Its role in brokering responsible, government-facing scaling partnerships is central to AoW 3 and to the Program’s long-term delivery logic. Final calls reflected a balance between KBP results, the moderate comparative advantage rating, and the maturity of policy scaling interfaces across regions. Where regional entry points are stronger—such as in South Asia—its integration will proceed through collaborative activities. In other geographies, efforts will be sequenced to align with Science Program-led engagement and government readiness. Overall, HLO 3.3.3 remains a core enabler of responsible scaling but will be operationalized in line with CGIAR’s evolving country strategies and S4I’s staged delivery approach in 2025.</t>
  </si>
  <si>
    <t>High comparative advantage (score: 0.83); legacy of engagement with IFIs; presence of aligned bilaterals</t>
  </si>
  <si>
    <t>HLO 4.4.1 supports embedding CGIAR’s innovations and technical services into the design and delivery of development investments, particularly those led by IFIs and national systems. It scored high on comparative advantage (0.83), reflecting CGIAR’s longstanding engagement with IFIs and its institutional capacity to work alongside national programs. KBP scores reinforced its relevance, especially in Africa and South Asia, where donor interest and public investment alignment are strong.
In refining priorities for 2025, S4I placed significant weight on this HLO given its foundational role in achieving Scaling Flagship ambitions through IFI co-design and pipeline alignment. The Program reviewed mapped W3 and bilateral investments already aligned with CGIAR delivery and examined institutional positioning to provide scaling advisory services. This confirmed that S4I could deliver practical value by working across CGIAR Programs to integrate evidence-based innovations into IFI projects during early design stages, where strategic choices about scaling potential are often made.</t>
  </si>
  <si>
    <t>HLO 4.4.1 was prioritized as a high-value regional investment across South Asia, East and Southern Africa, and West and Central Africa. These decisions were supported by strong KBP performance, high comparative advantage, and evidence of mapped bilateral/IFI investment entry points. It was seen as one of the most direct and efficient pathways for achieving near-term scaling outcomes. It also enables CGIAR to respond to growing demand from IFIs and partner governments for scaling support embedded in investment cycles. The HLO is central to AoW 4 and will serve as a cornerstone for the Program’s efforts to connect innovation supply to financing pipelines—making it a clear priority in both regional and thematic planning for 2025.</t>
  </si>
  <si>
    <t>Moderate comparative advantage (score: 0.65); Some scaling hubs not yet institutionalized; moderate KBP relevance</t>
  </si>
  <si>
    <t>HLO 4.4.2 received a moderate comparative advantage rating (0.65) and was assessed during the KBP exercise as moderately relevant, especially in contexts where scaling hubs remain underdeveloped. S4I reviewed these findings alongside institutional feedback indicating that the operational infrastructure required to support this HLO—namely, scaling hubs, strategic reviews, and support teams—was not yet consistently in place across CGIAR. In light of this, the Program emphasized HLO 4.4.2’s functional importance in consolidating innovation portfolio management systems, rather than prioritizing it based on geographic variation in demand.
During 2025, this HLO was treated as a foundational element to ensure alignment between legacy RII activities and future scaling Flagship support functions. While regional implementation was limited in areas like Latin America and Southeast Asia due to institutional readiness and dependency on external actors, HLO 4.4.2 remained embedded in S4I’s broader architecture under AoW 5. It also supported joint country reviews and early-stage design support for Science Program alignment, laying the groundwork for more formalized systemwide implementation beginning in 2026.</t>
  </si>
  <si>
    <t>S4I maintained HLO 4.4.2 as a key enabling function but deprioritized it in regions with lower institutional readiness and weak coordination mechanisms, such as Latin America and Southeast Asia. This decision reflected the Program’s pragmatic approach to 2025 implementation—balancing the conceptual importance of portfolio management with short-term delivery feasibility. It was not dropped from the Program logic but rather concentrated in locations where CGIAR already had established platforms to support strategy refinement and hub development. Because 2025 is a transition year, this HLO’s implementation focused on operational setup and diagnostics to inform 2026 delivery, with geographic scaling based on emerging demand and institutional maturity. These decisions were grounded in continuity with prior portfolio integration efforts and strategic needs for strengthened system support, particularly in Africa and South Asia, where scaling coordination is essential to meet key government expectations and SGD needs.</t>
  </si>
  <si>
    <t>Medium comparative advantage (score: 0.67); no strong delivery pathways; requires internal CGIAR investment</t>
  </si>
  <si>
    <t>HLO 5.5.1 was prioritized internally for its role in advancing CGIAR’s systemwide learning capacity, although it received a medium comparative advantage rating (0.67). This HLO focuses on developing the conceptual, diagnostic, and analytical tools that underpin effective scaling, with a particular emphasis on methods that inform scaling pathways, institutional learning, and decision support. While the KBP exercise provided regional signals, S4I evaluated this HLO as fundamentally non-region-specific. As such, its value was assessed more on system relevance and CGIAR’s need to build durable scaling infrastructure.
In deciding how to integrate HLO 5.5.1, S4I also reviewed the legacy of past investments in tools, partnerships, and science-based diagnostics led by global units. These were seen as essential to support cross-Flagship learning, as well as the refinement of scaling methodologies in areas such as responsible scaling, readiness assessment, and innovation stage-gating. HLO 5.5.1 was therefore embedded in the Program’s operational support systems to inform monitoring, design, and forward planning.</t>
  </si>
  <si>
    <t>HLO 5.5.1 remained a core internal function of S4I’s Theory of Change but was not prioritized for direct regional rollout. Its internal relevance to scaling science, learning loops, and evidence generation justified its continued investment, even in the absence of strong regional KBP scores. Deviation from lower KBP relevance in LAC and CWANA was considered appropriate given the global utility of this HLO. Implementation in 2025 is focused on consolidating methods, embedding learning functions into AoW 5, and preparing the system to more effectively diagnose scaling pathways. Over time, this investment is expected to raise the quality and consistency of scaling planning across Science Programs and enable greater alignment with partners seeking rigorous, evidence-based strategies for scale.</t>
  </si>
  <si>
    <t>Moderate comparative advantage (score: 0.66); SPIA and NARES better placed to lead</t>
  </si>
  <si>
    <t>The Program’s review of HLO 5.5.2 reflected the moderate comparative advantage rating of 0.66 and a recognition that SPIA, national agricultural research systems, and other partners may be better placed to lead impact evaluations. This assessment followed the KBP exercise, which identified lower direct relevance in regions like WCA and underscored the need for a stronger institutional partnership model. Rather than treating HLO 5.5.2 as a standalone delivery mechanism, S4I positioned it as a complementary element to AoW 5’s efforts to strengthen adaptive learning and performance systems. In the context of food and nutrition security, the value of credible evidence remains high, but S4I will focus on improving coordination, making sure that evaluation insights contribute to future scaling prioritization and alignment. This reflects a pragmatic division of labor in which S4I integrates learning from others’ impact assessments while reinforcing their application within CGIAR’s scaling strategies.</t>
  </si>
  <si>
    <t xml:space="preserve"> Slightly deprioritized   in WCA and CWANA due to delivery feasibility despite moderate KBP scores.</t>
  </si>
  <si>
    <t>Medium comparative advantage (score: 0.67); analytics weakly embedded in CGIAR program logic</t>
  </si>
  <si>
    <t>HLO 5.5.3 received a medium comparative advantage rating (0.67) and limited support in the KBP exercise, reflecting that custom analytics tools are not yet widely embedded in CGIAR’s programmatic systems. Despite this, S4I considered the HLO to be of system-level importance for strengthening portfolio management and decision-making. The Program reviewed legacy monitoring and performance management tools developed during the RII and NPS phases and identified this HLO as a key opportunity to enhance resource allocation, innovation tracking, and feedback mechanisms across CGIAR’s scaling architecture.
Because analytics are foundational to real-time decision support and system learning—but do not inherently lend themselves to regional differentiation—S4I did not treat HLO 5.5.3 as regionally prioritized. Instead, its role was framed as a cross-cutting enabler to be deployed where demand emerges from other Science Programs or regions, especially where better data-driven decision-making is needed to support scaling. The Program’s decision was guided by a focus on coherence and internal service delivery, especially under AoW 5, to ensure consistency and responsiveness in 2025 planning and execution.</t>
  </si>
  <si>
    <t>HLO 5.5.3 was not prioritized as a standalone regional investment. Rather, its utility was positioned as an on-demand service function embedded in CGIAR’s internal operations. The Program acknowledged its medium comparative advantage and lower KBP relevance, but recognized the HLO’s potential to strengthen the quality of scaling-related decision-making across the entire Portfolio. As a result, S4I decided to treat this HLO as a system support mechanism, activated in response to identified gaps or priorities in Science Programs or regional contexts. This approach is consistent with CGIAR’s broader logic of integrated service provision and reflects continuity with prior investments in analytical systems. Going forward, the HLO’s relevance will be defined not by its geographic footprint but by its contribution to innovation portfolio management needs of CGIAR and the Science Progarms.</t>
  </si>
  <si>
    <t>High comparative advantage (score: 0.89); strong CGIAR coordination; W3 support in SA/ESA</t>
  </si>
  <si>
    <t>HLO 1.1.1 received a high comparative advantage rating (0.89), and was prioritized consistently across South Asia (SA), East and Southern Africa (ESA), and West and Central Africa (WCA). The KBP exercise strongly validated this prioritization, emphasizing its relevance for aligning CGIAR innovation supply with localized demands—particularly where labor-intensive technologies can enhance smallholder productivity and income generation. This HLO plays a foundational role in improving how science addresses the needs of resource-constrained farming populations, helping to increase job creation through targeted scaling. High levels of W3 support and CGIAR’s institutional credibility in convening partners further justified this HLO’s prioritization in regions where poverty reduction is an explicit development priority. Demand signaling directly contributes to this impact area by ensuring innovation portfolios reflect the economic realities of poor rural communities, improving adoption and generating employment opportunities through better-aligned agricultural technologies.</t>
  </si>
  <si>
    <t>S4I prioritized HLO 1.1.1 across SA, ESA, and WCA without deviation from KBP guidance. Strong comparative advantage, clear CGIAR delivery capabilities, and the direct connection to job creation through demand-led technology design made this HLO essential. Its role in AoW 1 ensures systemwide delivery benefits across the Program and CGIAR Portfolio.</t>
  </si>
  <si>
    <t>Medium CA score (~0.65); part of AoW 5 adaptive learning; legacy RII alignment</t>
  </si>
  <si>
    <t>HLO 1.1.2 was treated as a program-integrated, cross-program support function rather than a regionally discrete priority. It scored moderately on comparative advantage (~0.65) but was closely tied to AoW 5’s adaptive learning systems and AoW 2’s scaling support. KBP results indicated relevance in SA, ESA, and WCA. This HLO was particularly relevant in regions where employment growth and productivity gains require flexible, responsive innovation delivery. CGIAR’s capacity to learn from scaling processes—especially those involving co-delivery with universities, extension services, and national research systems (NARES)—supports stronger employment outcomes and more inclusive scaling efforts. These factors justified its prioritization even without high donor specificity. It underpins learning loops that help refine innovations in response to farmer behavior and labor market signals—making it a core mechanism for improving how CGIAR innovations generate livelihood benefits and contribute to rural job creation.</t>
  </si>
  <si>
    <t>S4I retained HLO 1.1.2 as a priority in SA, ESA, and WCA. It was not subject to regional tradeoffs due to its integrated role in adaptive delivery. Its cross-cutting alignment with CGIAR’s internal learning systems and support to inclusive scaling processes justified its continued presence as a backbone element in the Program’s logic for rural employment and poverty reduction.</t>
  </si>
  <si>
    <t>Program-wide system function; foundational role in ToC; embedded in AoW 1</t>
  </si>
  <si>
    <t>HLO 1.1.3 functions as a program-wide enabler to support fit with S4I priorities across scaling actions. Although not scored separately in the KBP, it was prioritized in SA and ESA based on its foundational role in ensuring coherent engagement across Programs, governments, and delivery partners. CGIAR’s comparative advantage in facilitating national-level coordination was a key factor in its selection. For poverty reduction and job creation, this HLO helps align resource flows, public-private partnerships, and government strategies, which are necessary for scaling labor-generating innovations. In practice, this coordination underpins the bundling of innovations, aggregation of demand, and inclusion of service providers critical for reaching smallholders at scale. Internal delivery feasibility and the need for coherent support structures reinforced its role as essential infrastructure for effective rural employment outcomes.</t>
  </si>
  <si>
    <t>Weak KBP score; low CA score; limited innovation ecosystem</t>
  </si>
  <si>
    <t>HLO 2.2.1 received a low Knowledge-Based Prioritization (KBP) score and a moderate comparative advantage rating (0.63), signaling lower alignment with regional demand and delivery feasibility. For the Poverty Reduction and Job Creation impact area, strong innovation networks are vital for fostering rural service markets and enabling scale-up of employment-generating solutions. However, KBP results suggested limited relevance in regions such as Latin America and Southeast Asia, while analysis of partner presence, funding continuity, and delivery systems pointed to weaker institutional capacity in those areas. The comparative advantage rating was reviewed after the KBP exercise, reinforcing that while the HLO concept is important for long-term systems transformation, more immediate scaling returns were expected from other HLOs with better-developed delivery ecosystems. As a result, S4I strategically focused resources on HLOs with clearer short-term potential to support economic opportunity and job creation.</t>
  </si>
  <si>
    <t>In 2025, S4I retained HLO 2.2.1 through focused investments in Africa and  Asia, where CGIAR’s comparative advantage and stakeholder alignment were strongest. Engagements in Latin America and Southeast Asia were reduced, reflecting weaker enabling environments and limited external co-financing. This selective approach preserved S4I’s influence in priority regions while avoiding resource dilution in areas with lower delivery feasibility. The HLO remains central to AoW 2 and integral to the evolving Scaling Flagship structure. Although not prioritized equally across all regions, its role in connecting innovation actors, strengthening scaling ecosystems, and fostering regional learning will be expanded through targeted investments and continued donor engagement. The decision reflects a balanced consideration of KBP results, comparative advantage ratings, and 2025 funding constraints, with potential for expanded efforts in 2026 as flagship plans mature.</t>
  </si>
  <si>
    <t>Medium CA (~0.66); part of scaling pathway; RII and legacy alignment</t>
  </si>
  <si>
    <t>HLO 2.2.2 was treated as a foundational component of S4I’s interlinked agrifood scaling strategy. While its standalone comparative advantage rating was moderate (approximately 0.66), the HLO plays a vital role in the sequencing of evaluation and refinement activities that are central to S4I’s Theory of Change. As such, the KBP scoring process did not evaluate this HLO separately from 2.2.3 and 2.2.4, given that their mutual interdependence—both conceptually and operationally—would render disaggregated prioritization misleading. Decision-making instead focused on how the HLO functions as part of a system that supports adaptive learning and rigorous methods for testing scale-readiness. Its relevance was reinforced by RII and legacy alignment in key delivery geographies, including South Asia and East and Southern Africa. These regions also showed strong potential for leveraging prior investments and research pipelines. The methodological foundations supported by this HLO underpin learning across the entire scaling strategy.</t>
  </si>
  <si>
    <t>S4I retained HLO 2.2.2 as a priority for 2025 across South Asia and East and Southern Africa. The decision reflected both its centrality in sequencing with 2.2.3 and 2.2.4, and its foundational role in ensuring robust methods for evaluating scaling readiness and performance. Comparative advantage scores were reviewed post-KBP to confirm feasibility and delivery capacity in the prioritized regions. Investment continuity from the RIIs and the alignment with active Science Program scaling packages further supported its selection. While not operationally distinct, the HLO’s embedded nature within the larger agrifood systems scaling suite meant it was treated as a prerequisite for sustained progress across the Poverty Reduction and Jobs impact area.</t>
  </si>
  <si>
    <t>Strong KBP score; linked to CGIAR scaling flagship strategy; core to AoW 2</t>
  </si>
  <si>
    <t>HLO 2.2.3 was identified as a core function within S4I’s agrifood system scaling approach, directly linked to the identification and deployment of scale-ready innovation bundles and packages. Strong KBP scores—particularly in South Asia and East and Southern Africa—reinforced its demand alignment and strategic relevance. This HLO is strongly connected to S4I’s Scaling Flagships and was therefore prioritized as part of the interdependent trio with HLOs 2.2.2 and 2.2.4. It serves as the operational link between what is ready to scale and the strategies used to deliver those innovations at population levels. In decision-making, its prioritization was shaped not only by regional KBP scoring but also by the presence of mature research outputs, delivery partners, and aligned W3 or bilateral support in target countries. Importantly, the HLO is positioned to directly support scalable solutions for smallholders and job creation in the food system—contributing significantly to the Poverty Reduction and Jobs impact area.</t>
  </si>
  <si>
    <t>S4I slightly prioritized HLO 2.2.3 for delivery in South Asia and East and Southern Africa in 2025. This reflected its strong KBP scores, alignment with core Scaling Flagships, and its strategic placement within the program logic for testing, validating, and launching scale-ready bundles. Its downstream role in enabling high-reach delivery mechanisms made it an indispensable component of the agrifood system HLO suite. Comparative advantage scores were considered after KBP to confirm delivery readiness and reinforce regional fit. Because this HLO directly supports job and livelihood creation through scale delivery, its prioritization was especially relevant for the Poverty Reduction and Jobs CGIAR impact area.</t>
  </si>
  <si>
    <t>Part of interlinked HLO suite; moderate CA (~0.65); high KBP score</t>
  </si>
  <si>
    <t>HLO 2.2.4 completes the triad of interlinked scaling functions under AoW 2, focusing on the design and adaptation of scaling strategies once bundles are evaluated and ready. The KBP exercise treated HLOs 2.2.2 to 2.2.4 as a package, recognizing that they must function together to generate effective outcomes. While the comparative advantage rating for this HLO was moderate (~0.65), it aligned closely with impact logic and benefited from strong program delivery design. Choices about prioritization also drew from partner presence, legacy workstreams under the RIIs, and mapped W3 and bilateral investments that could support scaling processes. The ability to tailor and refine delivery approaches based on context-specific scaling lessons is a core aspect of this HLO’s value, particularly in employment-rich sectors such as agricultural services, inputs, and mechanization. This relevance to poverty reduction and livelihoods further strengthened its strategic case.</t>
  </si>
  <si>
    <t>S4I prioritized HLO 2.2.4 for implementation in South Asia and East and Southern Africa in 2025. Its contribution to end-to-end scaling approach—ensuring that once bundles are validated, they can be strategically delivered—was key to this decision. The HLO also underpins adaptive management practices that are necessary to fine-tune scaling interventions for job and income outcomes. Although its standalone score was moderate, its inclusion was justified based on its programmatic interdependence and operational feasibility in priority regions. Together with 2.2.2 and 2.2.3, this HLO delivers a continuous pathway from research validation to scalable deployment and learning feedback, strongly aligned with CGIAR’s Poverty Reduction and Jobs impact area.</t>
  </si>
  <si>
    <t>Medium CA; diagnostics better led by think tanks or policy orgs</t>
  </si>
  <si>
    <t>HLO 3.3.1 received a medium comparative advantage rating of 0.65 and scored lower in KBP relevance across Southeast Asia and CWANA. While the KBP outcomes flagged modest prioritization, S4I acknowledged the HLO’s conceptual importance within AoW 3 for identifying institutional and policy barriers to scaling. However, practical delivery factors weighed more heavily in 2025 planning. These included the availability of aligned partners with diagnostic capabilities, maturity of national systems for uptake, and the presence of mapped investments that could anchor CGIAR’s role. As 2025 marked a transition year, S4I emphasized delivery feasibility and the continuity of prior RII and NPS investments. In that context, S4I judged that CGIAR’s role in diagnostics would be more catalytic than direct. The HLO was thus lightly deprioritized in regions where diagnostic capacities already existed or could be more credibly led by non-CGIAR actors such as think tanks, civil society, or government agencies.</t>
  </si>
  <si>
    <t>S4I slightly deprioritized HLO 3.3.1 for near-term delivery in Southeast Asia and CWANA. This decision was grounded in the limited presence of strong institutional partners, low mapped co-financing opportunities, and the comparative advantage of other actors in leading diagnostics. However, the function remains embedded in AoW 3 logic and may receive renewed emphasis as part of a systemwide approach to identifying policy, market, or institutional constraints to scaling—particularly where linked to CGIAR Flagship delivery challenges. The decision reflects S4I’s broader strategy of focusing 2025 resources where poverty reduction and food systems transformation outcomes are most likely, while maintaining alignment with longer-term enablers.</t>
  </si>
  <si>
    <t>Medium CA (~0.67); active partner landscape in target regions</t>
  </si>
  <si>
    <t>HLO 3.3.2 was guided by a medium comparative advantage rating (~0.67) and benefited from a favorable partnership landscape, particularly in Africa and South Asia, where demand from IFIs and policy partners was strongest. The KBP results signaled sufficient relevance to justify continued investment, especially where CGIAR could act as a co-implementer alongside partners. The Program also recognized the critical support role of this HLO within AoW 3, especially in facilitating operational links between scaling strategy and governance mechanisms in target regions. Because 2025 planning emphasized continuity with aligned W3 and bilateral investments, this HLO was prioritized where S4I could reinforce government-led or IFI-aligned scaling initiatives. The presence of joint platforms, national-level integration efforts, and legacy collaboration in SA, ESA, and WCA increased its feasibility. By embedding this work as a shared function rather than a standalone outcome, S4I ensured that enabling environment support could flexibly complement innovation scaling efforts already underway.</t>
  </si>
  <si>
    <t>S4I retained HLO 3.3.2 as a priority across South Asia, East and Southern Africa, and West and Central Africa, where the scaling ecosystem is relatively mature and CGIAR’s contribution is additive. Rather than positioning CGIAR as the sole deliverer, the Program framed this HLO as a co-investment opportunity—facilitating service linkages, regulatory coordination, or institutional handover where innovation delivery efforts required enabling environment interventions. The HLO’s connection to the Poverty Reduction and Job Creation impact area was especially noted in contexts where institutional barriers limit inclusive access to innovations. The Program therefore allocated targeted resources for this work in regions where delivery pathways were clear and aligned investments could be leveraged.</t>
  </si>
  <si>
    <t>Low KBP in SEA/LAC; moderate CA; embedded in AoW 3</t>
  </si>
  <si>
    <t>HLO 3.3.3 was evaluated based on low KBP prioritization in SEA and LAC, but a moderate comparative advantage rating and high conceptual alignment with CGIAR’s role in evidence-informed governance. The HLO is embedded in AoW 3 as a support function for scaling that is transparent, politically responsive, and linked to national decision-making. While not universally prioritized, this HLO was seen as particularly relevant in South Asia and ESA where CGIAR maintains active policy engagement platforms, including through collaborations with ministries, advisory groups, and IFI co-financing frameworks. S4I also considered its contribution to the Poverty Reduction and Job Creation impact area, where enabling policy coherence can help sustain employment-generating innovations in food, land, and water systems. Because 2025 investment decisions also weighed feasibility and mapped co-delivery potential, the HLO was lightly prioritized in regions where systems were more open to evidence-based adaptation of policy instruments and national scaling roadmaps.</t>
  </si>
  <si>
    <t>S4I retained HLO 3.3.3 in South Asia and ESA where institutional strength, partner demand, and CGIAR track record in policy engagement supported its relevance. The decision acknowledged that while the HLO may not yield short-term outputs, it lays important groundwork for long-term systems transformation. S4I positioned the HLO as a cross-cutting enabler of innovation legitimacy and policy alignment—especially where interface platforms exist or can be revitalized to support national scale-up plans. While slightly deprioritized in SEA and LAC due to limited demand and delivery feasibility, the HLO remains conceptually central to AoW 3 and the overall Theory of Change.</t>
  </si>
  <si>
    <t>High CA (score: 0.83); strong engagement with IFIs, bilaterals</t>
  </si>
  <si>
    <t>HLO 4.4.1 scored highly in both the comparative advantage assessment (0.83) and the KBP exercise, especially in Africa and South Asia. The HLO was seen as essential to translating CGIAR’s innovation capacity into scaled development outcomes through integration with IFIs and bilateral projects. Its relevance was further underscored by CGIAR’s historical credibility with governments and financiers, as well as mapped investments already targeting structural transformation and poverty reduction. Regional inception dialogues reaffirmed demand from scaling partners to incorporate CGIAR tools into large-scale investment programs. These factors, combined with CGIAR’s internal alignment and clear delivery feasibility, led S4I to treat this HLO as a strategic priority for embedding innovations into system-level investments. Its importance to the Poverty Reduction and Job Creation impact area was especially noted, given its direct support to delivery mechanisms that create jobs and livelihoods at scale</t>
  </si>
  <si>
    <t>S4I prioritized HLO 4.4.1 across South Asia, East and Southern Africa, and West and Central Africa. These decisions were grounded in both high demand and delivery feasibility, especially where aligned W3 and bilateral investments were already operational. The HLO was positioned as a high-leverage entry point for systems integration, enabling CGIAR to provide technical services that link scaling innovations to national and IFI pipelines. Its relevance was further reinforced by its embedded role in AoW 4 as the delivery bridge between science and finance. Given its clear alignment with both regional priorities and CGIAR’s comparative strength, this HLO was advanced without deviation.</t>
  </si>
  <si>
    <t>Limited institutional maturity; mixed KBP</t>
  </si>
  <si>
    <t>HLO 4.4.2 was assessed as a systems enabler rather than a direct delivery HLO. It received a moderate comparative advantage rating (0.65) and exhibited mixed KBP support, with weaker scores in LAC and SEA. While the value of scaling support teams was widely acknowledged in principle—particularly for improving coordination across Flagships and delivering impact at scale—many of the proposed functions under this HLO had not yet been institutionalized across CGIAR. During 2025 planning, the Program therefore positioned this HLO as an internal capacity investment. CGIAR’s current scaling architecture was still transitioning from legacy RII/NPS systems, and dedicated support teams were not yet fully operational in all regions. As such, final decisions weighed the potential value of continued experimentation in scaling hubs against current delivery feasibility. CGIAR’s institutional role was recognized, but operational capacity limitations led to a more cautious short-term stance.</t>
  </si>
  <si>
    <t>S4I slightly deprioritized HLO 4.4.2 in Southeast Asia and Latin America in 2025. While delivery constraints limited near-term investment, the HLO remained conceptually embedded in AoW 4 as a key enabler of coherent strategy development and execution across CGIAR. Deviation from KBP results was justified based on delivery feasibility and current institutional capacity.</t>
  </si>
  <si>
    <t>Moderate CA (~0.66); internal CGIAR function; weak KBP score</t>
  </si>
  <si>
    <t>HLO 5.5.1 was treated as a foundational cross-cutting HLO, reflecting CGIAR’s internal capacity development priorities. The KBP exercise showed weaker prioritization across most regions—especially LAC and CWANA—but the comparative advantage rating was moderate (0.66), pointing to CGIAR’s core role in leading scaling science and learning system development. Importantly, the HLO was not assessed as a region-specific investment but rather as a CGIAR systemwide need. It was considered essential for improving internal coherence, especially across AoWs 2, 4, and 5, and for fostering greater rigor in scaling experimentation and adaptive learning. The HLO’s contribution to the Poverty Reduction and Job Creation impact area was indirect but important, enabling CGIAR to refine how it targets, sequences, and evaluates scaling actions that generate livelihoods. S4I recognized that while external visibility may be low, the HLO was vital to long-term institutional transformation.</t>
  </si>
  <si>
    <t>S4I lightly prioritized HLO 5.5.1 for internal investment in 2025, with emphasis on building CGIAR’s systemwide scaling science capabilities. S4I sees this HLO as essential for improving targeting precision, enhancing learning feedback loops, and preparing the system for more integrated scaling strategies beyond 2025. While deprioritized in SEA and CWANA from a delivery perspective, this deviation was justified given its internal role and the need for deeper institutional anchoring before external application.</t>
  </si>
  <si>
    <t>Low CA; better led by SPIA, NARES</t>
  </si>
  <si>
    <t>HLO 5.5.2 received a lower comparative advantage rating and was not highly prioritized in KBP results. The assessment noted that this HLO is more appropriately led by SPIA or national research partners such as NARES. While the importance of scaling impact evidence is well recognized, CGIAR’s delivery role under this HLO was perceived as facilitative rather than central. As such, S4I considered its inclusion not as a delivery-oriented priority but rather as an element of AoW 5 where strategic partnerships could be leveraged. Final calls took into account the maturity of existing evaluation platforms, limited mapped co-financing, and the fact that many SPIA-led activities were already underway. Contributions to the Poverty Reduction and Job Creation impact area were judged to be indirect, though potentially relevant for validating the equity and employment effects of scaling efforts.</t>
  </si>
  <si>
    <t>S4I slightly deprioritized HLO 5.5.2 in 2025 due to limited comparative advantage and existing partner leadership. The HLO was not removed but was lightly emphasized as a coordination and learning function rather than a CGIAR-led investment stream. Deviation from KBP results was justified based on feasibility and internal delivery capacity</t>
  </si>
  <si>
    <t>Medium CA; weak internal embedding in CGIAR logic</t>
  </si>
  <si>
    <t>HLO 5.5.3 was evaluated primarily for its function within CGIAR’s internal decision-support ecosystem. Although it received a medium comparative advantage rating (0.67), the KBP exercise reflected weak prioritization and limited current uptake across the system. Nonetheless, the HLO was recognized as a strategic enabler of CGIAR’s evolving analytics capacity—especially for resource allocation, portfolio management, and learning. While direct contributions to poverty reduction are contingent on integration with other HLOs, S4I viewed this function as important for strengthening CGIAR’s institutional intelligence and guiding scaling decisions. However, given current fragmentation of analytics tools and absence of mapped W3/bilateral co-financing, the Program adopted a cautious approach. CGIAR’s internal analytics capacity is still developing, and demand for custom portfolio diagnostics varies significantly by region and Flagship.</t>
  </si>
  <si>
    <t>S4I maintained a low prioritization for HLO 5.5.3 in 2025, consistent with the KBP exercise and CA findings. While acknowledged as strategically important for improving systemwide decision-making, the HLO was not resourced as a standalone investment area due to low external visibility, unclear ownership, and limited field application. The Program opted to revisit the HLO’s role in 2026 once legacy investments in M&amp;E systems are reviewed and harmonized. Deprioritization was justified based on internal delivery constraints and the need to sequence foundational systems investments ahead of scaling analytics expansion. The HLO remains embedded within AoW 5, with its evolution dependent on future demand from Flagships and partners.</t>
  </si>
  <si>
    <t>Social inclusion</t>
  </si>
  <si>
    <t>High CA (0.89); CGIAR’s extensive experience engaging marginalized groups and facilitating demand identification across gender/youth dimensions</t>
  </si>
  <si>
    <t>HLO 1.1.1 was treated as a high-priority outcome based on strong Knowledge-Based Prioritization (KBP) scores across South Asia (SA), East and Southern Africa (ESA), and West and Central Africa (WCA). Its comparative advantage rating of 0.89 reflected CGIAR’s longstanding strength in aligning research outputs with stakeholder demand—including among marginalized communities. The role of HLO 1.1.1 in advancing gender and youth-responsive scaling strategies was especially relevant to the Gender Equality, Youth, and Social Inclusion (GEYSI) Impact Area, where demand systems must reflect differential access to innovations and decision-making authority. The 2025 planning cycle emphasized this function as critical to ensuring donor-aligned innovation portfolios, especially given the high overlap with W3/bilateral funding in priority geographies. Demand signaling also contributed to the food and nutrition security impact area by helping identify scaling-ready solutions aligned with consumer, market, and policy priorities. S4I considered HLO 1.1.1 a core enabler of its portfolio-wide engagement and delivery strategy.</t>
  </si>
  <si>
    <t>S4I retained HLO 1.1.1 as a high priority across SA, ESA, and WCA with no deviation from the KBP. This decision reflected strong alignment between stakeholder demand and the Program’s Theory of Change, particularly the need for inclusive, responsive systems to identify scale-ready innovations. CGIAR’s comparative advantage in this area, combined with its unique positioning to work across partners, was reinforced by clear evidence of W3/bilateral funding continuity and partner commitment. This HLO was viewed as instrumental in informing the selection, sequencing, and scaling of innovation bundles—making it foundational to AoW 1 and highly relevant to both the GEYSI and food security impact areas.</t>
  </si>
  <si>
    <t>Medium CA (0.69); tied to inclusive research-for-development pathways and gender/youth learning integration</t>
  </si>
  <si>
    <t>HLO 1.1.2 was considered a key system function within S4I due to its contribution to responsive learning processes and its integration into adaptive management cycles across CGIAR. It received a medium comparative advantage rating of 0.69 and showed consistent KBP support across South Asia, East and Southern Africa, and West and Central Africa. Its connection to gender- and youth-inclusive research-for-development pathways further underscored its relevance to the Gender Equality, Youth, and Social Inclusion (GEYSI) Impact Area. While it was not emphasized as a standalone deliverable, it plays a critical cross-cutting role across AoW 2 and AoW 5, facilitating learning and feedback loops between innovation implementation and strategic adjustment. The decision to prioritize HLO 1.1.2 was informed by this embedded logic, with attention given to continuity from legacy RII activities and its value in strengthening research alignment with inclusion-oriented stakeholder needs.</t>
  </si>
  <si>
    <t>S4I retained high priority for HLO 1.1.2 across South Asia, East and Southern Africa, and West and Central Africa. While its comparative advantage was moderate, its structural role in internal learning systems made it indispensable. The HLO’s value was not based on regional delivery outcomes but rather its contributions to CGIAR-wide effectiveness in responding to emergent demand signals, including those relevant to gender and youth. Because of its contribution to iterative learning cycles and inclusive design processes, this HLO remains relevant for scaling strategies under both the Food and Nutrition Security and GEYSI Impact Areas. CGIAR’s institutional experience in building adaptive research approaches—particularly those co-developed with NARES and universities—offered a delivery advantage in the targeted regions. As a result, the prioritization of this HLO reflects both the embedded logic of the S4I design and realistic expectations about what can be delivered in 2025 within CGIAR’s existing delivery infrastructure.</t>
  </si>
  <si>
    <t>Medium CA (0.63); foundational cross-AoW function for aligning inclusive scaling strategies</t>
  </si>
  <si>
    <t>HLO 1.1.3 was considered foundational to S4I’s overall design, with a medium comparative advantage rating (0.63) and strong fit with S4I priorities with CGIAR’s cross-AoW coherence needs. The HLO’s main role is to support internal alignment across country-level strategies and social inclusion objectives, including those related to GEYSI. While the KBP exercise was less relevant for this system-level HLO, prioritization decisions were informed by broader operational logic: it enables coherence between stakeholder engagement, national demand articulation, and delivery efforts across regions. Its value in 2025 also reflected continuity with earlier investment in country-level coordination functions. Although the HLO does not lead to direct delivery outputs, its integrative role across AoWs justified its consideration as an internal enabler rather than a standalone investment. Its prioritization aligned with CGIAR’s broader delivery architecture and with the need to position national strategies more centrally in scaling decisions.</t>
  </si>
  <si>
    <t>HLO 1.1.3 was retained at high priority across South Asia and East and Southern Africa based on its enabling role within the Scaling for Impact architecture. Though not a delivery HLO in the conventional sense, its cross-cutting role in integrating inclusive scaling strategies—especially those aligned with country planning and social equity frameworks—justified its continued emphasis. Its inclusion also supported internal alignment between CGIAR country strategies and the work of AoWs 2, 3, and 5. Because donor attention remains focused on system coherence and efficient use of scaling investments, this HLO’s foundational nature helped ensure S4I operates as a unified platform rather than a collection of disjointed projects. In 2025, it provides the infrastructure for future alignment with IFI-aligned demand systems and will remain important for GEYSI integration, making it essential despite the lack of a direct output pathway. Therefore, prioritization was not just about comparative advantage but also about system integrity.</t>
  </si>
  <si>
    <t>Medium CA (0.63); low KBP relevance in SEA/CWANA; limited presence of gender/youth inclusive innovation ecosystems</t>
  </si>
  <si>
    <t>HLO 2.2.1 was evaluated in terms of its role in strengthening scaling ecosystems by fostering innovation networks. While it received a moderate comparative advantage rating (0.63), its KBP relevance was relatively lower in regions such as Southeast Asia and CWANA, largely due to weak ecosystem maturity and limited CGIAR leadership presence in enabling networks. The program assessed this HLO with a view to its role in building inclusive, gender/youth-responsive networks; however, the lack of institutional infrastructure and scaling partnerships in some geographies reduced its strategic feasibility. Although this HLO supports the enabling environment critical to scaling outcomes, its maturity and demand alignment varied substantially across regions. Consequently, S4I took a pragmatic approach by linking prioritization to regions where there was stronger potential for bundling with delivery mechanisms already in motion and where CGIAR’s positioning allowed for collaboration with external scaling actors.</t>
  </si>
  <si>
    <t>Slightly deprioritized  in SEA and CWANA. Deviation justified due to weak delivery ecosystems and limited engagement pathways</t>
  </si>
  <si>
    <t>Medium CA (0.66); critical gap in equity-oriented evaluation tools and approaches</t>
  </si>
  <si>
    <t>HLO 2.2.2 was treated as a critical enabler within S4I’s methodological backbone, with a medium comparative advantage rating (0.66) and high relevance for ensuring equitable, evidence-based scaling outcomes. While its KBP scores were not directly used due to this HLO’s deep integration with HLOs 2.2.3 and 2.2.4, its role in embedding social inclusion dimensions into evaluation design was especially valued. The HLO supports gender-, youth-, and context-responsive assessment frameworks that help refine what scaling works where, for whom, and under what conditions. In particular, this function was viewed as essential for structuring adaptive learning loops across the scaling bundles prioritized by the Program. Because this HLO is not operationally separable from the two that follow it, its prioritization was made based on coherence with interdependent activities, especially in geographies where delivery-oriented scaling work is active and requires methodologically rigorous support.</t>
  </si>
  <si>
    <t>S4I retained HLO 2.2.2 as a high priority in South Asia and East and Southern Africa due to its indispensable role in scaling diagnostics and real-time evaluation. The HLO is particularly relevant for the Poverty Reduction and GEYSI Impact Areas, as it ensures that bundled innovations are not only technically viable but also socially inclusive and accessible. While it does not produce direct outputs, it strengthens the targeting and refinement of those that do. Its methods are also needed to support S4I’s planned knowledge integration into IFI-supported national systems and other scaling platforms. Rather than being selected on the basis of individual regional KBP scores, the prioritization of this HLO was grounded in its cross-HLO logic and in the understanding that scaling without rigorous evaluation risks misalignment and low impact. In 2025, its operationalization will be bundled with delivery efforts, contributing substantively to strategic adaptation and performance tracking.</t>
  </si>
  <si>
    <t>Medium CA (0.67); strong KBP support for inclusive bundling of technologies and services</t>
  </si>
  <si>
    <t>HLO 2.2.3 was regarded as central to the Program’s delivery function and received strong support through the KBP exercise. Although its comparative advantage rating was medium (0.67), it was tightly aligned with S4I’s scaling Flagship strategy. The HLO focuses on developing integrated packages of technologies and services that are ready to be adopted or deployed at scale. Given CGIAR’s legacy strengths in bundling practices, varieties, and complementary innovations, especially in South Asia and East and Southern Africa, the Program assessed this HLO as a delivery-oriented anchor. Its relevance to the Poverty Reduction and Food and Nutrition Security Impact Areas is direct, since bundled solutions are essential for increasing farmer incomes and achieving livelihood improvements. The inclusion of this HLO was also tied to its connection to methods and strategies in HLOs 2.2.2 and 2.2.4, forming a mutually reinforcing suite of investments that enable pathway-level scaling.</t>
  </si>
  <si>
    <t>S4I maintained HLO 2.2.3 as a high priority in South Asia and East and Southern Africa, consistent with strong demand for bundled innovations and the presence of scaling-ready delivery platforms. Its alignment with program design logic, especially around Flagship interventions, made it essential to 2025 programming. CGIAR Centers in these regions are well-positioned to operationalize this HLO with co-investment from partners, and S4I leveraged this capacity to maintain continuity from prior RII investments. In addition to its technical and operational strength, HLO 2.2.3 is especially relevant to the GEYSI Impact Area, as the design of solution bundles increasingly incorporates inclusion metrics, digital access points, and tailored delivery channels for marginalized groups. Prioritization in 2025 reflects not only performance potential but also the need to demonstrate scale-ready outputs under conditions of financial constraint, setting the stage for more strategic expansion in subsequent years.</t>
  </si>
  <si>
    <t>Medium CA (0.68); integral to bundling (2.3) and evaluation (2.2) with social inclusion lenses</t>
  </si>
  <si>
    <t>HLO 2.2.4 was assessed as the final stage in the sequenced suite of delivery-enabling HLOs under AoW 2. With a medium comparative advantage rating of 0.68, it was positioned to guide strategic roll-out of agrifood innovations that have been evaluated and bundled through HLOs 2.2.2 and 2.2.3. This HLO does not operate as a generic planning exercise; instead, it supports region- and context-specific scaling strategies with stakeholder engagement and resource mapping. It also incorporates social inclusion design criteria, making it an important contributor to the Gender and Youth Impact Area. S4I considered this HLO especially important in South Asia and East and Southern Africa, where sufficient partner alignment and W3/bilateral investments allowed for strategy co-development. Although not expected to deliver tangible outputs in 2025 alone, its use in refining scale-out targets and partnerships made it an integral part of the Program’s scaling feedback loop.</t>
  </si>
  <si>
    <t>S4I prioritized HLO 2.2.4 in South Asia and East and Southern Africa as part of the interdependent delivery suite under AoW 2. Its role in developing fit-for-purpose scaling strategies made it essential for enabling effective resource allocation, regional investment planning, and adaptive targeting aligned with the Poverty Reduction and GEYSI Impact Areas. The HLO was retained not as a standalone platform, but as a critical enabler of bundle delivery and impact tracking. Its prioritization was also justified by continuity from past national planning exercises and Center-led delivery programs. Though KBP results were not the sole driver, they were consistent with CGIAR’s presence and capacity in the prioritized regions. Thus, 2025 investments in this HLO are expected to improve the coordination and performance of delivery platforms while reinforcing the logic of bundled and inclusive scaling.</t>
  </si>
  <si>
    <t>Medium CA (0.65); low institutional presence and data systems for inclusion diagnostics in regions</t>
  </si>
  <si>
    <t>HLO 3.3.1 was evaluated as a supportive enabler of inclusion-oriented scaling diagnostics within Area of Work 3. While its comparative advantage rating of 0.65 indicated moderate system-level potential, the KBP results showed relatively low prioritization for food and nutrition security, particularly in Southeast Asia and CWANA. This was attributed to limited institutional capacity and data infrastructure for conducting diagnostics in these regions. During the decision-making process, S4I reviewed the feasibility of implementing this HLO in alignment with scaling system maturity, existing partnerships, and available financing. Due to the Program’s transition-year constraints and its emphasis on building upon operational readiness, S4I chose to cautiously assess the institutional and investment readiness required to implement diagnostics that incorporate gender, youth, and social inclusion perspectives. While conceptually relevant to the GEYSI and Food Security Impact Areas, this HLO’s practical delivery constraints warranted a more limited focus in 2025.</t>
  </si>
  <si>
    <t>HLO 3.3.1 was slightly deprioritized in SEA and CWANA due to feasibility limitations. Despite its conceptual value for inclusive scaling design, the limited diagnostic infrastructure and weak institutional presence in these regions constrained its operational relevance in the near term. This decision was consistent with S4I’s investment logic in 2025, which emphasized readiness and delivery feasibility. Where data systems and partner capacity remain limited, prioritization was deferred in favor of functions that could more immediately support field-level scaling. However, this HLO continues to inform the design logic of S4I and is expected to be revisited in future years when partner demand and system conditions become more favorable. In South Asia and East and Southern Africa, ongoing discussions with partners regarding inclusion diagnostics and their integration into national scaling platforms may reopen opportunities for targeted uptake beyond 2025.</t>
  </si>
  <si>
    <t>Medium CA (0.66); alignment with NGOs and local networks supporting marginalized groups</t>
  </si>
  <si>
    <t>HLO 3.3.2 received a medium comparative advantage rating (0.66), reflecting its strength in building institutional support functions to foster inclusive scaling environments. The KBP analysis supported prioritization in Africa and South Asia, particularly where CGIAR partnerships with IFIs, NGOs, and government agencies already facilitate delivery of financial, legal, or extension services to marginalized populations. S4I considered this HLO essential in translating inclusion-oriented goals into operational delivery through existing scaling channels. Unlike other policy-related functions, this HLO had tangible uptake pathways through co-investment platforms, particularly in areas where enabling institutions are active. In 2025, the decision to prioritize this HLO in SA, ESA, and WCA was grounded in its alignment with practical service delivery partnerships and its contribution to the Poverty Reduction and GEYSI Impact Areas. The presence of aligned bilateral funding also supported inclusion of this HLO in the 2025 portfolio.</t>
  </si>
  <si>
    <t xml:space="preserve">S4I maintained high prioritization of HLO 3.3.2 in South Asia, East and Southern Africa, and West and Central Africa, where scaling support services could be operationalized through partner-led infrastructure. The decision drew from strong CA alignment, existing institutional relationships, and mapped financing opportunities. This HLO was particularly relevant for reaching socially and economically marginalized groups, offering avenues for inclusion via access to financial services, cooperative governance, and technical support systems. Because the HLO bridges the enabling environment with field-level implementation, it remained a mechanism for delivering scaling benefits to priority populations. Its prioritization also responds to partner expectations of scalable, inclusive policy support services that complements core inovation delivery efforts. </t>
  </si>
  <si>
    <t>Medium CA (0.67); weak government integration in SEA and CWANA</t>
  </si>
  <si>
    <t>HLO 3.3.3 was assessed as a mechanism for deepening CGIAR’s engagement with national systems on inclusion-related scaling policies. With a moderate comparative advantage rating (0.67) and varying KBP performance, S4I’s decision-making reflected a regionally nuanced view of this HLO’s feasibility. While institutional strength and engagement potential were seen as adequate in South Asia and East and Southern Africa, SEA and CWANA presented more limited opportunities for integration of social inclusion into policy dialogues. The Program considered CGIAR’s track record of influence, its convening role, and its alignment with government priorities in scaling innovations through responsible, inclusive governance structures. This HLO was also supported for its role in helping shape safe scaling environments and reinforcing safeguards linked to the GEYSI Impact Area. Ultimately, investment prioritization was guided by where this policy function could be embedded into delivery systems.</t>
  </si>
  <si>
    <t>HLO 3.3.3 was retained in South Asia and East and Southern Africa based on alignment with country systems and CGIAR’s capacity to foster science-policy collaboration. It was slightly deprioritized in Southeast Asia and CWANA, where enabling environments for inclusion-sensitive policy integration were less robust. This prioritization balance reflects the Program’s recognition that inclusion in policy processes cannot be advanced without institutional readiness and receptive governance landscapes. In 2025, efforts under this HLO will focus on strengthening existing policy interfaces and preparing platforms for expanded inclusion in future cycles. Its value lies in supporting responsible innovation diffusion and contributing to safe, scalable transformation. Because of this, the HLO remains critical to S4I’s strategic logic, though its deployment varies by geography and strength of scaling partners.</t>
  </si>
  <si>
    <t>High CA (0.83); strong links with gender/youth IFI investments</t>
  </si>
  <si>
    <t>HLO 4.4.1 was reviewed with high relevance to scaling pathways supported by international financial institutions and national development programs. It scored a high comparative advantage (0.83), reflecting CGIAR’s long-standing relationships with IFIs and its growing track record in embedding solutions in large-scale delivery programs. This HLO was further strengthened by its explicit alignment with GEYSI (Gender Equality, Youth, and Social Inclusion) priorities, particularly where IFI investments seek to deliver equitable agricultural growth. The KBP exercise also reinforced its strategic value in South Asia, East and Southern Africa, and West and Central Africa—regions where CGIAR’s delivery networks are strongest and donor alignment is high. S4I considered continuity with W3 and bilateral funding and the presence of delivery-focused partnerships as key factors in confirming this HLO’s role in driving inclusive scaling outcomes in 2025.</t>
  </si>
  <si>
    <t>HLO 4.4.1 remained a high priority across SA, ESA, and WCA, without deviation. It is one of the most direct delivery mechanisms for CGIAR innovations to reach scale through IFI-backed public investments. This HLO supports S4I’s ambition to align internal innovation systems with the external financing architecture that drives transformation in agricultural systems. Its capacity to link scaling outcomes with poverty reduction and social inclusion was a central rationale for prioritization. The HLO also enables S4I to influence the design of investment pipelines in ways that reflect gender-equitable and youth-responsive pathways. In 2025, this HLO will serve as a key interface between CGIAR, ministries, and development banks to ensure research-based solutions are operationalized in delivery programs with social impact goals.</t>
  </si>
  <si>
    <t>Moderate CA (0.65); weak institutional readiness in SEA; low KBP scores</t>
  </si>
  <si>
    <t>HLO 4.4.2 was viewed as a system-level enabling function to coordinate scaling approach across CGIAR’s delivery portfolio. While the comparative advantage rating was moderate (0.65), the HLO’s role in fostering portfolio coherence and guiding innovation bundling was acknowledged as foundational. However, practical gaps in institutional readiness—especially in SEA and CWANA—limited its immediate regional applicability. The KBP analysis suggested lower partner engagement and readiness to absorb portfolio analytics in these areas. In 2025, as S4I transitions from legacy structures to an integrated platform, this HLO was considered a backend service supporting bundling, adaptive programming, and consistency with Theory of Change logic. Despite lower regional relevance, its role in supporting cross-HLO implementation was retained.</t>
  </si>
  <si>
    <t>HLO 4.4.2 was slightly deprioritized in SEA and CWANA, in line with delivery constraints and limited partner demand for portfolio integration services. However, the HLO remains relevant across CGIAR’s broader strategy and will continue to support the bundling of innovations and scaling coordination behind the scenes. The decision to maintain the HLO as a service function was justified by the need to consolidate scaling systems and support alignment between research products and delivery opportunities.</t>
  </si>
  <si>
    <t>Medium CA (0.67); internal CGIAR focus with limited external relevance</t>
  </si>
  <si>
    <t>S4I viewed this HLO essential for CGIAR’s internal learning, particularly around inclusive scaling models and social impact pathways. Although the comparative advantage rating was moderate (0.67), the HLO was deemed relevant for building capacity in methods that embed gender equality, youth inclusion, and adaptive learning into scaling practice. The KBP showed limited external demand for this HLO in SEA and CWANA, but S4I judged its internal role to be pivotal for ensuring quality and consistency across scaling efforts. In particular, this HLO supports tools and approaches that strengthen reflection on what works to reach marginalized groups and deliver equitable outcomes. Its limited presence in regional plans reflects its function as a system enabler rather than a direct delivery mechanism.</t>
  </si>
  <si>
    <t>HLO 5.5.1 was prioritized internally but not regionally. Deviation from KBP was considered justified because the HLO serves an internal systems-strengthening role. It will support refinement of scaling science practices—especially with regard to targeting, inclusion, and monitoring of equity outcomes. It provides intellectual infrastructure to ensure that regional delivery efforts are designed with attention to social differentiation. In 2025, this HLO will support GEYSI-responsive program development and guide application of inclusive logic across the innovation cycle, without being the focus of direct field-level investment.</t>
  </si>
  <si>
    <t>Moderate CA (0.65); regional actors better positioned to lead inclusion assessments</t>
  </si>
  <si>
    <t>HLO 5.5.2 was viewed as a useful tool for learning from scaling efforts, especially in contexts where inclusion outcomes are harder to measure. Its moderate comparative advantage rating (0.65) reflected existing CGIAR capability, but the KBP identified relatively low current demand for this work from regional partners. While the HLO aligns with the GEYSI Impact Area in terms of intention, it requires more structured evaluation partnerships and capacity support to deliver on its potential. In 2025, S4I viewed this HLO as complementary to ongoing MELIA functions, focused more on strategic learning than delivery. The absence of strong regional systems for equity-sensitive evaluation limited immediate applicability.</t>
  </si>
  <si>
    <t>S4I slightly deprioritized HLO 5.5.2 in the 2025 plan due to limited operational readiness and delivery alignment. This deviation from KBP was considered justified based on the HLO’s reliance on external evaluation capacity and its auxiliary role within the scaling architecture. That said, the HLO remains relevant and could increase in priority if future resources are mobilized to strengthen learning partnerships, particularly for assessing gender-responsive and socially differentiated outcomes. It will continue to be monitored within S4I as a cross-cutting support to learning and strategy refinement.</t>
  </si>
  <si>
    <t>Medium CA (0.66); analytics tools not yet regionally embedded</t>
  </si>
  <si>
    <t>This HLO focuses on data-informed decision support, including tools to guide resource allocation, bundling strategies, and targeting approaches. With a comparative advantage rating of 0.66, it was rated moderately, with most of its value tied to internal program design rather than field delivery. Although the KBP acknowledged its contribution, limited demand was detected at the regional level, and few tools were already embedded in CGIAR systems. In 2025, S4I considered this HLO part of its long-term institutional strengthening agenda, not an immediate investment priority. It was reviewed mainly for its potential to enhance the evidence base for equity-sensitive scaling decisions over time.</t>
  </si>
  <si>
    <t>HLO 5.5.3 maintained a low prioritization in 2025, with no deviation from KBP. Its potential contribution to GEYSI outcomes was noted, especially through the development of analytics that could incorporate inclusion indicators and support regional prioritization logic. However, because the underlying systems and demand signals were still emerging, it was not treated as an immediate delivery mechanism. The HLO will continue in a support role, with ongoing refinement and exploratory application in select areas where CGIAR programs are testing more advanced targeting tools.</t>
  </si>
  <si>
    <t>Climate adaptation</t>
  </si>
  <si>
    <t>Strong stakeholder interest, alignment with climate-responsive agricultural needs; CGIAR has high comparative advantage (0.89) in demand articulation</t>
  </si>
  <si>
    <t>HLO 1.1.1 was considered a high-value entry point for scaling under climate adaptation due to its ability to align innovation supply with rapidly evolving stakeholder needs, particularly in climate-stressed geographies. While the KBP exercise highlighted Latin America and Southeast Asia, S4I interpreted these scores with caution due to methodological limitations that did not account for multi-impact relevance or scaling integration potential. Instead, S4I prioritized South Asia and sub-Saharan Africa, where early warning systems, policy engagement on climate adaptation, and climate-smart agriculture strategies are more embedded in CGIAR’s delivery architecture. The high comparative advantage rating (0.89) further supported this judgment. CGIAR’s track record in facilitating demand-led climate interventions—such as seasonal advisories and drought-resilient technologies—made this HLO a core function under both AoW 1 and broader scaling pathways. S4I also weighed partner readiness, alignment with W3/bilateral financing, and the presence of regional scaling platforms when making final decisions.</t>
  </si>
  <si>
    <t>S4I retained HLO 1.1.1 as a top priority for climate adaptation in South Asia and sub-Saharan Africa. These regions offered the greatest operational opportunity for integrating stakeholder demand systems with climate scaling strategies. While the KBP ranked LAC and SEA higher, these findings were treated as indicative only. In contrast, S4I’s comparative advantage, active country engagement, and alignment with climate-sensitive delivery pathways made SA and Africa more appropriate investment targets. In 2025, this HLO continues to function as a central mechanism for channeling demand signals into climate-aligned bundling and scaling design.</t>
  </si>
  <si>
    <t>CGIAR's adaptive learning capacity embedded in AoWs 2 and 5; moderate comparative advantage; demand from regional adaptation programs</t>
  </si>
  <si>
    <t>HLO 1.1.2 was considered critical to the adaptive design of climate-responsive scaling strategies, especially in agroecological zones facing shifting seasonal risks. While KBP scores placed emphasis on Latin America and Southeast Asia, S4I diverged from these rankings, noting that the methodology did not fully capture the importance of institutionalized learning systems in high-priority regions such as South Asia and Africa. These regions are home to multi-seasonal research programs, established feedback loops (e.g., through CSA evaluations), and government partners open to adaptive delivery models. With a moderate comparative advantage rating (0.69), this HLO was seen as a core internal learning function embedded in AoWs 2 and 5. S4I’s final decision also accounted for continuity with prior CGIAR work in climate adaptation, as well as the opportunity to deploy real-time iteration models during the 2025 transition year.</t>
  </si>
  <si>
    <t xml:space="preserve">S4I maintained high prioritization of HLO 1.1.2 for South Asia and sub-Saharan Africa, where demand for adaptive research cycles is more developed and institutional partners are in place. Deviation from the KBP regional ranking was justified based on methodological concerns and S4I’s design logic, which prioritizes the ability to iterate scaling bundles in response to climate variability. </t>
  </si>
  <si>
    <t>CGIAR country strategy role; emphasis on cross-cutting planning essential for climate-sensitive interventions</t>
  </si>
  <si>
    <t>HLO 1.1.3 was considered a cross-cutting enabler for climate adaptation, particularly for ensuring that CGIAR climate-relevant research aligns with country strategies. The KBP tool did not rank this HLO highly for climate adaptation in Africa, which S4I viewed as a critical oversight, given its deep engagement with government-led adaptation platforms in the region. Comparative advantage was assessed as moderate (0.63), but its enabling function across multiple scaling pathways and its embedded role in AoW 1 made it essential for coherence. South Asia and Africa were prioritized due to strong institutional alignment, including coordination with IFI-supported national adaptation programs and scaling consortia that require joint planning inputs. In 2025, this HLO remained a foundational support mechanism to strengthen multi-scalar strategy development in climate-affected geographies</t>
  </si>
  <si>
    <t>S4I retained HLO 1.1.3 as a priority for South Asia and Africa. Although the KBP downplayed its relevance in Africa, S4I’s internal analysis confirmed that this HLO is essential for translating research outputs into climate-aligned country scaling plans. The final decision was based on existing coordination mechanisms and the need to manage delivery across multiple programs with climate adaptation relevance. Its cross-Center role in sustaining institutional alignment under the 2025 transition period further reinforced its prioritization.</t>
  </si>
  <si>
    <t>Comapratively less strong innovation ecosystems in CWANA and WCA for climate solutions; lower comparative advantage</t>
  </si>
  <si>
    <t>HLO 2.2.1 was assessed in light of its relevance to scaling climate adaptation solutions through innovation networks. However, it registered lower comparative advantage ratings and weaker KBP alignment in CWANA and WCA, due to the limited maturity of inclusive innovation ecosystems and less demonstrable CGIAR leadership in these regions. S4I did not consider KBP rankings in this case as determinative, given the methodology’s limitations for cross-cutting HLOs in climate adaptation contexts. The final prioritization considered the state of enabling partnerships, investment continuity, and the regional feasibility of system-level network building. While CGIAR’s capacity to catalyze multi-actor networks is a recognized strength in Africa and South Asia, the foundations for this HLO remain less developed in regions such as SEA and CWANA. These factors, along with limited leverage in regional innovation platforms for climate adaptation, led S4I to place slightly less emphasis on this HLO outside Africa and South Asia.</t>
  </si>
  <si>
    <t>HLO 2.2.1 was slightly deprioritized in SEA and CWANA due to limited institutional readiness, weaker regional innovation infrastructure, and constrained CGIAR delivery leverage. S4I retained activity in South Asia and East and Southern Africa, where stronger scaling system demand and delivery partnerships are in place. While the KBP results were reviewed, S4I’s decision was guided primarily by its integrated Theory of Change, partner presence, and climate investment feasibility. This HLO remains strategically important but received lighter emphasis in regions where innovation networks are not yet positioned to deliver climate adaptation outcomes at scale.</t>
  </si>
  <si>
    <t>Methods for scaling climate-smart practices still evolving; medium comparative advantage (~0.65); linked to co-delivery with NARES and partners</t>
  </si>
  <si>
    <t>HLO 2.2.2 plays a foundational role in assessing which climate-smart agrifood system innovations are ready to scale and under what conditions. Despite a medium comparative advantage rating (~0.65) and limited methodological maturity in some regions, the HLO was prioritized based on its role within a sequence of interdependent learning HLOs. S4I recognized that scaling climate adaptation requires continuous testing of performance under diverse climatic and institutional settings, especially in regions with volatile seasonal conditions. As such, South Asia and East and Southern Africa were emphasized due to the presence of adaptive management programs and established research-to-uptake linkages. CGIAR’s co-delivery model with national systems and NARES partners was also factored in, given its relevance for validating resilient solutions. KBP scores were not treated as final due to methodological concerns in this domain, particularly where impact interdependencies were undervalued.</t>
  </si>
  <si>
    <t>HLO 2.2.2 remained a high priority in South Asia and East and Southern Africa. These regions provide active policy and institutional environments conducive to the iterative validation of adaptation-ready technologies and practices. While KBP provided directional insights, CGIAR’s ongoing partnerships, delivery history, and alignment with climate response strategies carried greater weight. This HLO remains integral to S4I’s broader learning cycle and is essential for scaling adaptation efforts with empirical rigor.</t>
  </si>
  <si>
    <t>Strong KBP scores; bundling key to deploying adaptation packages; comparative advantage in facilitating design</t>
  </si>
  <si>
    <t>HLO 2.2.3 was treated as central to delivering S4I’s impact in climate adaptation. It focuses on developing and validating bundles of technologies, services, and practices that can be deployed at scale. Strong KBP scores supported this view, particularly in South Asia and ESA, and the comparative advantage analysis confirmed CGIAR’s credibility in facilitating bundled designs across systems. Importantly, S4I placed this HLO in the middle of a critical sequence: bundling (2.2.3) is only effective if preceded by rigorous methods (2.2.2) and followed by context-tailored scaling strategies (2.2.4). Final investment decisions favored regions where bundling had demonstrable uptake or where delivery platforms (e.g., seed, irrigation, climate advisories) were already partially in place. SEA and LAC were also retained where demand warranted, particularly in government-supported resilience programs.</t>
  </si>
  <si>
    <t>HLO 2.2.3 was prioritized in South Asia, East and Southern Africa, Southeast Asia, and Latin America. These regions exhibit strong partner demand, active delivery channels, and alignment with bundled innovation approaches. KBP rankings reinforced this direction, but CGIAR’s field evidence and co-investment opportunities were decisive. Given its role in enabling adaptation at scale, this HLO was treated as a program linchpin with wide relevance across geographies.</t>
  </si>
  <si>
    <t>Requires coordination across systems; high regional need for tailored climate adaptation scaling frameworks</t>
  </si>
  <si>
    <t>HLO 2.2.4 enables the customization of scaling strategies for bundled climate-smart innovations across institutional and biophysical contexts. While its comparative advantage rating (~0.68) was moderate, S4I viewed this HLO as crucial for unlocking system-specific scaling approach in regions with high exposure to climate variability. Its importance stems from its positioning as the final node in a learning loop that starts with method validation and culminates in actionable scale-out plans. The KBP exercise did not adequately capture this interdependence, so scores were interpreted cautiously. South Asia and East and Southern Africa were prioritized due to their leadership in developing national climate adaptation frameworks and CGIAR’s long-standing role in embedding delivery systems within public programs. These regions also show stronger W3/bilateral co-financing for policy-linked adaptation strategies.</t>
  </si>
  <si>
    <t>HLO 2.2.4 remained a high priority in South Asia and East and Southern Africa, reflecting the need to tailor scaling frameworks for climate resilience in diverse settings. Final prioritization emphasized alignment with adaptation financing, national planning cycles, and the operational maturity of scaling infrastructure. While KBP results were acknowledged, they were secondary to CGIAR’s strategic role and delivery partnerships in climate-relevant geographies.</t>
  </si>
  <si>
    <t>Moderate comparative advantage; better placed for partners (e.g., NARES, think tanks); limited delivery capacity in CGIAR</t>
  </si>
  <si>
    <t>HLO 3.3.1 was considered relevant to S4I’s climate adaptation objectives due to its emphasis on identifying and addressing institutional bottlenecks. However, while the KBP results signaled moderate systemwide potential, S4I placed greater weight on feasibility conditions and comparative advantage findings. Specifically, weak implementation capacity in some regions—especially CWANA and parts of WCA—tempered enthusiasm for short-term investments. The function’s diagnostic role is better aligned with think tanks, policy research groups, or national planning agencies, where S4I lacks direct delivery pathways. While the HLO supports S4I’s long-term vision for scaling-enabling environments, other immediate priorities were favored in regions with stronger institutional readiness. The decision also reflected the transition-year context, where CGIAR’s embedded capacity and financing mechanisms were still consolidating. Alignment with climate-smart policy design was recognized, but practical execution constraints shaped the final choices.</t>
  </si>
  <si>
    <t>HLO 3.3.1 was slightly deprioritized in CWANA and WCA due to limited near-term feasibility for climate-related diagnostics and weaker delivery infrastructure. The decision was justified despite KBP indications, as S4I emphasized implementability and institutional alignment over diagnostic aspirations. Future inclusion may increase as country partnerships mature and as diagnostics more directly inform national climate programming.</t>
  </si>
  <si>
    <t>Requires collaboration with IFIs, national systems; comparative advantage moderate (~0.68)</t>
  </si>
  <si>
    <t>This HLO plays a central role in enabling institutional services that underpin climate adaptation at scale, particularly through inclusive finance, extension, and coordination platforms. S4I prioritized this outcome in regions where delivery capacity already exists or can be leveraged through CGIAR’s partnerships with IFIs, governments, and NGOs. KBP scores were moderate, but they understated the enabling ecosystems present in South Asia and ESA, where scaling services for adaptation are well aligned with government agendas and CGIAR’s scaling entry points. The comparative advantage assessment confirmed delivery feasibility, especially through embedded projects already supporting adaptation pathways. The Program also considered the strength of co-financing arrangements and whether scaling support services were embedded within operational public-sector programs. Because these institutional levers are often the bridge between research and scale, this HLO was kept central to climate adaptation efforts.</t>
  </si>
  <si>
    <t>HLO 3.3.2 was prioritized in South Asia, East and Southern Africa, and West and Central Africa based on delivery feasibility and strong external partner ecosystems. This alignment ensured relevance for climate adaptation at scale, despite only moderate KBP ratings. The final decision emphasized the importance of institutional functionality and programmatic complementarity, in keeping with S4I’s broader climate scaling approach.</t>
  </si>
  <si>
    <t>Enabling climate-smart agriculture policy interface; CGIAR positioned to inform planning processes</t>
  </si>
  <si>
    <t>HLO 3.3.3 was viewed as a critical enabler for climate-smart agricultural policies, particularly in shaping pathways for adaptation investment and regulatory alignment. While KBP scores for this HLO were uneven—stronger in SA, weaker in CWANA and SEA—S4I focused on regions where CGIAR already has a presence in national adaptation frameworks. This includes countries with active climate coordination bodies, sectoral planning instruments, and donor co-investment platforms that link science to policy. The comparative advantage assessment affirmed CGIAR’s capability in facilitating these policy interfaces. Delivery potential in South Asia stood out, both in terms of research-policy relationships and stakeholder demand. In contrast, the institutional environment in CWANA lacked sufficient maturity, leading to a lighter emphasis. This HLO was not considered a standalone investment in regions without a strong policy partner or scaling pathway.</t>
  </si>
  <si>
    <t xml:space="preserve">HLO 3.3.3 remained a priority in South Asia, where government openness, CGIAR’s engagement history, and climate adaptation planning convergence support strong relevance. It was slightly deprioritized in CWANA and SEA, reflecting limited opportunity to link science to policy at scale in the short term. </t>
  </si>
  <si>
    <t>High comparative advantage (0.83); strong engagement with IFIs and adaptation funding instruments</t>
  </si>
  <si>
    <t>HLO 4.4.1 emerged as a strong climate-related priority due to CGIAR’s comparative advantage in working with International Financial Institutions (IFIs) and climate adaptation financing mechanisms. Its relevance is particularly high in regions such as South Asia and Southeast Asia, where adaptation funding pipelines—such as those coordinated by IFAD, the World Bank, and regional climate funds—are already operational and aligned with national climate investment plans. The KBP results confirmed the utility of this HLO systemwide, but it was the qualitative alignment with policy and financing instruments that ultimately drove the decision. S4I also considered the strength of existing partnerships, the maturity of pipeline innovations ready for public-sector uptake, and the CGIAR system’s capacity to engage credibly at the investment scale. Because this HLO directly supports institutional embedding of climate-smart innovation bundles, it was judged essential for turning climate research outputs into financeable, scalable programming.</t>
  </si>
  <si>
    <t>HLO 4.4.1 remained a high priority with no deviation. Its fit with S4I priorities with large-scale climate adaptation investments, particularly in South Asia and SEA, and strong engagement history with IFIs and regional development partners made it indispensable for S4I’s delivery model. CGIAR’s role in linking research with policy and finance was a decisive factor.</t>
  </si>
  <si>
    <t>Limited CGIAR-led hubs; emerging institutional structures; CGIAR support needed but readiness varies</t>
  </si>
  <si>
    <t>HLO 4.4.2 was viewed as an essential internal enabler for coordinated scaling of adaptation solutions, though its immediate delivery feasibility varied by region. While the function is key to CGIAR’s long-term capacity to align innovations with country priorities and climate investment frameworks, institutional readiness is still emerging, particularly in CWANA and Southeast Asia. In these regions, external dependency and limited platform maturity presented operational risks. Nevertheless, the HLO’s relevance was validated through internal needs assessments, which emphasized the growing demand for structured portfolio management and scaling architecture across climate-related workstreams. As 2025 is a transition year, S4I factored in the partial embedding of RII and NPS systems as a foundation, rather than prioritizing this HLO for immediate scaling operations. Thus, the focus shifted to South Asia and East and Southern Africa, where capacity development is more likely to support integrated climate adaptation planning and cross-AoW coordination.</t>
  </si>
  <si>
    <t>HLO 4.4.2 was slightly deprioritized in CWANA, where readiness constraints and reliance on external structures limited feasibility. The decision was justified by S4I’s internal assessment of where portfolio support would generate the greatest climate scaling leverage. It remains a strategic internal function, with regional focus determined by institutional maturity.</t>
  </si>
  <si>
    <t>Moderate comparative advantage (0.66); foundational work needed in internal CGIAR systems; not region-specific delivery</t>
  </si>
  <si>
    <t>HLO 5.5.1 was assessed as a system-critical enabler of adaptive learning for climate-affected scaling pathways. Although its comparative advantage rating was moderate (~0.66), its relevance lies in strengthening CGIAR’s internal ability to iterate scaling approaches in response to climate variability. Unlike HLOs with external-facing delivery outcomes, this HLO operates as an internal coordination and learning function, necessary for sequencing feedback from pilot interventions into scaling approach under climate stress. In 2025, this role was especially pertinent given the transition from legacy portfolio structures toward a more integrated scaling support system. While KBP regional rankings were noted, they held less weight for this function given its internal scope. Instead, prioritization was shaped by the need for CGIAR to institutionalize mechanisms for learning and adjusting scaling plans within dynamic climate contexts, particularly in SA and SEA where agricultural systems face seasonal and interannual volatility.</t>
  </si>
  <si>
    <t>Although globally recognized as foundational, HLO 5.5.1 was slightly deprioritized in regional plans due to its internal-facing character. The deviation was justified by the need to focus external resources on direct delivery functions. Nevertheless, the HLO remains prioritized within the Program’s global logic for managing climate adaptation uncertainty.</t>
  </si>
  <si>
    <t>Weak partner capacity in WCA; strong external actor potential (SPIA, universities); medium comparative advantage</t>
  </si>
  <si>
    <t>HLO 5.5.2 was analyzed as a cross-program support function supporting learning across climate-relevant systems. However, scaling impact assessments require well-functioning national data ecosystems and analytical partnerships, which remain limited in several regions, including WCA. Although the HLO received a moderate comparative advantage rating and aligns with the overall learning framework of AoW 5, its successful delivery depends heavily on collaboration with specialized external actors such as SPIA, universities, and national evaluation bodies. In the climate adaptation space, the relevance of this HLO increases where robust baseline and tracking systems can inform which climate innovations are delivering real-world benefits. S4I thus treated the KBP results as indicative but emphasized feasibility in regional application. Prioritization was selectively applied to SEA, where strong partnerships exist and evaluations can be credibly integrated into adaptation-focused scaling frameworks.</t>
  </si>
  <si>
    <t>HLO 5.5.2 was slightly deprioritized in WCA due to slightly weaker evaluability potential and data limitations. It was maintained in SEA where conditions allow its effective use. The deviation from KBP rankings was justified by delivery feasibility and CGIAR’s focus on embedding scaling evaluations where systems readiness exists.</t>
  </si>
  <si>
    <t>CGIAR needs stronger internal systems for decision analytics in climate adaptation; moderate CA score (~0.67)</t>
  </si>
  <si>
    <t>HLO 5.5.3 was recognized for its potential to support adaptive targeting in climate-sensitive environments through predictive analytics, spatial planning, and early warning-based decision support. However, tool maturity and systemwide adoption remain limited, with most CGIAR Centers still in early stages of analytics integration. The HLO received a moderate comparative advantage rating (~0.67), but with limited regional uptake and internal technical capacity to operationalize it in climate contexts. In 2025, the Program determined that while the HLO aligns with long-term objectives for climate-informed scaling, it would require further development before it could be prioritized for field-level impact. As such, it was retained at low prioritization, with limited activity in SEA where some analytics pilots are under way, and no further expansion anticipated without dedicated resourcing and institutional readiness.</t>
  </si>
  <si>
    <t>HLO 5.5.3 was maintained at low priority with no deviation. Despite alignment with future needs in climate-adaptive targeting, the absence of mature tools and delivery partnerships constrained its role in 2025. It will remain under review for potential elevation post-2026.</t>
  </si>
  <si>
    <t>High CA (0.89); CGIAR’s monitoring experience and early warning expertise</t>
  </si>
  <si>
    <t>HLO 1.1.1 was treated as a foundational cross-cutting element under the Environmental Health and Biodiversity Impact Area due to CGIAR’s comparative advantage in early warning systems and environmental monitoring (score: 0.89). The KBP results also strongly aligned with this prioritization in South Asia, Southeast Asia, and Latin America, where demand for participatory environmental risk management was evident. S4I considered not only the KBP alignment but also strategic factors such as the presence of national climate adaptation strategies, scaling partnerships with environment-focused stakeholders, and embedded monitoring platforms from previous CGIAR initiatives. This demand signaling function is especially critical to ensuring that environmental health threats—including biodiversity loss, degradation, and pollution—are integrated into the upstream design of innovation portfolios and downstream delivery decisions.</t>
  </si>
  <si>
    <t>S4I retained HLO 1.1.1 as a high priority across regions where demand for environmentally informed decisions is increasing and where CGIAR holds existing capabilities in monitoring and risk communication. Regional emphasis in South Asia and Southeast Asia reflects the concentration of programmatic partnerships and funding continuity, while LAC was also retained where ecosystem degradation overlaps with innovation scaling challenges. Despite recognized methodological shortcomings in the KBP for this Impact Area, S4I upheld the inclusion of this HLO based on its foundational cross-impact relevance and critical enabling role for demand-driven, risk-informed adaptation and biodiversity programming.</t>
  </si>
  <si>
    <t>Medium CA (0.69); need for environmental monitoring integration</t>
  </si>
  <si>
    <t>This HLO was assessed as central to the iterative refinement of innovation pathways in fragile and ecologically sensitive systems. It received a medium comparative advantage rating (0.69), and its embedded role in S4I’s adaptive learning platforms was seen as a strength. CGIAR’s ability to support multi-seasonal learning and program adjustment was considered particularly important in regions facing complex environmental trade-offs. The KBP indicated alignment in South and Southeast Asia and Latin America. However, final decisions prioritized this HLO due to its importance in supporting context-specific scaling in areas where feedback loops are critical for maintaining environmental integrity.</t>
  </si>
  <si>
    <t>S4I retained HLO 1.1.2 as a high priority based on its integrative role in cross-scaling approach and its strong alignment with the need to adapt strategies in environmentally dynamic regions. Emphasis was placed on maintaining this function in South Asia, Southeast Asia, and Latin America to ensure that adaptive learning is embedded in scaling design. Though KBP alignment was noted, the decision was also supported by CGIAR’s track record in building adaptive programming platforms in climate- and biodiversity-sensitive zones. Given its role in managing ecological uncertainty, this HLO was treated as a high-value investment with no deviation.</t>
  </si>
  <si>
    <t>Medium CA (0.65); limited mainstreaming of environmental health in country strategies</t>
  </si>
  <si>
    <t>HLO 1.1.3 was assessed as a foundational enabler of environmentally coherent scaling. It supports the integration of environmental priorities into national strategies and CGIAR’s country-level engagements. Despite a moderate comparative advantage rating (0.65), its relevance across multiple impact areas, particularly for aligning biodiversity and environmental health goals, made it strategically important. The KBP provided justification for South and Southeast Asia, and this was reinforced by S4I’s design logic, which emphasized the cross-sectoral planning role of this HLO in guiding regionally tailored investment packages and harmonized delivery across Science Programs.</t>
  </si>
  <si>
    <t>No deviation was applied. S4I retained HLO 1.1.3 as a foundational strategy function across all regions, given its importance in bridging CGIAR’s scaling approach with national biodiversity and ecosystem management priorities. This HLO was particularly important for advancing systemic coherence in regions where environmental health intersects with poverty reduction, such as South Asia and Southeast Asia. While the KBP methodology had limitations for this Impact Area, S4I treated this HLO as essential to its Theory of Change and prioritized it based on its function in coordinating investment strategies, cross-Center planning, and scaling system integration.</t>
  </si>
  <si>
    <t>Low CA (0.62); evidence of somewhat fragmented ecosystems for green innovation some regions.</t>
  </si>
  <si>
    <t>HLO 2.2.1 was assessed through both KBP outcomes and comparative advantage analysis, revealing moderate constraints in regions like CWANA and WCA where ecosystem maturity for environmentally driven innovation is lower. A comparative advantage rating of 0.62 indicated weaker capacity for delivering network-based innovation scaling in environmental health and biodiversity domains. S4I’s assessment focused on the presence of green innovation platforms, especially those integrating nature-based solutions and biodiversity targets. While knowledge-based prioritization placed less emphasis on this HLO in low-readiness regions, S4I evaluated existing hubs to determine readiness and partner engagement capacity.</t>
  </si>
  <si>
    <t>HLO 2.2.1 was slightly deprioritized in CWANA and WCA based on CGIAR’s limited ability to support delivery in those areas, despite the environmental relevance of network-based innovation scaling. The deviation from KBP results was justified given the absence of robust implementation mechanisms in fragmented or underdeveloped innovation systems. In regions such as South Asia and Southeast Asia, however, this HLO continues to play a background role as part of broader system-building efforts. As scaling networks remain essential for biodiversity-aligned innovation adoption, this HLO is retained for long-term value but not prioritized in constrained geographies for 2025.</t>
  </si>
  <si>
    <t>Medium CA (0.67); need to embed environmental metrics in standard tools</t>
  </si>
  <si>
    <t>HLO 2.2.2 was treated as a critical foundation for environmental health-aligned scaling, particularly due to the need to embed environmental performance metrics in evaluation frameworks. With a moderate comparative advantage rating (0.67), this HLO was seen as a technical enabler necessary for guiding biodiversity-resilient scaling strategies. S4I did not use KBP scores in isolation, recognizing that most methods currently lack comprehensive integration of ecological trade-offs. As part of an interlinked sequence with HLOs 2.2.3 and 2.2.4, it was prioritized based on its ability to inform adaptation design and eco-systems sensitive pathways, especially in high-investment regions.</t>
  </si>
  <si>
    <t>No deviation was made. HLO 2.2.2 was prioritized across regions based on its foundational role in improving the quality and relevance of scaling evaluations for environmental outcomes. Particular emphasis was placed on its application in South Asia, Southeast Asia, and Latin America, where investment in nature-positive scaling is growing. While KBP results for this Impact Area were treated cautiously, S4I’s prioritization reflected the alignment of this HLO with the broader goal of transforming food systems to deliver both productivity and ecological integrity. The presence of CGIAR partners developing tools in this space further supported its inclusion.</t>
  </si>
  <si>
    <t>Medium CA (0.68); strong KBP support for eco-positive bundling</t>
  </si>
  <si>
    <t>HLO 2.2.3 was evaluated as a delivery-focused component with strong alignment to biodiversity and environmental restoration goals, particularly through bundling of innovations that deliver climate and ecosystem co-benefits. It received a moderate comparative advantage rating (0.68), and KBP support was strong in South Asia and Southeast Asia. S4I reviewed this HLO in terms of its capacity to guide implementation of biodiversity-enhancing bundles, including nature-based solutions, regenerative practices, and pollution-reducing technologies. It also emphasized this HLO’s role in ensuring coherence across program-level outcomes by translating technical solutions into field-ready investment packages.</t>
  </si>
  <si>
    <t>HLO 2.2.3 was retained in regions where donor interest, innovation availability, and ecosystem restoration opportunities are converging. It is a key part of the Scaling Flagships being developed that relate for environmental health and biodiversity, and contributes to delivering bundled solutions that combine productivity, resilience, and conservation goals. The decision was informed by both delivery feasibility and the role of this HLO in translating research outputs into actionable packages. Its interdependence with HLOs 2.2.2 and 2.2.4 further validated the prioritization.</t>
  </si>
  <si>
    <t>Medium CA (0.66); scaling strategies often exclude nature-positive targets</t>
  </si>
  <si>
    <t>HLO 2.2.4 was assessed as a system-level planning function necessary for guiding the scaling of biodiversity-sensitive innovations. With a comparative advantage rating of 0.66, it was considered moderately strong, especially in regions where institutional capacity exists for designing scaling pathways that deliver both environmental and livelihood outcomes. The KBP methodology provided limited insight for this HLO’s relevance to biodiversity targets; however, S4I’s internal logic highlighted its role in tailoring strategies to ecosystem variability and inclusion of environmental trade-offs. Its coherence with upstream design and downstream packaging (HLOs 2.2.2 and 2.2.3) made it central to coordinated delivery.</t>
  </si>
  <si>
    <t>S4I retained HLO 2.2.4 across all relevant regions, with high priority placed in South Asia and Southeast Asia. This decision was grounded in its strategic relevance for operationalizing biodiversity-aligned scaling plans and in its role as a connective element across the HLO 2.2 suite. It was not deprioritized in any region, given the broad demand for nature-positive agriculture and the need for CGIAR to present coherent pathways to partners. Though regional KBP rankings were noted, they were treated with caution due to methodological limitations. Investment in this HLO reflects S4I’s commitment to institutional planning capacity.</t>
  </si>
  <si>
    <t>Medium CA (0.65); limited diagnostic capability on environmental indicators</t>
  </si>
  <si>
    <t>HLO 3.3.1 was considered essential for guiding environmentally responsible scaling, particularly in areas requiring improved diagnostic systems for tracking ecosystem health. Despite its moderate comparative advantage rating (0.65), S4I recognized limited existing capability within CGIAR and its partners to generate and deploy green diagnostics at scale. KBP scores offered partial insight, but were treated cautiously given their assumption of uniform implementation capacity across regions. The Program instead reviewed national readiness, prioritizing countries where foundational data systems for biodiversity and pollution metrics were already underway. Consideration was also given to delivery feasibility and the extent to which diagnostic functions could support broader CGIAR commitments to environmental health.</t>
  </si>
  <si>
    <t>HLO 3.3.1 was slightly deprioritized in CWANA and WCA. Deviation from KBP rankings was justified by the limited availability of environmental indicators in these regions and the absence of credible delivery pipelines for scaling diagnostics. In contrast, countries in South Asia and Southeast Asia were seen as having greater operational readiness and were prioritized accordingly. The HLO remains strategically important, but its application in 2025 will be limited to geographies where diagnostic systems can be embedded into environmental programming without requiring new infrastructure.</t>
  </si>
  <si>
    <t>Medium CA (0.66); limited access to green finance and advisory in regions</t>
  </si>
  <si>
    <t>This HLO plays a cross-cutting role in supporting biodiversity and environmental outcomes by anchoring access to green finance, regulatory services, and institutional delivery. While its comparative advantage rating (0.66) was moderate, S4I emphasized its potential in regions with strong national partnerships, co-financing, and a history of environmental programming. The KBP signaled alignment in some locations, but S4I conducted a deeper feasibility analysis, focusing on CGIAR and partner capacity to deliver eco-sensitive advisory services. Attention was given to whether countries had entry points for climate or biodiversity-aligned technical assistance and investment integration, particularly with IFIs and public sector systems.</t>
  </si>
  <si>
    <t>HLO 3.3.2 was slightly deprioritized in regions identified as having scalinginstitutional gaps and weak access to co-financing for green services. While its logic remains valid, practical delivery in those regions was judged unlikely in 2025. In contrast, the HLO was retained in regions where CGIAR is well-positioned to work with national and subnational actors to strengthen enabling systems for environmental health. This includes SA and SEA, where partner ecosystems are comparatively more mature. The deviation from KBP was justified by delivery feasibility and S4I’s emphasis on prioritizing near-term results.</t>
  </si>
  <si>
    <t>Medium CA (0.66); fragmented policy engagement on environment-health nexus</t>
  </si>
  <si>
    <t>This HLO contributes to the CGIAR Environmental Health and Biodiversity impact area by creating institutional platforms for policy co-design around land degradation, habitat loss, and biodiversity indicators. It received a moderate comparative advantage rating (0.66) and was flagged in KBP outputs for relevance in a subset of regions. However, S4I noted fragmentation in the environment-health policy space and assessed institutional traction as limited in CWANA and parts of WCA. In regions with stronger national mandates for ecosystem conservation and ongoing science-policy collaborations, particularly in Asia, this HLO was deemed more operationally viable. The analysis also drew on the presence of prior investments and policy relationships.</t>
  </si>
  <si>
    <t>HLO 3.3.3 was slightly deprioritized in CWANA and WCA, reflecting constrained institutional leverage and the lack of existing CGIAR footholds for policy engagement on environmental health. The deviation was justified by feasibility considerations rather than strategic disagreement. Where CGIAR had an existing presence in science-policy dialogue—particularly in South Asia—this HLO remained part of an integrated approach to environmental governance. Moving forward, S4I considers this HLO a medium-term investment, with current activities concentrated in regions with conducive policy ecosystems.</t>
  </si>
  <si>
    <t>High CA (0.83); strong alignment with GEF/IFI environment programs</t>
  </si>
  <si>
    <t>HLO 4.4.1 is a strong candidate for supporting environmental health and biodiversity priorities through its established role in integrating CGIAR innovations into IFI- and donor-funded programs, all of which must mitigate against negative environmental consequences of economic development. With a high comparative advantage rating (0.83), S4I recognized CGIAR’s existing traction with environment-focused investment channels such as GEF, GCF, and IFAD. The KBP surfaced alignment with key regions, but S4I placed greater emphasis on the maturity of these investment pathways and CGIAR’s ability to influence large-scale design processes. The assessment also took into account the presence of embedded innovation streams from prior research, especially those aligned with ecosystem protection, sustainable land use, and pollution control. Priority was placed on regions where donor-funded programming already integrates CGIAR inputs or where potential for influencing program design is high.</t>
  </si>
  <si>
    <t>HLO 4.4.1 is prioritized in regions with established partnerships and ecosystem readiness for environmental investment alignment, particualrlyin Africa and South and South East Asia, regardless of KBP results. CGIAR’s ability to embed green innovations into large-scale development programs is central to both the scaling ambition and environmental outcomes sought by S4I. The capitalizes on the presence of W3 and bilateral programs already working in these geographies. This HLO remains a cornerstone of S4I’s environmental finance delivery model, particularly in relation to AoW 4.</t>
  </si>
  <si>
    <t>Medium CA (0.65); hubs lack structured green programming</t>
  </si>
  <si>
    <t>HLO 4.4.2  received a moderate comparative advantage rating (0.65), reflecting partial institutional readiness across regions to provide structured portfolio services for green innovation. KBP alignment was limited in CWANA and WCA, and S4I further analyzed the maturity of CGIAR-led scaling hubs and their capacity to deliver services aligned with biodiversity and environmental protection. Key considerations included whether regional scale teams had experience organizing innovation packages relevant to environmental goals, and whether local delivery partners were in place. Regions with fragmented structures or low coherence in innovation planning were flagged for reduced emphasis in 2025.</t>
  </si>
  <si>
    <t xml:space="preserve">S4I slightly deprioritized HLO 4.4.2 in CWANA and WCA based on KBP results. other deviations from KBP results - for edxample to maingain an emphass on Africa and South Asia – has been clarified in responses to HLOs 2.2.2 and 2.2.3. The HLO was retained in higher-priority regions like South Asia and Southeast Asia, where functional scaling hubs can provide strategy services supporting biodiversity and environmental outcomes. </t>
  </si>
  <si>
    <t>Medium CA (0.67); strong need for internal tool development and exchanges</t>
  </si>
  <si>
    <t>HLO 5.5.1 received a moderate comparative advantage rating (0.67), reflecting CGIAR’s internal expertise in scaling frameworks and its foundational role in developing system-level tools and methodologies. For the Environmental Health and Biodiversity Impact Area, this HLO was assessed for its contribution to improving scaling approach in biodiversity-sensitive systems, including through evidence-driven learning, reflexive programming, and adaptation of methods to ecosystem protection goals. Although the KBP signaled moderate relevance across regions, S4I treated this HLO as a globally distributed internal function, critical to its cross-impact area support. In 2025, its treatment reflected continuity with earlier efforts to embed scaling science in CGIAR’s monitoring and adaptive planning processes, particularly within AoW 5. CGIAR’s internal demand for more robust methods of bundling environmental outcomes with socioeconomic co-benefits further reinforced the case for maintaining investment in this HLO.</t>
  </si>
  <si>
    <t>HLO 5.5.1 was retained across all regions due to its role in refining CGIAR’s scaling science methodology and improving strategic delivery for environmental and biodiversity-sensitive innovations. For S4I, it supports the long-term institutional capability to manage trade-offs, track systemic change, and inform cross-HLO coordination. Although the KBP provided useful input, decisions prioritized S4I’s internal logic and the HLO’s role in strengthening scale-readiness and integration of environmental considerations into systemwide innovation management.</t>
  </si>
  <si>
    <t>Medium CA (0.65); requires external evaluations and valuation of ecosystem services</t>
  </si>
  <si>
    <t>This HLO was evaluated as a critical, though more regionally variable, tool for improving the quality of environmental scaling pathways through evidence generation and validation. It received a medium comparative advantage rating (0.65), and S4I assessed it for its potential to strengthen feedback loops in biodiversity and ecosystem service assessments. However, the KBP exercise revealed weak delivery infrastructure in CWANA and WCA. S4I considered this carefully, acknowledging that successful delivery of this HLO depends on collaboration with local academic institutions, data providers, and independent evaluators with expertise in biodiversity and sustainability metrics. Where these partners were less present, particularly in regions with low institutional readiness, the HLO’s immediate feasibility was limited.</t>
  </si>
  <si>
    <t>Slightly deprioritized  in CWANA and WCA. HLO 5.5.2 was slightly deprioritized in CWANA and WCA, due to known delivery constraints and a limited track record of environmental impact evaluation partnerships among CGIAR's partners. EThis decision reflects both delivery logic and the HLO’s contribution to strengthening environmental results reporting under S4I’s AoW 5.</t>
  </si>
  <si>
    <t>Medium CA (0.66); weak portfolio integration of environmental metrics</t>
  </si>
  <si>
    <t>HLO 5.5.3 was considered a support function with moderate comparative advantage (0.66), particularly relevant to portfolio-level decisions affecting environmental and biodiversity outcomes. While the KBP results were not highly differentiated by region, S4I noted that few delivery systems currently support predictive green analytics, such as AI-informed trade-off tools or geospatial prioritization for ecosystem services. In the context of environmental health, this HLO holds promise for future targeting and risk mapping efforts but remains at an early stage of institutionalization. S4I focused on whether internal demand for such analytics tools was strong enough to warrant prioritization and whether operational partnerships existed to build their relevance to biodiversity-related innovation decisions.</t>
  </si>
  <si>
    <t>This HLO was slightly deprioritized in CWANA and WCA due to limited intermal demand-side pull based on evidence from the past CGIAR Portfolio. It was nonetheless retained as a foundational support element under AoW 5.hese decisions reflect S4I’s view that analytics innovation must align with operational need and be phased in as part of broader learning system for CGIAR with respect to innovation and scaling diagnostics.</t>
  </si>
  <si>
    <t>Index components</t>
  </si>
  <si>
    <t>low better</t>
  </si>
  <si>
    <t>high better</t>
  </si>
  <si>
    <t>conflixt_index</t>
  </si>
  <si>
    <t>CPI</t>
  </si>
  <si>
    <t>EoDB</t>
  </si>
  <si>
    <t>EMPINX</t>
  </si>
  <si>
    <t>FSI</t>
  </si>
  <si>
    <t>Latin America and the Caribbean</t>
  </si>
  <si>
    <t>Central and West Asia and North Africa</t>
  </si>
  <si>
    <t>West and Central Africa</t>
  </si>
  <si>
    <t>East and Southern Africa</t>
  </si>
  <si>
    <t>South Asia</t>
  </si>
  <si>
    <t>South East Asia and the Pacific</t>
  </si>
  <si>
    <t>Europe</t>
  </si>
  <si>
    <t>North America</t>
  </si>
  <si>
    <t>Enabling environment weights</t>
  </si>
  <si>
    <t>Aggregate (equal weighting of component indices)</t>
  </si>
  <si>
    <r>
      <t xml:space="preserve">Enabling Environment - </t>
    </r>
    <r>
      <rPr>
        <i/>
        <sz val="11"/>
        <color theme="0"/>
        <rFont val="Aptos Narrow"/>
        <family val="2"/>
        <scheme val="minor"/>
      </rPr>
      <t xml:space="preserve">This tab </t>
    </r>
    <r>
      <rPr>
        <b/>
        <i/>
        <u/>
        <sz val="11"/>
        <color theme="0"/>
        <rFont val="Aptos Narrow"/>
        <family val="2"/>
        <scheme val="minor"/>
      </rPr>
      <t>automatically</t>
    </r>
    <r>
      <rPr>
        <b/>
        <i/>
        <sz val="11"/>
        <color theme="0"/>
        <rFont val="Aptos Narrow"/>
        <family val="2"/>
        <scheme val="minor"/>
      </rPr>
      <t xml:space="preserve"> </t>
    </r>
    <r>
      <rPr>
        <i/>
        <sz val="11"/>
        <color theme="0"/>
        <rFont val="Aptos Narrow"/>
        <family val="2"/>
        <scheme val="minor"/>
      </rPr>
      <t xml:space="preserve">populates your scores from your Step B tab (that is, the Impact Area tabs*Potential Scale for Impact). It automatically weights your Step B scores by the regional Enabling Environment - </t>
    </r>
    <r>
      <rPr>
        <b/>
        <i/>
        <u/>
        <sz val="11"/>
        <color theme="0"/>
        <rFont val="Aptos Narrow"/>
        <family val="2"/>
        <scheme val="minor"/>
      </rPr>
      <t>You do not have to do anything in this tab</t>
    </r>
    <r>
      <rPr>
        <i/>
        <sz val="11"/>
        <color theme="0"/>
        <rFont val="Aptos Narrow"/>
        <family val="2"/>
        <scheme val="minor"/>
      </rPr>
      <t>, the excel formulas do the weighting for you.</t>
    </r>
    <r>
      <rPr>
        <b/>
        <sz val="11"/>
        <color theme="0"/>
        <rFont val="Aptos Narrow"/>
        <family val="2"/>
        <scheme val="minor"/>
      </rPr>
      <t xml:space="preserve"> THESE ARE YOUR FINAL SCORES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</si>
</sst>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Calibri"/>
      <family val="2"/>
    </font>
    <font>
      <u/>
      <sz val="11"/>
      <color theme="10"/>
      <name val="Aptos Narrow"/>
      <family val="2"/>
      <scheme val="minor"/>
    </font>
    <font>
      <b/>
      <i/>
      <sz val="11"/>
      <color theme="1"/>
      <name val="Aptos Narrow"/>
      <family val="2"/>
      <scheme val="minor"/>
    </font>
    <font>
      <b/>
      <i/>
      <sz val="11"/>
      <color theme="0"/>
      <name val="Aptos Narrow"/>
      <family val="2"/>
      <scheme val="minor"/>
    </font>
    <font>
      <i/>
      <sz val="11"/>
      <color theme="0"/>
      <name val="Aptos Narrow"/>
      <family val="2"/>
      <scheme val="minor"/>
    </font>
    <font>
      <b/>
      <i/>
      <u/>
      <sz val="11"/>
      <color theme="0"/>
      <name val="Aptos Narrow"/>
      <family val="2"/>
      <scheme val="minor"/>
    </font>
    <font>
      <b/>
      <sz val="14"/>
      <color theme="1"/>
      <name val="Aptos Narrow"/>
      <family val="2"/>
      <scheme val="minor"/>
    </font>
    <font>
      <sz val="14"/>
      <color theme="1"/>
      <name val="Aptos Narrow"/>
      <family val="2"/>
      <scheme val="minor"/>
    </font>
    <font>
      <sz val="8"/>
      <name val="Aptos Narrow"/>
      <family val="2"/>
      <scheme val="minor"/>
    </font>
    <font>
      <sz val="11"/>
      <name val="Aptos Narrow"/>
      <family val="2"/>
      <scheme val="minor"/>
    </font>
    <font>
      <sz val="9"/>
      <color indexed="81"/>
      <name val="Tahoma"/>
      <family val="2"/>
    </font>
    <font>
      <b/>
      <sz val="9"/>
      <color indexed="81"/>
      <name val="Tahoma"/>
      <family val="2"/>
    </font>
    <font>
      <sz val="11"/>
      <color theme="1" tint="0.34998626667073579"/>
      <name val="Aptos Narrow"/>
      <family val="2"/>
      <scheme val="minor"/>
    </font>
    <font>
      <b/>
      <sz val="12"/>
      <color theme="1"/>
      <name val="Aptos"/>
      <family val="2"/>
    </font>
    <font>
      <sz val="12"/>
      <color theme="1"/>
      <name val="Aptos"/>
      <family val="2"/>
    </font>
    <font>
      <sz val="11"/>
      <color theme="1"/>
      <name val="Aptos"/>
      <family val="2"/>
    </font>
    <font>
      <sz val="8"/>
      <color theme="1"/>
      <name val="Aptos"/>
      <family val="2"/>
    </font>
    <font>
      <i/>
      <sz val="11"/>
      <color theme="5"/>
      <name val="Aptos"/>
      <family val="2"/>
    </font>
    <font>
      <sz val="11"/>
      <name val="Calibri"/>
      <family val="2"/>
    </font>
    <font>
      <i/>
      <sz val="11"/>
      <color rgb="FFC00000"/>
      <name val="Aptos"/>
      <family val="2"/>
    </font>
    <font>
      <i/>
      <sz val="11"/>
      <color theme="5"/>
      <name val="Aptos Narrow"/>
      <family val="2"/>
      <scheme val="minor"/>
    </font>
    <font>
      <b/>
      <i/>
      <sz val="11"/>
      <color theme="5"/>
      <name val="Aptos Narrow"/>
      <family val="2"/>
      <scheme val="minor"/>
    </font>
    <font>
      <sz val="11"/>
      <color theme="1"/>
      <name val="Calibri"/>
      <family val="2"/>
    </font>
    <font>
      <sz val="11"/>
      <color rgb="FFFF0000"/>
      <name val="Aptos Narrow"/>
      <family val="2"/>
      <scheme val="minor"/>
    </font>
    <font>
      <sz val="8"/>
      <color theme="1"/>
      <name val="Tw Cen MT"/>
      <family val="2"/>
      <charset val="1"/>
    </font>
    <font>
      <b/>
      <sz val="8"/>
      <color theme="1"/>
      <name val="Tw Cen MT"/>
      <family val="2"/>
      <charset val="1"/>
    </font>
    <font>
      <sz val="11"/>
      <color theme="1"/>
      <name val="Arial"/>
      <family val="2"/>
    </font>
    <font>
      <b/>
      <sz val="12"/>
      <color rgb="FFFFFFFF"/>
      <name val="Arial"/>
      <family val="2"/>
    </font>
    <font>
      <sz val="12"/>
      <color rgb="FFFFFFFF"/>
      <name val="Arial"/>
      <family val="2"/>
    </font>
    <font>
      <b/>
      <sz val="12"/>
      <color theme="0"/>
      <name val="Arial"/>
      <family val="2"/>
    </font>
    <font>
      <sz val="12"/>
      <color theme="1"/>
      <name val="Arial"/>
      <family val="2"/>
    </font>
    <font>
      <b/>
      <sz val="12"/>
      <color theme="1"/>
      <name val="Arial"/>
      <family val="2"/>
    </font>
    <font>
      <b/>
      <sz val="12"/>
      <color rgb="FF000000"/>
      <name val="Arial"/>
      <family val="2"/>
    </font>
    <font>
      <b/>
      <sz val="10"/>
      <color rgb="FF404040"/>
      <name val="Segoe UI"/>
      <family val="2"/>
    </font>
    <font>
      <b/>
      <sz val="12"/>
      <color theme="1"/>
      <name val="Aptos Narrow"/>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499984740745262"/>
        <bgColor indexed="64"/>
      </patternFill>
    </fill>
    <fill>
      <patternFill patternType="solid">
        <fgColor theme="3"/>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3" tint="0.89999084444715716"/>
        <bgColor indexed="64"/>
      </patternFill>
    </fill>
    <fill>
      <patternFill patternType="solid">
        <fgColor rgb="FFFFFF99"/>
        <bgColor indexed="64"/>
      </patternFill>
    </fill>
    <fill>
      <patternFill patternType="solid">
        <fgColor theme="5" tint="0.79998168889431442"/>
        <bgColor indexed="64"/>
      </patternFill>
    </fill>
    <fill>
      <patternFill patternType="solid">
        <fgColor theme="8" tint="0.79998168889431442"/>
        <bgColor indexed="64"/>
      </patternFill>
    </fill>
  </fills>
  <borders count="2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0" fontId="22" fillId="0" borderId="0"/>
  </cellStyleXfs>
  <cellXfs count="144">
    <xf numFmtId="0" fontId="0" fillId="0" borderId="0" xfId="0"/>
    <xf numFmtId="0" fontId="1" fillId="0" borderId="0" xfId="0" applyFont="1"/>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3" borderId="1" xfId="0" applyFont="1" applyFill="1" applyBorder="1" applyAlignment="1">
      <alignment horizontal="center"/>
    </xf>
    <xf numFmtId="0" fontId="1" fillId="4" borderId="3" xfId="0" applyFont="1" applyFill="1" applyBorder="1" applyAlignment="1">
      <alignment horizontal="center"/>
    </xf>
    <xf numFmtId="0" fontId="1" fillId="5" borderId="3" xfId="0" applyFont="1" applyFill="1" applyBorder="1" applyAlignment="1">
      <alignment horizontal="center"/>
    </xf>
    <xf numFmtId="0" fontId="1" fillId="6" borderId="3" xfId="0" applyFont="1" applyFill="1" applyBorder="1" applyAlignment="1">
      <alignment horizontal="center"/>
    </xf>
    <xf numFmtId="0" fontId="1" fillId="7" borderId="5" xfId="0" applyFont="1" applyFill="1" applyBorder="1" applyAlignment="1">
      <alignment horizontal="center"/>
    </xf>
    <xf numFmtId="0" fontId="0" fillId="0" borderId="0" xfId="0" applyAlignment="1">
      <alignment horizontal="center"/>
    </xf>
    <xf numFmtId="0" fontId="3" fillId="9" borderId="0" xfId="0" applyFont="1" applyFill="1"/>
    <xf numFmtId="0" fontId="2" fillId="9" borderId="0" xfId="0" applyFont="1" applyFill="1"/>
    <xf numFmtId="0" fontId="1" fillId="0" borderId="12" xfId="0" applyFont="1" applyBorder="1"/>
    <xf numFmtId="0" fontId="0" fillId="0" borderId="0" xfId="0" applyAlignment="1">
      <alignment horizontal="left" vertical="top"/>
    </xf>
    <xf numFmtId="0" fontId="0" fillId="0" borderId="7" xfId="0" applyBorder="1" applyAlignment="1">
      <alignment horizontal="center" vertical="top"/>
    </xf>
    <xf numFmtId="0" fontId="0" fillId="0" borderId="0" xfId="0" applyAlignment="1">
      <alignment horizontal="center" vertical="top"/>
    </xf>
    <xf numFmtId="0" fontId="4" fillId="0" borderId="0" xfId="0" applyFont="1"/>
    <xf numFmtId="0" fontId="4" fillId="0" borderId="0" xfId="0" applyFont="1" applyAlignment="1">
      <alignment vertical="top"/>
    </xf>
    <xf numFmtId="0" fontId="1" fillId="0" borderId="0" xfId="0" applyFont="1" applyAlignment="1">
      <alignment horizontal="right" vertical="top"/>
    </xf>
    <xf numFmtId="0" fontId="0" fillId="14" borderId="0" xfId="0" applyFill="1"/>
    <xf numFmtId="0" fontId="1" fillId="14" borderId="0" xfId="0" applyFont="1" applyFill="1"/>
    <xf numFmtId="0" fontId="5" fillId="0" borderId="0" xfId="1"/>
    <xf numFmtId="0" fontId="0" fillId="10" borderId="0" xfId="0" applyFill="1"/>
    <xf numFmtId="0" fontId="0" fillId="11" borderId="0" xfId="0" applyFill="1"/>
    <xf numFmtId="0" fontId="10" fillId="0" borderId="0" xfId="0" applyFont="1"/>
    <xf numFmtId="4" fontId="0" fillId="0" borderId="0" xfId="0" applyNumberFormat="1"/>
    <xf numFmtId="0" fontId="0" fillId="5" borderId="0" xfId="0" applyFill="1"/>
    <xf numFmtId="0" fontId="5" fillId="5" borderId="0" xfId="1" applyFill="1"/>
    <xf numFmtId="0" fontId="1" fillId="2" borderId="0" xfId="0" applyFont="1" applyFill="1" applyAlignment="1">
      <alignment horizontal="center"/>
    </xf>
    <xf numFmtId="164" fontId="0" fillId="0" borderId="0" xfId="0" applyNumberFormat="1"/>
    <xf numFmtId="2" fontId="0" fillId="0" borderId="0" xfId="0" applyNumberFormat="1"/>
    <xf numFmtId="0" fontId="1" fillId="0" borderId="0" xfId="0" applyFont="1" applyAlignment="1">
      <alignment horizontal="center"/>
    </xf>
    <xf numFmtId="0" fontId="16" fillId="0" borderId="0" xfId="0" applyFont="1"/>
    <xf numFmtId="164" fontId="16" fillId="0" borderId="0" xfId="0" applyNumberFormat="1" applyFont="1"/>
    <xf numFmtId="0" fontId="18" fillId="0" borderId="0" xfId="0" applyFont="1" applyAlignment="1">
      <alignment horizontal="left" vertical="center" wrapText="1"/>
    </xf>
    <xf numFmtId="0" fontId="19" fillId="2" borderId="0" xfId="0" applyFont="1" applyFill="1" applyAlignment="1">
      <alignment horizontal="left" vertical="center" wrapText="1"/>
    </xf>
    <xf numFmtId="0" fontId="20" fillId="2" borderId="0" xfId="0" applyFont="1" applyFill="1" applyAlignment="1">
      <alignment horizontal="left" vertical="center" wrapText="1"/>
    </xf>
    <xf numFmtId="0" fontId="19" fillId="0" borderId="0" xfId="0" applyFont="1" applyAlignment="1">
      <alignment horizontal="left" vertical="center" wrapText="1"/>
    </xf>
    <xf numFmtId="0" fontId="19" fillId="2" borderId="0" xfId="0" applyFont="1" applyFill="1" applyAlignment="1">
      <alignment horizontal="left" vertical="center"/>
    </xf>
    <xf numFmtId="0" fontId="20" fillId="2" borderId="0" xfId="0" applyFont="1" applyFill="1" applyAlignment="1">
      <alignment horizontal="left" vertical="center"/>
    </xf>
    <xf numFmtId="0" fontId="20" fillId="0" borderId="0" xfId="0" applyFont="1" applyAlignment="1">
      <alignment horizontal="left" vertical="center" wrapText="1"/>
    </xf>
    <xf numFmtId="0" fontId="19" fillId="0" borderId="0" xfId="0" applyFont="1" applyAlignment="1">
      <alignment horizontal="left" vertical="center"/>
    </xf>
    <xf numFmtId="165" fontId="0" fillId="0" borderId="0" xfId="0" applyNumberFormat="1"/>
    <xf numFmtId="165" fontId="19" fillId="0" borderId="0" xfId="0" applyNumberFormat="1" applyFont="1" applyAlignment="1">
      <alignment horizontal="left" vertical="center" wrapText="1"/>
    </xf>
    <xf numFmtId="3" fontId="0" fillId="0" borderId="0" xfId="0" applyNumberFormat="1"/>
    <xf numFmtId="3" fontId="19" fillId="0" borderId="0" xfId="0" applyNumberFormat="1" applyFont="1" applyAlignment="1">
      <alignment horizontal="left" vertical="center" wrapText="1"/>
    </xf>
    <xf numFmtId="0" fontId="2" fillId="0" borderId="0" xfId="0" applyFont="1" applyAlignment="1">
      <alignment horizontal="left" wrapText="1"/>
    </xf>
    <xf numFmtId="0" fontId="21" fillId="0" borderId="0" xfId="0" applyFont="1" applyAlignment="1">
      <alignment horizontal="left" vertical="center"/>
    </xf>
    <xf numFmtId="0" fontId="22" fillId="0" borderId="0" xfId="2"/>
    <xf numFmtId="0" fontId="23" fillId="0" borderId="0" xfId="0" applyFont="1" applyAlignment="1">
      <alignment horizontal="left" vertical="center"/>
    </xf>
    <xf numFmtId="0" fontId="0" fillId="0" borderId="16" xfId="0" applyBorder="1"/>
    <xf numFmtId="1" fontId="0" fillId="0" borderId="16" xfId="0" applyNumberFormat="1" applyBorder="1"/>
    <xf numFmtId="1" fontId="27" fillId="0" borderId="16" xfId="0" applyNumberFormat="1" applyFont="1" applyBorder="1"/>
    <xf numFmtId="0" fontId="19" fillId="0" borderId="16" xfId="0" applyFont="1" applyBorder="1" applyAlignment="1">
      <alignment horizontal="left" vertical="center" wrapText="1"/>
    </xf>
    <xf numFmtId="0" fontId="20" fillId="0" borderId="16" xfId="0" applyFont="1" applyBorder="1" applyAlignment="1">
      <alignment horizontal="left" vertical="center" wrapText="1"/>
    </xf>
    <xf numFmtId="3" fontId="19" fillId="0" borderId="16" xfId="0" applyNumberFormat="1" applyFont="1" applyBorder="1" applyAlignment="1">
      <alignment horizontal="left" vertical="center" wrapText="1"/>
    </xf>
    <xf numFmtId="165" fontId="19" fillId="0" borderId="16" xfId="0" applyNumberFormat="1" applyFont="1" applyBorder="1" applyAlignment="1">
      <alignment horizontal="left" vertical="center" wrapText="1"/>
    </xf>
    <xf numFmtId="10" fontId="19" fillId="0" borderId="16" xfId="0" applyNumberFormat="1" applyFont="1" applyBorder="1" applyAlignment="1">
      <alignment horizontal="left" vertical="center" wrapText="1"/>
    </xf>
    <xf numFmtId="0" fontId="0" fillId="5" borderId="16" xfId="0" applyFill="1" applyBorder="1" applyAlignment="1">
      <alignment horizontal="center" vertical="center"/>
    </xf>
    <xf numFmtId="10" fontId="0" fillId="0" borderId="16" xfId="0" applyNumberFormat="1" applyBorder="1"/>
    <xf numFmtId="3" fontId="0" fillId="0" borderId="16" xfId="0" applyNumberFormat="1" applyBorder="1"/>
    <xf numFmtId="10" fontId="19" fillId="0" borderId="20" xfId="0" applyNumberFormat="1" applyFont="1" applyBorder="1" applyAlignment="1">
      <alignment horizontal="left" vertical="center" wrapText="1"/>
    </xf>
    <xf numFmtId="0" fontId="19" fillId="0" borderId="20" xfId="0" applyFont="1" applyBorder="1" applyAlignment="1">
      <alignment horizontal="left" vertical="center" wrapText="1"/>
    </xf>
    <xf numFmtId="0" fontId="20" fillId="0" borderId="20" xfId="0" applyFont="1" applyBorder="1" applyAlignment="1">
      <alignment horizontal="left" vertical="center" wrapText="1"/>
    </xf>
    <xf numFmtId="3" fontId="19" fillId="0" borderId="20" xfId="0" applyNumberFormat="1" applyFont="1" applyBorder="1" applyAlignment="1">
      <alignment horizontal="left" vertical="center" wrapText="1"/>
    </xf>
    <xf numFmtId="165" fontId="19" fillId="0" borderId="20" xfId="0" applyNumberFormat="1" applyFont="1" applyBorder="1" applyAlignment="1">
      <alignment horizontal="left" vertical="center" wrapText="1"/>
    </xf>
    <xf numFmtId="10" fontId="0" fillId="0" borderId="20" xfId="0" applyNumberFormat="1" applyBorder="1"/>
    <xf numFmtId="0" fontId="0" fillId="5" borderId="21" xfId="0" applyFill="1" applyBorder="1" applyAlignment="1">
      <alignment horizontal="center" vertical="center"/>
    </xf>
    <xf numFmtId="1" fontId="0" fillId="2" borderId="16" xfId="0" applyNumberFormat="1" applyFill="1" applyBorder="1"/>
    <xf numFmtId="10" fontId="19" fillId="2" borderId="18" xfId="0" applyNumberFormat="1" applyFont="1" applyFill="1" applyBorder="1" applyAlignment="1">
      <alignment horizontal="left" vertical="center" wrapText="1"/>
    </xf>
    <xf numFmtId="10" fontId="19" fillId="2" borderId="19" xfId="0" applyNumberFormat="1" applyFont="1" applyFill="1" applyBorder="1" applyAlignment="1">
      <alignment horizontal="left" vertical="center" wrapText="1"/>
    </xf>
    <xf numFmtId="1" fontId="19" fillId="2" borderId="16" xfId="0" applyNumberFormat="1" applyFont="1" applyFill="1" applyBorder="1" applyAlignment="1">
      <alignment horizontal="center" vertical="center" wrapText="1"/>
    </xf>
    <xf numFmtId="10" fontId="19" fillId="2" borderId="16" xfId="0" applyNumberFormat="1" applyFont="1" applyFill="1" applyBorder="1" applyAlignment="1">
      <alignment horizontal="left" vertical="center" wrapText="1"/>
    </xf>
    <xf numFmtId="10" fontId="19" fillId="2" borderId="20" xfId="0" applyNumberFormat="1" applyFont="1" applyFill="1" applyBorder="1" applyAlignment="1">
      <alignment horizontal="left" vertical="center" wrapText="1"/>
    </xf>
    <xf numFmtId="1" fontId="27" fillId="2" borderId="16" xfId="0" applyNumberFormat="1" applyFont="1" applyFill="1" applyBorder="1"/>
    <xf numFmtId="0" fontId="24" fillId="2" borderId="0" xfId="0" applyFont="1" applyFill="1"/>
    <xf numFmtId="1" fontId="19" fillId="0" borderId="16" xfId="0" applyNumberFormat="1" applyFont="1" applyBorder="1" applyAlignment="1">
      <alignment horizontal="left" vertical="center" wrapText="1"/>
    </xf>
    <xf numFmtId="1" fontId="19" fillId="2" borderId="20" xfId="0" applyNumberFormat="1" applyFont="1" applyFill="1" applyBorder="1" applyAlignment="1">
      <alignment horizontal="center" vertical="center" wrapText="1"/>
    </xf>
    <xf numFmtId="1" fontId="19" fillId="0" borderId="20" xfId="0" applyNumberFormat="1" applyFont="1" applyBorder="1" applyAlignment="1">
      <alignment horizontal="left" vertical="center" wrapText="1"/>
    </xf>
    <xf numFmtId="0" fontId="28" fillId="0" borderId="13" xfId="0" applyFont="1" applyBorder="1" applyAlignment="1">
      <alignment vertical="top" wrapText="1"/>
    </xf>
    <xf numFmtId="0" fontId="29" fillId="0" borderId="13" xfId="0" applyFont="1" applyBorder="1" applyAlignment="1">
      <alignment vertical="top" wrapText="1"/>
    </xf>
    <xf numFmtId="0" fontId="1" fillId="0" borderId="16" xfId="0" applyFont="1" applyBorder="1" applyAlignment="1">
      <alignment horizontal="right" vertical="top"/>
    </xf>
    <xf numFmtId="0" fontId="4" fillId="0" borderId="16" xfId="0" applyFont="1" applyBorder="1" applyAlignment="1">
      <alignment vertical="top"/>
    </xf>
    <xf numFmtId="0" fontId="0" fillId="0" borderId="16" xfId="0" applyBorder="1" applyAlignment="1">
      <alignment horizontal="center" vertical="top"/>
    </xf>
    <xf numFmtId="0" fontId="0" fillId="0" borderId="16" xfId="0" applyBorder="1" applyAlignment="1">
      <alignment horizontal="right" vertical="top"/>
    </xf>
    <xf numFmtId="0" fontId="0" fillId="0" borderId="16" xfId="0" applyBorder="1" applyAlignment="1">
      <alignment horizontal="left" vertical="top"/>
    </xf>
    <xf numFmtId="0" fontId="26" fillId="0" borderId="16" xfId="0" applyFont="1" applyBorder="1" applyAlignment="1">
      <alignment vertical="center" wrapText="1"/>
    </xf>
    <xf numFmtId="0" fontId="1" fillId="0" borderId="1" xfId="0" applyFont="1" applyBorder="1" applyAlignment="1">
      <alignment horizontal="left" vertical="top"/>
    </xf>
    <xf numFmtId="0" fontId="1" fillId="2" borderId="11" xfId="0" applyFont="1" applyFill="1" applyBorder="1" applyAlignment="1">
      <alignment horizontal="center" vertical="top"/>
    </xf>
    <xf numFmtId="0" fontId="1" fillId="0" borderId="16" xfId="0" applyFont="1" applyBorder="1"/>
    <xf numFmtId="0" fontId="1" fillId="2" borderId="16" xfId="0" applyFont="1" applyFill="1" applyBorder="1" applyAlignment="1">
      <alignment horizontal="center"/>
    </xf>
    <xf numFmtId="0" fontId="0" fillId="0" borderId="0" xfId="0" applyAlignment="1">
      <alignment horizontal="right"/>
    </xf>
    <xf numFmtId="0" fontId="28" fillId="0" borderId="13" xfId="0" applyFont="1" applyBorder="1" applyAlignment="1">
      <alignment horizontal="left" vertical="top" wrapText="1"/>
    </xf>
    <xf numFmtId="0" fontId="29" fillId="0" borderId="13" xfId="0" applyFont="1" applyBorder="1" applyAlignment="1">
      <alignment horizontal="left" vertical="top" wrapText="1"/>
    </xf>
    <xf numFmtId="0" fontId="0" fillId="0" borderId="16" xfId="0" applyBorder="1" applyAlignment="1">
      <alignment wrapText="1"/>
    </xf>
    <xf numFmtId="0" fontId="1" fillId="8" borderId="22" xfId="0" applyFont="1" applyFill="1" applyBorder="1"/>
    <xf numFmtId="0" fontId="1" fillId="8" borderId="23" xfId="0" applyFont="1" applyFill="1" applyBorder="1"/>
    <xf numFmtId="0" fontId="0" fillId="0" borderId="24" xfId="0" applyBorder="1" applyAlignment="1">
      <alignment horizontal="center" vertical="top"/>
    </xf>
    <xf numFmtId="0" fontId="1" fillId="0" borderId="15" xfId="0" applyFont="1" applyBorder="1"/>
    <xf numFmtId="0" fontId="30" fillId="0" borderId="0" xfId="0" applyFont="1" applyAlignment="1">
      <alignment vertical="top"/>
    </xf>
    <xf numFmtId="0" fontId="30" fillId="0" borderId="0" xfId="0" applyFont="1" applyAlignment="1">
      <alignment vertical="top" wrapText="1"/>
    </xf>
    <xf numFmtId="0" fontId="34" fillId="0" borderId="0" xfId="0" applyFont="1" applyAlignment="1">
      <alignment horizontal="left" vertical="top" wrapText="1"/>
    </xf>
    <xf numFmtId="0" fontId="35" fillId="13" borderId="13" xfId="0" applyFont="1" applyFill="1" applyBorder="1" applyAlignment="1">
      <alignment horizontal="left" vertical="top" wrapText="1"/>
    </xf>
    <xf numFmtId="0" fontId="35" fillId="6" borderId="13" xfId="0" applyFont="1" applyFill="1" applyBorder="1" applyAlignment="1">
      <alignment horizontal="left" vertical="top" wrapText="1"/>
    </xf>
    <xf numFmtId="0" fontId="34" fillId="0" borderId="13" xfId="0" applyFont="1" applyBorder="1" applyAlignment="1">
      <alignment horizontal="left" vertical="top" wrapText="1"/>
    </xf>
    <xf numFmtId="0" fontId="36" fillId="6" borderId="13" xfId="0" applyFont="1" applyFill="1" applyBorder="1" applyAlignment="1">
      <alignment horizontal="left" vertical="top" wrapText="1"/>
    </xf>
    <xf numFmtId="0" fontId="2" fillId="9" borderId="0" xfId="0" applyFont="1" applyFill="1" applyAlignment="1">
      <alignment wrapText="1"/>
    </xf>
    <xf numFmtId="0" fontId="0" fillId="0" borderId="0" xfId="0" applyAlignment="1">
      <alignment wrapText="1"/>
    </xf>
    <xf numFmtId="0" fontId="1" fillId="0" borderId="15" xfId="0" applyFont="1" applyBorder="1" applyAlignment="1">
      <alignment wrapText="1"/>
    </xf>
    <xf numFmtId="0" fontId="4" fillId="0" borderId="16" xfId="0" applyFont="1" applyBorder="1" applyAlignment="1">
      <alignment vertical="top" wrapText="1"/>
    </xf>
    <xf numFmtId="0" fontId="4" fillId="0" borderId="0" xfId="0" applyFont="1" applyAlignment="1">
      <alignment vertical="top" wrapText="1"/>
    </xf>
    <xf numFmtId="0" fontId="0" fillId="0" borderId="20" xfId="0" applyBorder="1"/>
    <xf numFmtId="0" fontId="37" fillId="5" borderId="25" xfId="0" applyFont="1" applyFill="1" applyBorder="1" applyAlignment="1">
      <alignment vertical="center" wrapText="1"/>
    </xf>
    <xf numFmtId="0" fontId="0" fillId="5" borderId="20" xfId="0" applyFill="1" applyBorder="1"/>
    <xf numFmtId="0" fontId="0" fillId="5" borderId="16" xfId="0" applyFill="1" applyBorder="1"/>
    <xf numFmtId="0" fontId="38" fillId="5" borderId="16" xfId="0" applyFont="1" applyFill="1" applyBorder="1" applyAlignment="1">
      <alignment horizontal="center"/>
    </xf>
    <xf numFmtId="0" fontId="38" fillId="15" borderId="16" xfId="0" applyFont="1" applyFill="1" applyBorder="1" applyAlignment="1">
      <alignment horizontal="center"/>
    </xf>
    <xf numFmtId="0" fontId="37" fillId="15" borderId="25" xfId="0" applyFont="1" applyFill="1" applyBorder="1" applyAlignment="1">
      <alignment vertical="center" wrapText="1"/>
    </xf>
    <xf numFmtId="0" fontId="37" fillId="15" borderId="13" xfId="0" applyFont="1" applyFill="1" applyBorder="1" applyAlignment="1">
      <alignment vertical="center" wrapText="1"/>
    </xf>
    <xf numFmtId="0" fontId="0" fillId="15" borderId="20" xfId="0" applyFill="1" applyBorder="1"/>
    <xf numFmtId="0" fontId="0" fillId="15" borderId="16" xfId="0" applyFill="1" applyBorder="1"/>
    <xf numFmtId="0" fontId="0" fillId="13" borderId="8" xfId="0" applyFill="1" applyBorder="1" applyAlignment="1">
      <alignment horizontal="center"/>
    </xf>
    <xf numFmtId="0" fontId="0" fillId="13" borderId="9" xfId="0" applyFill="1" applyBorder="1" applyAlignment="1">
      <alignment horizontal="center"/>
    </xf>
    <xf numFmtId="0" fontId="0" fillId="13" borderId="10" xfId="0" applyFill="1" applyBorder="1" applyAlignment="1">
      <alignment horizontal="center"/>
    </xf>
    <xf numFmtId="0" fontId="0" fillId="16" borderId="1" xfId="0" applyFill="1" applyBorder="1" applyAlignment="1">
      <alignment horizontal="center" vertical="center"/>
    </xf>
    <xf numFmtId="0" fontId="0" fillId="16" borderId="3" xfId="0" applyFill="1" applyBorder="1" applyAlignment="1">
      <alignment horizontal="center" vertical="center"/>
    </xf>
    <xf numFmtId="0" fontId="0" fillId="13" borderId="15" xfId="0" applyFill="1" applyBorder="1" applyAlignment="1">
      <alignment horizontal="center" vertical="center"/>
    </xf>
    <xf numFmtId="0" fontId="0" fillId="13" borderId="17" xfId="0" applyFill="1" applyBorder="1" applyAlignment="1">
      <alignment horizontal="center" vertical="center"/>
    </xf>
    <xf numFmtId="0" fontId="0" fillId="16" borderId="14" xfId="0" applyFill="1" applyBorder="1" applyAlignment="1">
      <alignment horizontal="center" vertical="center"/>
    </xf>
    <xf numFmtId="0" fontId="0" fillId="16" borderId="0" xfId="0" applyFill="1" applyAlignment="1">
      <alignment horizontal="center" vertical="center"/>
    </xf>
    <xf numFmtId="0" fontId="0" fillId="16" borderId="8"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17" fillId="15" borderId="0" xfId="0" applyFont="1" applyFill="1" applyAlignment="1">
      <alignment horizontal="center" vertical="center" wrapText="1"/>
    </xf>
    <xf numFmtId="0" fontId="1" fillId="2" borderId="13" xfId="0" applyFont="1" applyFill="1" applyBorder="1" applyAlignment="1">
      <alignment horizontal="center" vertical="top" wrapText="1"/>
    </xf>
    <xf numFmtId="0" fontId="2" fillId="10" borderId="0" xfId="0" applyFont="1" applyFill="1" applyAlignment="1">
      <alignment horizontal="left" wrapText="1"/>
    </xf>
    <xf numFmtId="0" fontId="31" fillId="12" borderId="0" xfId="0" applyFont="1" applyFill="1" applyAlignment="1">
      <alignment horizontal="left" vertical="top" wrapText="1"/>
    </xf>
    <xf numFmtId="0" fontId="33" fillId="12" borderId="0" xfId="0" applyFont="1" applyFill="1" applyAlignment="1">
      <alignment horizontal="left" vertical="top" wrapText="1"/>
    </xf>
    <xf numFmtId="0" fontId="2" fillId="11" borderId="0" xfId="0" applyFont="1" applyFill="1" applyAlignment="1">
      <alignment horizontal="left" vertical="top" wrapText="1"/>
    </xf>
  </cellXfs>
  <cellStyles count="3">
    <cellStyle name="Hipervínculo" xfId="1" builtinId="8"/>
    <cellStyle name="Normal" xfId="0" builtinId="0"/>
    <cellStyle name="Normal 2" xfId="2" xr:uid="{84515C97-1619-4B03-85EB-BAA3765409E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Prevelance of Undernourishment </a:t>
            </a:r>
          </a:p>
          <a:p>
            <a:pPr>
              <a:defRPr/>
            </a:pPr>
            <a:r>
              <a:rPr lang="en-AU" sz="900" i="1"/>
              <a:t>Share of total population living below the minimum calorie daily threshold </a:t>
            </a:r>
            <a:endParaRPr lang="en-AU" i="1"/>
          </a:p>
        </c:rich>
      </c:tx>
      <c:layout>
        <c:manualLayout>
          <c:xMode val="edge"/>
          <c:yMode val="edge"/>
          <c:x val="0.138972222222222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[2]Hunger!$H$8</c:f>
              <c:strCache>
                <c:ptCount val="1"/>
                <c:pt idx="0">
                  <c:v>LAC</c:v>
                </c:pt>
              </c:strCache>
            </c:strRef>
          </c:tx>
          <c:spPr>
            <a:ln w="28575" cap="rnd">
              <a:solidFill>
                <a:schemeClr val="accent1"/>
              </a:solidFill>
              <a:round/>
            </a:ln>
            <a:effectLst/>
          </c:spPr>
          <c:marker>
            <c:symbol val="none"/>
          </c:marker>
          <c:val>
            <c:numRef>
              <c:f>[1]Hunger!$J$8:$AB$8</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0-235F-42B4-BE41-C87AC3C1B033}"/>
            </c:ext>
          </c:extLst>
        </c:ser>
        <c:ser>
          <c:idx val="1"/>
          <c:order val="1"/>
          <c:tx>
            <c:strRef>
              <c:f>[2]Hunger!$H$9</c:f>
              <c:strCache>
                <c:ptCount val="1"/>
                <c:pt idx="0">
                  <c:v>CWANA</c:v>
                </c:pt>
              </c:strCache>
            </c:strRef>
          </c:tx>
          <c:spPr>
            <a:ln w="28575" cap="rnd">
              <a:solidFill>
                <a:schemeClr val="accent2"/>
              </a:solidFill>
              <a:round/>
            </a:ln>
            <a:effectLst/>
          </c:spPr>
          <c:marker>
            <c:symbol val="none"/>
          </c:marker>
          <c:val>
            <c:numRef>
              <c:f>[1]Hunger!$J$9:$AB$9</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1-235F-42B4-BE41-C87AC3C1B033}"/>
            </c:ext>
          </c:extLst>
        </c:ser>
        <c:ser>
          <c:idx val="2"/>
          <c:order val="2"/>
          <c:tx>
            <c:strRef>
              <c:f>[2]Hunger!$H$10</c:f>
              <c:strCache>
                <c:ptCount val="1"/>
                <c:pt idx="0">
                  <c:v>WCA</c:v>
                </c:pt>
              </c:strCache>
            </c:strRef>
          </c:tx>
          <c:spPr>
            <a:ln w="28575" cap="rnd">
              <a:solidFill>
                <a:schemeClr val="accent3"/>
              </a:solidFill>
              <a:round/>
            </a:ln>
            <a:effectLst/>
          </c:spPr>
          <c:marker>
            <c:symbol val="none"/>
          </c:marker>
          <c:val>
            <c:numRef>
              <c:f>[1]Hunger!$J$10:$AB$10</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2-235F-42B4-BE41-C87AC3C1B033}"/>
            </c:ext>
          </c:extLst>
        </c:ser>
        <c:ser>
          <c:idx val="3"/>
          <c:order val="3"/>
          <c:tx>
            <c:strRef>
              <c:f>[2]Hunger!$H$11</c:f>
              <c:strCache>
                <c:ptCount val="1"/>
                <c:pt idx="0">
                  <c:v>ESA</c:v>
                </c:pt>
              </c:strCache>
            </c:strRef>
          </c:tx>
          <c:spPr>
            <a:ln w="28575" cap="rnd">
              <a:solidFill>
                <a:schemeClr val="accent4"/>
              </a:solidFill>
              <a:round/>
            </a:ln>
            <a:effectLst/>
          </c:spPr>
          <c:marker>
            <c:symbol val="none"/>
          </c:marker>
          <c:val>
            <c:numRef>
              <c:f>[1]Hunger!$J$11:$AB$11</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3-235F-42B4-BE41-C87AC3C1B033}"/>
            </c:ext>
          </c:extLst>
        </c:ser>
        <c:ser>
          <c:idx val="4"/>
          <c:order val="4"/>
          <c:tx>
            <c:strRef>
              <c:f>[2]Hunger!$H$12</c:f>
              <c:strCache>
                <c:ptCount val="1"/>
                <c:pt idx="0">
                  <c:v>SA</c:v>
                </c:pt>
              </c:strCache>
            </c:strRef>
          </c:tx>
          <c:spPr>
            <a:ln w="28575" cap="rnd">
              <a:solidFill>
                <a:schemeClr val="accent5"/>
              </a:solidFill>
              <a:round/>
            </a:ln>
            <a:effectLst/>
          </c:spPr>
          <c:marker>
            <c:symbol val="none"/>
          </c:marker>
          <c:val>
            <c:numRef>
              <c:f>[1]Hunger!$J$12:$AB$12</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4-235F-42B4-BE41-C87AC3C1B033}"/>
            </c:ext>
          </c:extLst>
        </c:ser>
        <c:ser>
          <c:idx val="5"/>
          <c:order val="5"/>
          <c:tx>
            <c:strRef>
              <c:f>[2]Hunger!$H$13</c:f>
              <c:strCache>
                <c:ptCount val="1"/>
                <c:pt idx="0">
                  <c:v>SEA</c:v>
                </c:pt>
              </c:strCache>
            </c:strRef>
          </c:tx>
          <c:spPr>
            <a:ln w="28575" cap="rnd">
              <a:solidFill>
                <a:schemeClr val="accent6"/>
              </a:solidFill>
              <a:round/>
            </a:ln>
            <a:effectLst/>
          </c:spPr>
          <c:marker>
            <c:symbol val="none"/>
          </c:marker>
          <c:val>
            <c:numRef>
              <c:f>[1]Hunger!$J$13:$AB$13</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5-235F-42B4-BE41-C87AC3C1B033}"/>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 val="autoZero"/>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($2.15)</a:t>
            </a:r>
            <a:br>
              <a:rPr lang="en-AU"/>
            </a:b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1952661869781522"/>
          <c:y val="0.15446606165286514"/>
          <c:w val="0.8555340005799551"/>
          <c:h val="0.55386599994778229"/>
        </c:manualLayout>
      </c:layout>
      <c:lineChart>
        <c:grouping val="standard"/>
        <c:varyColors val="0"/>
        <c:ser>
          <c:idx val="1"/>
          <c:order val="0"/>
          <c:tx>
            <c:strRef>
              <c:f>[2]Poverty_215!$M$8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[2]Poverty_215!$N$8:$AG$8</c:f>
              <c:numCache>
                <c:formatCode>General</c:formatCode>
                <c:ptCount val="20"/>
                <c:pt idx="0">
                  <c:v>4.9855700000000001</c:v>
                </c:pt>
                <c:pt idx="1">
                  <c:v>5.0242558249487326</c:v>
                </c:pt>
                <c:pt idx="2">
                  <c:v>5.062117154095195</c:v>
                </c:pt>
                <c:pt idx="3">
                  <c:v>5.0991221524061769</c:v>
                </c:pt>
                <c:pt idx="4">
                  <c:v>5.1352386432570594</c:v>
                </c:pt>
                <c:pt idx="5">
                  <c:v>5.1704341135176257</c:v>
                </c:pt>
                <c:pt idx="6">
                  <c:v>5.2046757190976036</c:v>
                </c:pt>
                <c:pt idx="7">
                  <c:v>5.2379302909876833</c:v>
                </c:pt>
                <c:pt idx="8">
                  <c:v>5.2701643418338628</c:v>
                </c:pt>
                <c:pt idx="9">
                  <c:v>5.3013440730862023</c:v>
                </c:pt>
                <c:pt idx="10">
                  <c:v>5.3314353827658323</c:v>
                </c:pt>
                <c:pt idx="11">
                  <c:v>5.3604038738972362</c:v>
                </c:pt>
                <c:pt idx="12">
                  <c:v>5.3882148636566836</c:v>
                </c:pt>
                <c:pt idx="13">
                  <c:v>5.4148333932908708</c:v>
                </c:pt>
                <c:pt idx="14">
                  <c:v>5.440224238864193</c:v>
                </c:pt>
                <c:pt idx="15">
                  <c:v>5.4643519228972357</c:v>
                </c:pt>
                <c:pt idx="16">
                  <c:v>5.4871807269634791</c:v>
                </c:pt>
                <c:pt idx="17">
                  <c:v>5.5086747053163601</c:v>
                </c:pt>
                <c:pt idx="18">
                  <c:v>5.5287976996237669</c:v>
                </c:pt>
                <c:pt idx="19">
                  <c:v>5.5475133548929874</c:v>
                </c:pt>
              </c:numCache>
            </c:numRef>
          </c:val>
          <c:smooth val="0"/>
          <c:extLst>
            <c:ext xmlns:c16="http://schemas.microsoft.com/office/drawing/2014/chart" uri="{C3380CC4-5D6E-409C-BE32-E72D297353CC}">
              <c16:uniqueId val="{00000000-D415-4E0B-B7B2-A4A11611C730}"/>
            </c:ext>
          </c:extLst>
        </c:ser>
        <c:ser>
          <c:idx val="2"/>
          <c:order val="1"/>
          <c:tx>
            <c:strRef>
              <c:f>[2]Poverty_215!$M$9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[2]Poverty_215!$N$9:$AG$9</c:f>
              <c:numCache>
                <c:formatCode>General</c:formatCode>
                <c:ptCount val="20"/>
                <c:pt idx="0">
                  <c:v>4.5991800000000005</c:v>
                </c:pt>
                <c:pt idx="1">
                  <c:v>4.4042124111186176</c:v>
                </c:pt>
                <c:pt idx="2">
                  <c:v>4.2131090946072494</c:v>
                </c:pt>
                <c:pt idx="3">
                  <c:v>4.0259800445895442</c:v>
                </c:pt>
                <c:pt idx="4">
                  <c:v>3.8429300331731717</c:v>
                </c:pt>
                <c:pt idx="5">
                  <c:v>3.6640582478081392</c:v>
                </c:pt>
                <c:pt idx="6">
                  <c:v>3.4894579332820426</c:v>
                </c:pt>
                <c:pt idx="7">
                  <c:v>3.3192160404052045</c:v>
                </c:pt>
                <c:pt idx="8">
                  <c:v>3.1534128835435875</c:v>
                </c:pt>
                <c:pt idx="9">
                  <c:v>2.9921218092536246</c:v>
                </c:pt>
                <c:pt idx="10">
                  <c:v>2.8354088783588502</c:v>
                </c:pt>
                <c:pt idx="11">
                  <c:v>2.6833325638814145</c:v>
                </c:pt>
                <c:pt idx="12">
                  <c:v>2.5359434673004513</c:v>
                </c:pt>
                <c:pt idx="13">
                  <c:v>2.3932840556515869</c:v>
                </c:pt>
                <c:pt idx="14">
                  <c:v>2.2553884220052036</c:v>
                </c:pt>
                <c:pt idx="15">
                  <c:v>2.1222820718637156</c:v>
                </c:pt>
                <c:pt idx="16">
                  <c:v>1.9939817379979106</c:v>
                </c:pt>
                <c:pt idx="17">
                  <c:v>1.8704952261966068</c:v>
                </c:pt>
                <c:pt idx="18">
                  <c:v>1.7518212943315459</c:v>
                </c:pt>
                <c:pt idx="19">
                  <c:v>1.637949567038026</c:v>
                </c:pt>
              </c:numCache>
            </c:numRef>
          </c:val>
          <c:smooth val="0"/>
          <c:extLst>
            <c:ext xmlns:c16="http://schemas.microsoft.com/office/drawing/2014/chart" uri="{C3380CC4-5D6E-409C-BE32-E72D297353CC}">
              <c16:uniqueId val="{00000001-D415-4E0B-B7B2-A4A11611C730}"/>
            </c:ext>
          </c:extLst>
        </c:ser>
        <c:ser>
          <c:idx val="3"/>
          <c:order val="2"/>
          <c:tx>
            <c:strRef>
              <c:f>[2]Poverty_215!$M$10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[2]Poverty_215!$N$10:$AG$10</c:f>
              <c:numCache>
                <c:formatCode>General</c:formatCode>
                <c:ptCount val="20"/>
                <c:pt idx="0">
                  <c:v>36.308069999999994</c:v>
                </c:pt>
                <c:pt idx="1">
                  <c:v>36.185861896128479</c:v>
                </c:pt>
                <c:pt idx="2">
                  <c:v>36.06170110049667</c:v>
                </c:pt>
                <c:pt idx="3">
                  <c:v>35.93557699720413</c:v>
                </c:pt>
                <c:pt idx="4">
                  <c:v>35.807478695050726</c:v>
                </c:pt>
                <c:pt idx="5">
                  <c:v>35.677395033949246</c:v>
                </c:pt>
                <c:pt idx="6">
                  <c:v>35.545314591576144</c:v>
                </c:pt>
                <c:pt idx="7">
                  <c:v>35.411225690279473</c:v>
                </c:pt>
                <c:pt idx="8">
                  <c:v>35.2751164042635</c:v>
                </c:pt>
                <c:pt idx="9">
                  <c:v>35.136974567070602</c:v>
                </c:pt>
                <c:pt idx="10">
                  <c:v>34.99678777938167</c:v>
                </c:pt>
                <c:pt idx="11">
                  <c:v>34.854543417157117</c:v>
                </c:pt>
                <c:pt idx="12">
                  <c:v>34.710228640141892</c:v>
                </c:pt>
                <c:pt idx="13">
                  <c:v>34.563830400758199</c:v>
                </c:pt>
                <c:pt idx="14">
                  <c:v>34.415335453411203</c:v>
                </c:pt>
                <c:pt idx="15">
                  <c:v>34.264730364233813</c:v>
                </c:pt>
                <c:pt idx="16">
                  <c:v>34.112001521297493</c:v>
                </c:pt>
                <c:pt idx="17">
                  <c:v>33.957135145317729</c:v>
                </c:pt>
                <c:pt idx="18">
                  <c:v>33.800117300883173</c:v>
                </c:pt>
                <c:pt idx="19">
                  <c:v>33.64093390823939</c:v>
                </c:pt>
              </c:numCache>
            </c:numRef>
          </c:val>
          <c:smooth val="0"/>
          <c:extLst>
            <c:ext xmlns:c16="http://schemas.microsoft.com/office/drawing/2014/chart" uri="{C3380CC4-5D6E-409C-BE32-E72D297353CC}">
              <c16:uniqueId val="{00000002-D415-4E0B-B7B2-A4A11611C730}"/>
            </c:ext>
          </c:extLst>
        </c:ser>
        <c:ser>
          <c:idx val="4"/>
          <c:order val="3"/>
          <c:tx>
            <c:strRef>
              <c:f>[2]Poverty_215!$M$11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[2]Poverty_215!$N$11:$AG$11</c:f>
              <c:numCache>
                <c:formatCode>General</c:formatCode>
                <c:ptCount val="20"/>
                <c:pt idx="0">
                  <c:v>38.895679999999999</c:v>
                </c:pt>
                <c:pt idx="1">
                  <c:v>38.854339595759434</c:v>
                </c:pt>
                <c:pt idx="2">
                  <c:v>38.811608056121294</c:v>
                </c:pt>
                <c:pt idx="3">
                  <c:v>38.76744471582041</c:v>
                </c:pt>
                <c:pt idx="4">
                  <c:v>38.721807292463673</c:v>
                </c:pt>
                <c:pt idx="5">
                  <c:v>38.674651820200459</c:v>
                </c:pt>
                <c:pt idx="6">
                  <c:v>38.625932580548529</c:v>
                </c:pt>
                <c:pt idx="7">
                  <c:v>38.575602030264164</c:v>
                </c:pt>
                <c:pt idx="8">
                  <c:v>38.523610726142337</c:v>
                </c:pt>
                <c:pt idx="9">
                  <c:v>38.469907246630569</c:v>
                </c:pt>
                <c:pt idx="10">
                  <c:v>38.414438110137155</c:v>
                </c:pt>
                <c:pt idx="11">
                  <c:v>38.357147689913063</c:v>
                </c:pt>
                <c:pt idx="12">
                  <c:v>38.297978125384574</c:v>
                </c:pt>
                <c:pt idx="13">
                  <c:v>38.23686922981279</c:v>
                </c:pt>
                <c:pt idx="14">
                  <c:v>38.173758394154838</c:v>
                </c:pt>
                <c:pt idx="15">
                  <c:v>38.108580487001923</c:v>
                </c:pt>
                <c:pt idx="16">
                  <c:v>38.041267750469046</c:v>
                </c:pt>
                <c:pt idx="17">
                  <c:v>37.971749691912898</c:v>
                </c:pt>
                <c:pt idx="18">
                  <c:v>37.899952971356136</c:v>
                </c:pt>
                <c:pt idx="19">
                  <c:v>37.825801284499441</c:v>
                </c:pt>
              </c:numCache>
            </c:numRef>
          </c:val>
          <c:smooth val="0"/>
          <c:extLst>
            <c:ext xmlns:c16="http://schemas.microsoft.com/office/drawing/2014/chart" uri="{C3380CC4-5D6E-409C-BE32-E72D297353CC}">
              <c16:uniqueId val="{00000003-D415-4E0B-B7B2-A4A11611C730}"/>
            </c:ext>
          </c:extLst>
        </c:ser>
        <c:ser>
          <c:idx val="0"/>
          <c:order val="4"/>
          <c:tx>
            <c:strRef>
              <c:f>[2]Poverty_215!$M$12</c:f>
              <c:strCache>
                <c:ptCount val="1"/>
                <c:pt idx="0">
                  <c:v>SA</c:v>
                </c:pt>
              </c:strCache>
            </c:strRef>
          </c:tx>
          <c:spPr>
            <a:ln w="28575" cap="rnd">
              <a:solidFill>
                <a:schemeClr val="accent1"/>
              </a:solidFill>
              <a:round/>
            </a:ln>
            <a:effectLst/>
          </c:spPr>
          <c:marker>
            <c:symbol val="none"/>
          </c:marker>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4-D415-4E0B-B7B2-A4A11611C730}"/>
            </c:ext>
          </c:extLst>
        </c:ser>
        <c:ser>
          <c:idx val="5"/>
          <c:order val="5"/>
          <c:tx>
            <c:strRef>
              <c:f>[2]Poverty_215!$M$13</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5-D415-4E0B-B7B2-A4A11611C730}"/>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Undernourished Population</a:t>
            </a:r>
            <a:br>
              <a:rPr lang="en-AU"/>
            </a:br>
            <a:r>
              <a:rPr lang="en-AU" sz="900" i="1"/>
              <a:t>Millions of people living below the minimum calorie daily threshold </a:t>
            </a:r>
            <a:endParaRPr lang="en-AU" i="1"/>
          </a:p>
        </c:rich>
      </c:tx>
      <c:layout>
        <c:manualLayout>
          <c:xMode val="edge"/>
          <c:yMode val="edge"/>
          <c:x val="0.1362010930125441"/>
          <c:y val="4.62971985965954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[2]Hunger!$H$32</c:f>
              <c:strCache>
                <c:ptCount val="1"/>
                <c:pt idx="0">
                  <c:v>LAC</c:v>
                </c:pt>
              </c:strCache>
            </c:strRef>
          </c:tx>
          <c:spPr>
            <a:ln w="28575" cap="rnd">
              <a:solidFill>
                <a:schemeClr val="accent1"/>
              </a:solidFill>
              <a:round/>
            </a:ln>
            <a:effectLst/>
          </c:spPr>
          <c:marker>
            <c:symbol val="none"/>
          </c:marker>
          <c:val>
            <c:numRef>
              <c:f>[2]Hunger!$I$32:$AB$32</c:f>
              <c:numCache>
                <c:formatCode>General</c:formatCode>
                <c:ptCount val="20"/>
                <c:pt idx="0">
                  <c:v>44.994626247528409</c:v>
                </c:pt>
                <c:pt idx="1">
                  <c:v>42.274181310493304</c:v>
                </c:pt>
                <c:pt idx="2">
                  <c:v>39.642775911585034</c:v>
                </c:pt>
                <c:pt idx="3">
                  <c:v>37.10303743411346</c:v>
                </c:pt>
                <c:pt idx="4">
                  <c:v>34.657196751465953</c:v>
                </c:pt>
                <c:pt idx="5">
                  <c:v>32.307079996639004</c:v>
                </c:pt>
                <c:pt idx="6">
                  <c:v>30.054103446080493</c:v>
                </c:pt>
                <c:pt idx="7">
                  <c:v>27.899271595631379</c:v>
                </c:pt>
                <c:pt idx="8">
                  <c:v>25.843178467953077</c:v>
                </c:pt>
                <c:pt idx="9">
                  <c:v>23.886012150879463</c:v>
                </c:pt>
                <c:pt idx="10">
                  <c:v>22.027562525242541</c:v>
                </c:pt>
                <c:pt idx="11">
                  <c:v>20.267232099633596</c:v>
                </c:pt>
                <c:pt idx="12">
                  <c:v>18.604049829002967</c:v>
                </c:pt>
                <c:pt idx="13">
                  <c:v>17.036687754712815</c:v>
                </c:pt>
                <c:pt idx="14">
                  <c:v>15.563480266407618</c:v>
                </c:pt>
                <c:pt idx="15">
                  <c:v>14.182445751574955</c:v>
                </c:pt>
                <c:pt idx="16">
                  <c:v>12.891310367628208</c:v>
                </c:pt>
                <c:pt idx="17">
                  <c:v>11.687533644387715</c:v>
                </c:pt>
                <c:pt idx="18">
                  <c:v>10.568335602534368</c:v>
                </c:pt>
                <c:pt idx="19">
                  <c:v>9.5307250564153101</c:v>
                </c:pt>
              </c:numCache>
            </c:numRef>
          </c:val>
          <c:smooth val="0"/>
          <c:extLst>
            <c:ext xmlns:c16="http://schemas.microsoft.com/office/drawing/2014/chart" uri="{C3380CC4-5D6E-409C-BE32-E72D297353CC}">
              <c16:uniqueId val="{00000000-C46D-4F04-8702-2C9E08639A6F}"/>
            </c:ext>
          </c:extLst>
        </c:ser>
        <c:ser>
          <c:idx val="1"/>
          <c:order val="1"/>
          <c:tx>
            <c:strRef>
              <c:f>[2]Hunger!$H$33</c:f>
              <c:strCache>
                <c:ptCount val="1"/>
                <c:pt idx="0">
                  <c:v>CWANA</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[2]Hunger!$I$33:$AB$33</c:f>
              <c:numCache>
                <c:formatCode>General</c:formatCode>
                <c:ptCount val="20"/>
                <c:pt idx="0">
                  <c:v>53.029004234032065</c:v>
                </c:pt>
                <c:pt idx="1">
                  <c:v>52.525290224514286</c:v>
                </c:pt>
                <c:pt idx="2">
                  <c:v>51.96185637562116</c:v>
                </c:pt>
                <c:pt idx="3">
                  <c:v>51.339094690398539</c:v>
                </c:pt>
                <c:pt idx="4">
                  <c:v>50.657604575609803</c:v>
                </c:pt>
                <c:pt idx="5">
                  <c:v>49.918200256079977</c:v>
                </c:pt>
                <c:pt idx="6">
                  <c:v>49.12191735931718</c:v>
                </c:pt>
                <c:pt idx="7">
                  <c:v>48.270018536166937</c:v>
                </c:pt>
                <c:pt idx="8">
                  <c:v>47.363997978801621</c:v>
                </c:pt>
                <c:pt idx="9">
                  <c:v>46.405584694269365</c:v>
                </c:pt>
                <c:pt idx="10">
                  <c:v>45.396744390391454</c:v>
                </c:pt>
                <c:pt idx="11">
                  <c:v>44.339679831303215</c:v>
                </c:pt>
                <c:pt idx="12">
                  <c:v>43.236829522627083</c:v>
                </c:pt>
                <c:pt idx="13">
                  <c:v>42.090864591472283</c:v>
                </c:pt>
                <c:pt idx="14">
                  <c:v>40.904683734416942</c:v>
                </c:pt>
                <c:pt idx="15">
                  <c:v>39.681406117611161</c:v>
                </c:pt>
                <c:pt idx="16">
                  <c:v>38.424362127423528</c:v>
                </c:pt>
                <c:pt idx="17">
                  <c:v>37.137081887757027</c:v>
                </c:pt>
                <c:pt idx="18">
                  <c:v>35.823281481524063</c:v>
                </c:pt>
                <c:pt idx="19">
                  <c:v>34.486846838830338</c:v>
                </c:pt>
              </c:numCache>
            </c:numRef>
          </c:val>
          <c:smooth val="0"/>
          <c:extLst>
            <c:ext xmlns:c16="http://schemas.microsoft.com/office/drawing/2014/chart" uri="{C3380CC4-5D6E-409C-BE32-E72D297353CC}">
              <c16:uniqueId val="{00000001-C46D-4F04-8702-2C9E08639A6F}"/>
            </c:ext>
          </c:extLst>
        </c:ser>
        <c:ser>
          <c:idx val="2"/>
          <c:order val="2"/>
          <c:tx>
            <c:strRef>
              <c:f>[2]Hunger!$H$34</c:f>
              <c:strCache>
                <c:ptCount val="1"/>
                <c:pt idx="0">
                  <c:v>WCA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[2]Hunger!$I$34:$AB$34</c:f>
              <c:numCache>
                <c:formatCode>General</c:formatCode>
                <c:ptCount val="20"/>
                <c:pt idx="0">
                  <c:v>108.61272300297506</c:v>
                </c:pt>
                <c:pt idx="1">
                  <c:v>108.74281075537525</c:v>
                </c:pt>
                <c:pt idx="2">
                  <c:v>108.75146812675052</c:v>
                </c:pt>
                <c:pt idx="3">
                  <c:v>108.63645888480424</c:v>
                </c:pt>
                <c:pt idx="4">
                  <c:v>108.39591134798818</c:v>
                </c:pt>
                <c:pt idx="5">
                  <c:v>108.02834379867106</c:v>
                </c:pt>
                <c:pt idx="6">
                  <c:v>107.53268866167555</c:v>
                </c:pt>
                <c:pt idx="7">
                  <c:v>106.90831514239645</c:v>
                </c:pt>
                <c:pt idx="8">
                  <c:v>106.15505001255639</c:v>
                </c:pt>
                <c:pt idx="9">
                  <c:v>105.27319622925576</c:v>
                </c:pt>
                <c:pt idx="10">
                  <c:v>104.26354907481114</c:v>
                </c:pt>
                <c:pt idx="11">
                  <c:v>103.12740951124412</c:v>
                </c:pt>
                <c:pt idx="12">
                  <c:v>101.86659445453394</c:v>
                </c:pt>
                <c:pt idx="13">
                  <c:v>100.48344369010545</c:v>
                </c:pt>
                <c:pt idx="14">
                  <c:v>98.980823172615416</c:v>
                </c:pt>
                <c:pt idx="15">
                  <c:v>97.362124480114034</c:v>
                </c:pt>
                <c:pt idx="16">
                  <c:v>95.631260224898313</c:v>
                </c:pt>
                <c:pt idx="17">
                  <c:v>93.792655260915183</c:v>
                </c:pt>
                <c:pt idx="18">
                  <c:v>91.851233569961806</c:v>
                </c:pt>
                <c:pt idx="19">
                  <c:v>89.812400756005999</c:v>
                </c:pt>
              </c:numCache>
            </c:numRef>
          </c:val>
          <c:smooth val="0"/>
          <c:extLst>
            <c:ext xmlns:c16="http://schemas.microsoft.com/office/drawing/2014/chart" uri="{C3380CC4-5D6E-409C-BE32-E72D297353CC}">
              <c16:uniqueId val="{00000002-C46D-4F04-8702-2C9E08639A6F}"/>
            </c:ext>
          </c:extLst>
        </c:ser>
        <c:ser>
          <c:idx val="3"/>
          <c:order val="3"/>
          <c:tx>
            <c:strRef>
              <c:f>[2]Hunger!$H$35</c:f>
              <c:strCache>
                <c:ptCount val="1"/>
                <c:pt idx="0">
                  <c:v>ESA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[2]Hunger!$I$35:$AB$35</c:f>
              <c:numCache>
                <c:formatCode>General</c:formatCode>
                <c:ptCount val="20"/>
                <c:pt idx="0">
                  <c:v>136.58277344182454</c:v>
                </c:pt>
                <c:pt idx="1">
                  <c:v>133.80325740823852</c:v>
                </c:pt>
                <c:pt idx="2">
                  <c:v>130.81169389927274</c:v>
                </c:pt>
                <c:pt idx="3">
                  <c:v>127.61502458888565</c:v>
                </c:pt>
                <c:pt idx="4">
                  <c:v>124.22171589799966</c:v>
                </c:pt>
                <c:pt idx="5">
                  <c:v>120.64177208407331</c:v>
                </c:pt>
                <c:pt idx="6">
                  <c:v>116.88672959836752</c:v>
                </c:pt>
                <c:pt idx="7">
                  <c:v>112.96963098244476</c:v>
                </c:pt>
                <c:pt idx="8">
                  <c:v>108.90497681647865</c:v>
                </c:pt>
                <c:pt idx="9">
                  <c:v>104.70865454402686</c:v>
                </c:pt>
                <c:pt idx="10">
                  <c:v>100.39784338159049</c:v>
                </c:pt>
                <c:pt idx="11">
                  <c:v>95.990894974677246</c:v>
                </c:pt>
                <c:pt idx="12">
                  <c:v>91.507189980302982</c:v>
                </c:pt>
                <c:pt idx="13">
                  <c:v>86.966971330753381</c:v>
                </c:pt>
                <c:pt idx="14">
                  <c:v>82.391155553491927</c:v>
                </c:pt>
                <c:pt idx="15">
                  <c:v>77.80112417213013</c:v>
                </c:pt>
                <c:pt idx="16">
                  <c:v>73.2184978749885</c:v>
                </c:pt>
                <c:pt idx="17">
                  <c:v>68.664896789270884</c:v>
                </c:pt>
                <c:pt idx="18">
                  <c:v>64.16169081610434</c:v>
                </c:pt>
                <c:pt idx="19">
                  <c:v>59.729744538591724</c:v>
                </c:pt>
              </c:numCache>
            </c:numRef>
          </c:val>
          <c:smooth val="0"/>
          <c:extLst>
            <c:ext xmlns:c16="http://schemas.microsoft.com/office/drawing/2014/chart" uri="{C3380CC4-5D6E-409C-BE32-E72D297353CC}">
              <c16:uniqueId val="{00000003-C46D-4F04-8702-2C9E08639A6F}"/>
            </c:ext>
          </c:extLst>
        </c:ser>
        <c:ser>
          <c:idx val="4"/>
          <c:order val="4"/>
          <c:tx>
            <c:strRef>
              <c:f>[2]Hunger!$H$36</c:f>
              <c:strCache>
                <c:ptCount val="1"/>
                <c:pt idx="0">
                  <c:v>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[2]Hunger!$I$36:$AB$36</c:f>
              <c:numCache>
                <c:formatCode>General</c:formatCode>
                <c:ptCount val="20"/>
                <c:pt idx="0">
                  <c:v>285.97811732395007</c:v>
                </c:pt>
                <c:pt idx="1">
                  <c:v>259.96047433622363</c:v>
                </c:pt>
                <c:pt idx="2">
                  <c:v>235.06924338441894</c:v>
                </c:pt>
                <c:pt idx="3">
                  <c:v>211.39957144142542</c:v>
                </c:pt>
                <c:pt idx="4">
                  <c:v>189.03167055207234</c:v>
                </c:pt>
                <c:pt idx="5">
                  <c:v>168.02968007506837</c:v>
                </c:pt>
                <c:pt idx="6">
                  <c:v>148.44085416875936</c:v>
                </c:pt>
                <c:pt idx="7">
                  <c:v>130.29510607260826</c:v>
                </c:pt>
                <c:pt idx="8">
                  <c:v>113.60493020982643</c:v>
                </c:pt>
                <c:pt idx="9">
                  <c:v>98.365711055345173</c:v>
                </c:pt>
                <c:pt idx="10">
                  <c:v>84.556414528514409</c:v>
                </c:pt>
                <c:pt idx="11">
                  <c:v>72.140643942711421</c:v>
                </c:pt>
                <c:pt idx="12">
                  <c:v>61.068028923248249</c:v>
                </c:pt>
                <c:pt idx="13">
                  <c:v>51.275902893832011</c:v>
                </c:pt>
                <c:pt idx="14">
                  <c:v>42.691213447000997</c:v>
                </c:pt>
                <c:pt idx="15">
                  <c:v>35.232600836880536</c:v>
                </c:pt>
                <c:pt idx="16">
                  <c:v>28.812573558076505</c:v>
                </c:pt>
                <c:pt idx="17">
                  <c:v>23.339706959850233</c:v>
                </c:pt>
                <c:pt idx="18">
                  <c:v>18.720791363989754</c:v>
                </c:pt>
                <c:pt idx="19">
                  <c:v>14.862860264376677</c:v>
                </c:pt>
              </c:numCache>
            </c:numRef>
          </c:val>
          <c:smooth val="0"/>
          <c:extLst>
            <c:ext xmlns:c16="http://schemas.microsoft.com/office/drawing/2014/chart" uri="{C3380CC4-5D6E-409C-BE32-E72D297353CC}">
              <c16:uniqueId val="{00000004-C46D-4F04-8702-2C9E08639A6F}"/>
            </c:ext>
          </c:extLst>
        </c:ser>
        <c:ser>
          <c:idx val="5"/>
          <c:order val="5"/>
          <c:tx>
            <c:strRef>
              <c:f>[2]Hunger!$H$37</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[2]Hunger!$I$37:$AB$37</c:f>
              <c:numCache>
                <c:formatCode>General</c:formatCode>
                <c:ptCount val="20"/>
                <c:pt idx="0">
                  <c:v>63.434623188118827</c:v>
                </c:pt>
                <c:pt idx="1">
                  <c:v>55.039026121819838</c:v>
                </c:pt>
                <c:pt idx="2">
                  <c:v>47.508669601200317</c:v>
                </c:pt>
                <c:pt idx="3">
                  <c:v>40.792406994222738</c:v>
                </c:pt>
                <c:pt idx="4">
                  <c:v>34.83664000723217</c:v>
                </c:pt>
                <c:pt idx="5">
                  <c:v>29.586210650753618</c:v>
                </c:pt>
                <c:pt idx="6">
                  <c:v>24.985258502709165</c:v>
                </c:pt>
                <c:pt idx="7">
                  <c:v>20.978025664776631</c:v>
                </c:pt>
                <c:pt idx="8">
                  <c:v>17.5095942441598</c:v>
                </c:pt>
                <c:pt idx="9">
                  <c:v>14.526544038026993</c:v>
                </c:pt>
                <c:pt idx="10">
                  <c:v>11.977521220647132</c:v>
                </c:pt>
                <c:pt idx="11">
                  <c:v>9.8137120942565428</c:v>
                </c:pt>
                <c:pt idx="12">
                  <c:v>7.9892192232337811</c:v>
                </c:pt>
                <c:pt idx="13">
                  <c:v>6.4613403929105191</c:v>
                </c:pt>
                <c:pt idx="14">
                  <c:v>5.1907536984482805</c:v>
                </c:pt>
                <c:pt idx="15">
                  <c:v>4.1416145740998411</c:v>
                </c:pt>
                <c:pt idx="16">
                  <c:v>3.2815726412781241</c:v>
                </c:pt>
                <c:pt idx="17">
                  <c:v>2.5817178343489147</c:v>
                </c:pt>
                <c:pt idx="18">
                  <c:v>2.0164663329687422</c:v>
                </c:pt>
                <c:pt idx="19">
                  <c:v>1.5633973932392926</c:v>
                </c:pt>
              </c:numCache>
            </c:numRef>
          </c:val>
          <c:smooth val="0"/>
          <c:extLst>
            <c:ext xmlns:c16="http://schemas.microsoft.com/office/drawing/2014/chart" uri="{C3380CC4-5D6E-409C-BE32-E72D297353CC}">
              <c16:uniqueId val="{00000005-C46D-4F04-8702-2C9E08639A6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max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($3.65)</a:t>
            </a:r>
          </a:p>
          <a:p>
            <a:pPr>
              <a:defRPr/>
            </a:pP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[2]Poverty_365!$M$8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[2]Poverty_365!$N$8:$AG$8</c:f>
              <c:numCache>
                <c:formatCode>General</c:formatCode>
                <c:ptCount val="20"/>
                <c:pt idx="0">
                  <c:v>12.326178476819264</c:v>
                </c:pt>
                <c:pt idx="1">
                  <c:v>12.381889163349326</c:v>
                </c:pt>
                <c:pt idx="2">
                  <c:v>12.436251628916459</c:v>
                </c:pt>
                <c:pt idx="3">
                  <c:v>12.489232445082679</c:v>
                </c:pt>
                <c:pt idx="4">
                  <c:v>12.540797718585354</c:v>
                </c:pt>
                <c:pt idx="5">
                  <c:v>12.590913081668123</c:v>
                </c:pt>
                <c:pt idx="6">
                  <c:v>12.639543682250387</c:v>
                </c:pt>
                <c:pt idx="7">
                  <c:v>12.686654173942228</c:v>
                </c:pt>
                <c:pt idx="8">
                  <c:v>12.732208705912404</c:v>
                </c:pt>
                <c:pt idx="9">
                  <c:v>12.77617091261866</c:v>
                </c:pt>
                <c:pt idx="10">
                  <c:v>12.818503903410948</c:v>
                </c:pt>
                <c:pt idx="11">
                  <c:v>12.859170252019601</c:v>
                </c:pt>
                <c:pt idx="12">
                  <c:v>12.898131985942833</c:v>
                </c:pt>
                <c:pt idx="13">
                  <c:v>12.93535057574935</c:v>
                </c:pt>
                <c:pt idx="14">
                  <c:v>12.970786924314398</c:v>
                </c:pt>
                <c:pt idx="15">
                  <c:v>13.004401356010282</c:v>
                </c:pt>
                <c:pt idx="16">
                  <c:v>13.036153605874441</c:v>
                </c:pt>
                <c:pt idx="17">
                  <c:v>13.066002808782224</c:v>
                </c:pt>
                <c:pt idx="18">
                  <c:v>13.093907488653745</c:v>
                </c:pt>
                <c:pt idx="19">
                  <c:v>13.119825547729045</c:v>
                </c:pt>
              </c:numCache>
            </c:numRef>
          </c:val>
          <c:smooth val="0"/>
          <c:extLst>
            <c:ext xmlns:c16="http://schemas.microsoft.com/office/drawing/2014/chart" uri="{C3380CC4-5D6E-409C-BE32-E72D297353CC}">
              <c16:uniqueId val="{00000000-C560-4718-AC6A-4551B6E6639F}"/>
            </c:ext>
          </c:extLst>
        </c:ser>
        <c:ser>
          <c:idx val="2"/>
          <c:order val="1"/>
          <c:tx>
            <c:strRef>
              <c:f>[2]Poverty_365!$M$9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[2]Poverty_365!$N$9:$AG$9</c:f>
              <c:numCache>
                <c:formatCode>General</c:formatCode>
                <c:ptCount val="20"/>
                <c:pt idx="0">
                  <c:v>14.288422822098919</c:v>
                </c:pt>
                <c:pt idx="1">
                  <c:v>13.982702549201973</c:v>
                </c:pt>
                <c:pt idx="2">
                  <c:v>13.67683968914368</c:v>
                </c:pt>
                <c:pt idx="3">
                  <c:v>13.370966999763937</c:v>
                </c:pt>
                <c:pt idx="4">
                  <c:v>13.065220507316768</c:v>
                </c:pt>
                <c:pt idx="5">
                  <c:v>12.75973944689008</c:v>
                </c:pt>
                <c:pt idx="6">
                  <c:v>12.45466619149396</c:v>
                </c:pt>
                <c:pt idx="7">
                  <c:v>12.150146169228629</c:v>
                </c:pt>
                <c:pt idx="8">
                  <c:v>11.846327767942952</c:v>
                </c:pt>
                <c:pt idx="9">
                  <c:v>11.543362226797486</c:v>
                </c:pt>
                <c:pt idx="10">
                  <c:v>11.241403514153248</c:v>
                </c:pt>
                <c:pt idx="11">
                  <c:v>10.940608191217761</c:v>
                </c:pt>
                <c:pt idx="12">
                  <c:v>10.641135260895059</c:v>
                </c:pt>
                <c:pt idx="13">
                  <c:v>10.343146001306888</c:v>
                </c:pt>
                <c:pt idx="14">
                  <c:v>10.046803783476943</c:v>
                </c:pt>
                <c:pt idx="15">
                  <c:v>9.7522738727010143</c:v>
                </c:pt>
                <c:pt idx="16">
                  <c:v>9.4597232131634286</c:v>
                </c:pt>
                <c:pt idx="17">
                  <c:v>9.169320195402916</c:v>
                </c:pt>
                <c:pt idx="18">
                  <c:v>8.8812344062825215</c:v>
                </c:pt>
                <c:pt idx="19">
                  <c:v>8.5956363611760942</c:v>
                </c:pt>
              </c:numCache>
            </c:numRef>
          </c:val>
          <c:smooth val="0"/>
          <c:extLst>
            <c:ext xmlns:c16="http://schemas.microsoft.com/office/drawing/2014/chart" uri="{C3380CC4-5D6E-409C-BE32-E72D297353CC}">
              <c16:uniqueId val="{00000001-C560-4718-AC6A-4551B6E6639F}"/>
            </c:ext>
          </c:extLst>
        </c:ser>
        <c:ser>
          <c:idx val="3"/>
          <c:order val="2"/>
          <c:tx>
            <c:strRef>
              <c:f>[2]Poverty_365!$M$10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[2]Poverty_365!$N$10:$AG$10</c:f>
              <c:numCache>
                <c:formatCode>General</c:formatCode>
                <c:ptCount val="20"/>
                <c:pt idx="0">
                  <c:v>64.127509059426401</c:v>
                </c:pt>
                <c:pt idx="1">
                  <c:v>64.124548141671539</c:v>
                </c:pt>
                <c:pt idx="2">
                  <c:v>64.121536417731221</c:v>
                </c:pt>
                <c:pt idx="3">
                  <c:v>64.11847342100998</c:v>
                </c:pt>
                <c:pt idx="4">
                  <c:v>64.115358669989774</c:v>
                </c:pt>
                <c:pt idx="5">
                  <c:v>64.112191668041959</c:v>
                </c:pt>
                <c:pt idx="6">
                  <c:v>64.108971903230866</c:v>
                </c:pt>
                <c:pt idx="7">
                  <c:v>64.10569884810873</c:v>
                </c:pt>
                <c:pt idx="8">
                  <c:v>64.102371959502051</c:v>
                </c:pt>
                <c:pt idx="9">
                  <c:v>64.098990678288956</c:v>
                </c:pt>
                <c:pt idx="10">
                  <c:v>64.095554429167606</c:v>
                </c:pt>
                <c:pt idx="11">
                  <c:v>64.092062620415476</c:v>
                </c:pt>
                <c:pt idx="12">
                  <c:v>64.08851464363913</c:v>
                </c:pt>
                <c:pt idx="13">
                  <c:v>64.084909873514761</c:v>
                </c:pt>
                <c:pt idx="14">
                  <c:v>64.081247667518738</c:v>
                </c:pt>
                <c:pt idx="15">
                  <c:v>64.077527365648464</c:v>
                </c:pt>
                <c:pt idx="16">
                  <c:v>64.073748290133068</c:v>
                </c:pt>
                <c:pt idx="17">
                  <c:v>64.069909745133799</c:v>
                </c:pt>
                <c:pt idx="18">
                  <c:v>64.066011016434032</c:v>
                </c:pt>
                <c:pt idx="19">
                  <c:v>64.0620513711184</c:v>
                </c:pt>
              </c:numCache>
            </c:numRef>
          </c:val>
          <c:smooth val="0"/>
          <c:extLst>
            <c:ext xmlns:c16="http://schemas.microsoft.com/office/drawing/2014/chart" uri="{C3380CC4-5D6E-409C-BE32-E72D297353CC}">
              <c16:uniqueId val="{00000002-C560-4718-AC6A-4551B6E6639F}"/>
            </c:ext>
          </c:extLst>
        </c:ser>
        <c:ser>
          <c:idx val="4"/>
          <c:order val="3"/>
          <c:tx>
            <c:strRef>
              <c:f>[2]Poverty_365!$M$11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[2]Poverty_365!$N$11:$AG$11</c:f>
              <c:numCache>
                <c:formatCode>General</c:formatCode>
                <c:ptCount val="20"/>
                <c:pt idx="0">
                  <c:v>65.5165687371194</c:v>
                </c:pt>
                <c:pt idx="1">
                  <c:v>65.515304931460904</c:v>
                </c:pt>
                <c:pt idx="2">
                  <c:v>65.513998192389707</c:v>
                </c:pt>
                <c:pt idx="3">
                  <c:v>65.51264723352152</c:v>
                </c:pt>
                <c:pt idx="4">
                  <c:v>65.511250715585177</c:v>
                </c:pt>
                <c:pt idx="5">
                  <c:v>65.509807244115564</c:v>
                </c:pt>
                <c:pt idx="6">
                  <c:v>65.508315367035863</c:v>
                </c:pt>
                <c:pt idx="7">
                  <c:v>65.506773572123265</c:v>
                </c:pt>
                <c:pt idx="8">
                  <c:v>65.505180284352662</c:v>
                </c:pt>
                <c:pt idx="9">
                  <c:v>65.503533863111798</c:v>
                </c:pt>
                <c:pt idx="10">
                  <c:v>65.501832599281641</c:v>
                </c:pt>
                <c:pt idx="11">
                  <c:v>65.500074712175063</c:v>
                </c:pt>
                <c:pt idx="12">
                  <c:v>65.49825834632675</c:v>
                </c:pt>
                <c:pt idx="13">
                  <c:v>65.496381568126708</c:v>
                </c:pt>
                <c:pt idx="14">
                  <c:v>65.494442362289362</c:v>
                </c:pt>
                <c:pt idx="15">
                  <c:v>65.492438628150126</c:v>
                </c:pt>
                <c:pt idx="16">
                  <c:v>65.490368175780418</c:v>
                </c:pt>
                <c:pt idx="17">
                  <c:v>65.48822872191198</c:v>
                </c:pt>
                <c:pt idx="18">
                  <c:v>65.486017885660644</c:v>
                </c:pt>
                <c:pt idx="19">
                  <c:v>65.483733184039494</c:v>
                </c:pt>
              </c:numCache>
            </c:numRef>
          </c:val>
          <c:smooth val="0"/>
          <c:extLst>
            <c:ext xmlns:c16="http://schemas.microsoft.com/office/drawing/2014/chart" uri="{C3380CC4-5D6E-409C-BE32-E72D297353CC}">
              <c16:uniqueId val="{00000003-C560-4718-AC6A-4551B6E6639F}"/>
            </c:ext>
          </c:extLst>
        </c:ser>
        <c:ser>
          <c:idx val="5"/>
          <c:order val="4"/>
          <c:tx>
            <c:strRef>
              <c:f>[2]Poverty_365!$M$12</c:f>
              <c:strCache>
                <c:ptCount val="1"/>
                <c:pt idx="0">
                  <c:v>SA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[2]Poverty_365!$N$12:$AG$12</c:f>
              <c:numCache>
                <c:formatCode>General</c:formatCode>
                <c:ptCount val="20"/>
                <c:pt idx="0">
                  <c:v>43.134169730216684</c:v>
                </c:pt>
                <c:pt idx="1">
                  <c:v>42.785936062727707</c:v>
                </c:pt>
                <c:pt idx="2">
                  <c:v>42.423103240684</c:v>
                </c:pt>
                <c:pt idx="3">
                  <c:v>42.045095756720556</c:v>
                </c:pt>
                <c:pt idx="4">
                  <c:v>41.65132322262177</c:v>
                </c:pt>
                <c:pt idx="5">
                  <c:v>41.241181256264561</c:v>
                </c:pt>
                <c:pt idx="6">
                  <c:v>40.814052617892735</c:v>
                </c:pt>
                <c:pt idx="7">
                  <c:v>40.369308632944382</c:v>
                </c:pt>
                <c:pt idx="8">
                  <c:v>39.906310943056774</c:v>
                </c:pt>
                <c:pt idx="9">
                  <c:v>39.424413631627587</c:v>
                </c:pt>
                <c:pt idx="10">
                  <c:v>38.922965775403092</c:v>
                </c:pt>
                <c:pt idx="11">
                  <c:v>38.401314478959492</c:v>
                </c:pt>
                <c:pt idx="12">
                  <c:v>37.858808454588946</c:v>
                </c:pt>
                <c:pt idx="13">
                  <c:v>37.29480221591367</c:v>
                </c:pt>
                <c:pt idx="14">
                  <c:v>36.708660959410587</c:v>
                </c:pt>
                <c:pt idx="15">
                  <c:v>36.099766213769868</c:v>
                </c:pt>
                <c:pt idx="16">
                  <c:v>35.46752234241179</c:v>
                </c:pt>
                <c:pt idx="17">
                  <c:v>34.811363989254396</c:v>
                </c:pt>
                <c:pt idx="18">
                  <c:v>34.130764561582758</c:v>
                </c:pt>
                <c:pt idx="19">
                  <c:v>33.425245846137834</c:v>
                </c:pt>
              </c:numCache>
            </c:numRef>
          </c:val>
          <c:smooth val="0"/>
          <c:extLst>
            <c:ext xmlns:c16="http://schemas.microsoft.com/office/drawing/2014/chart" uri="{C3380CC4-5D6E-409C-BE32-E72D297353CC}">
              <c16:uniqueId val="{00000004-C560-4718-AC6A-4551B6E6639F}"/>
            </c:ext>
          </c:extLst>
        </c:ser>
        <c:ser>
          <c:idx val="0"/>
          <c:order val="5"/>
          <c:tx>
            <c:strRef>
              <c:f>[2]Poverty_365!$M$13</c:f>
              <c:strCache>
                <c:ptCount val="1"/>
                <c:pt idx="0">
                  <c:v>SEA</c:v>
                </c:pt>
              </c:strCache>
            </c:strRef>
          </c:tx>
          <c:spPr>
            <a:ln w="28575" cap="rnd">
              <a:solidFill>
                <a:schemeClr val="accent1"/>
              </a:solidFill>
              <a:round/>
            </a:ln>
            <a:effectLst/>
          </c:spPr>
          <c:marker>
            <c:symbol val="none"/>
          </c:marker>
          <c:val>
            <c:numRef>
              <c:f>[2]Poverty_365!$N$13:$AG$13</c:f>
              <c:numCache>
                <c:formatCode>General</c:formatCode>
                <c:ptCount val="20"/>
                <c:pt idx="0">
                  <c:v>6.6233528939511919</c:v>
                </c:pt>
                <c:pt idx="1">
                  <c:v>5.5934125729499016</c:v>
                </c:pt>
                <c:pt idx="2">
                  <c:v>4.6450586257173407</c:v>
                </c:pt>
                <c:pt idx="3">
                  <c:v>3.786173914837176</c:v>
                </c:pt>
                <c:pt idx="4">
                  <c:v>3.0226307406783413</c:v>
                </c:pt>
                <c:pt idx="5">
                  <c:v>2.357833528713984</c:v>
                </c:pt>
                <c:pt idx="6">
                  <c:v>1.7923686946310629</c:v>
                </c:pt>
                <c:pt idx="7">
                  <c:v>1.3238210051222614</c:v>
                </c:pt>
                <c:pt idx="8">
                  <c:v>0.94680860843435022</c:v>
                </c:pt>
                <c:pt idx="9">
                  <c:v>0.65326964308088331</c:v>
                </c:pt>
                <c:pt idx="10">
                  <c:v>0.43300161114111568</c:v>
                </c:pt>
                <c:pt idx="11">
                  <c:v>0.27441370348333582</c:v>
                </c:pt>
                <c:pt idx="12">
                  <c:v>0.16540941087168839</c:v>
                </c:pt>
                <c:pt idx="13">
                  <c:v>9.4283044263614654E-2</c:v>
                </c:pt>
                <c:pt idx="14">
                  <c:v>5.0501137911965505E-2</c:v>
                </c:pt>
                <c:pt idx="15">
                  <c:v>2.5256506789093403E-2</c:v>
                </c:pt>
                <c:pt idx="16">
                  <c:v>1.172900824802448E-2</c:v>
                </c:pt>
                <c:pt idx="17">
                  <c:v>5.0518673078637812E-3</c:v>
                </c:pt>
                <c:pt idx="18">
                  <c:v>2.045953654585674E-3</c:v>
                </c:pt>
                <c:pt idx="19">
                  <c:v>8.2542744513886197E-4</c:v>
                </c:pt>
              </c:numCache>
            </c:numRef>
          </c:val>
          <c:smooth val="0"/>
          <c:extLst>
            <c:ext xmlns:c16="http://schemas.microsoft.com/office/drawing/2014/chart" uri="{C3380CC4-5D6E-409C-BE32-E72D297353CC}">
              <c16:uniqueId val="{00000005-C560-4718-AC6A-4551B6E6639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Poverty Headcount Rate ($6.85)</a:t>
            </a:r>
            <a:r>
              <a:rPr lang="en-AU" sz="1400" b="0" i="0" u="none" strike="noStrike" baseline="0"/>
              <a:t> </a:t>
            </a:r>
            <a:br>
              <a:rPr lang="en-AU" sz="1400" b="0" i="0" u="none" strike="noStrike" baseline="0"/>
            </a:br>
            <a:r>
              <a:rPr lang="en-AU" sz="1050" b="0" i="1" u="none" strike="noStrike" baseline="0"/>
              <a:t>Share of total population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[2]Poverty_685!$M$8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[2]Poverty_685!$N$8:$AG$8</c:f>
              <c:numCache>
                <c:formatCode>General</c:formatCode>
                <c:ptCount val="20"/>
                <c:pt idx="0">
                  <c:v>31.997969993346203</c:v>
                </c:pt>
                <c:pt idx="1">
                  <c:v>32.039062810175608</c:v>
                </c:pt>
                <c:pt idx="2">
                  <c:v>32.079057725043626</c:v>
                </c:pt>
                <c:pt idx="3">
                  <c:v>32.117938611160028</c:v>
                </c:pt>
                <c:pt idx="4">
                  <c:v>32.15568892393707</c:v>
                </c:pt>
                <c:pt idx="5">
                  <c:v>32.192291687299296</c:v>
                </c:pt>
                <c:pt idx="6">
                  <c:v>32.227729479466248</c:v>
                </c:pt>
                <c:pt idx="7">
                  <c:v>32.261984418183793</c:v>
                </c:pt>
                <c:pt idx="8">
                  <c:v>32.295038145378363</c:v>
                </c:pt>
                <c:pt idx="9">
                  <c:v>32.326871811207042</c:v>
                </c:pt>
                <c:pt idx="10">
                  <c:v>32.35746605747552</c:v>
                </c:pt>
                <c:pt idx="11">
                  <c:v>32.386801000393902</c:v>
                </c:pt>
                <c:pt idx="12">
                  <c:v>32.414856212639791</c:v>
                </c:pt>
                <c:pt idx="13">
                  <c:v>32.441610704695691</c:v>
                </c:pt>
                <c:pt idx="14">
                  <c:v>32.467042905426887</c:v>
                </c:pt>
                <c:pt idx="15">
                  <c:v>32.491130641864018</c:v>
                </c:pt>
                <c:pt idx="16">
                  <c:v>32.513851118152751</c:v>
                </c:pt>
                <c:pt idx="17">
                  <c:v>32.53518089363169</c:v>
                </c:pt>
                <c:pt idx="18">
                  <c:v>32.555095859997088</c:v>
                </c:pt>
                <c:pt idx="19">
                  <c:v>32.573571217511805</c:v>
                </c:pt>
              </c:numCache>
            </c:numRef>
          </c:val>
          <c:smooth val="0"/>
          <c:extLst>
            <c:ext xmlns:c16="http://schemas.microsoft.com/office/drawing/2014/chart" uri="{C3380CC4-5D6E-409C-BE32-E72D297353CC}">
              <c16:uniqueId val="{00000000-033F-4BEA-9EF8-73308288A37F}"/>
            </c:ext>
          </c:extLst>
        </c:ser>
        <c:ser>
          <c:idx val="1"/>
          <c:order val="1"/>
          <c:tx>
            <c:strRef>
              <c:f>[2]Poverty_685!$M$9</c:f>
              <c:strCache>
                <c:ptCount val="1"/>
                <c:pt idx="0">
                  <c:v>CWANA</c:v>
                </c:pt>
              </c:strCache>
            </c:strRef>
          </c:tx>
          <c:spPr>
            <a:ln w="28575" cap="rnd">
              <a:solidFill>
                <a:schemeClr val="accent2"/>
              </a:solidFill>
              <a:round/>
            </a:ln>
            <a:effectLst/>
          </c:spPr>
          <c:marker>
            <c:symbol val="none"/>
          </c:marker>
          <c:val>
            <c:numRef>
              <c:f>[2]Poverty_685!$N$9:$AG$9</c:f>
              <c:numCache>
                <c:formatCode>General</c:formatCode>
                <c:ptCount val="20"/>
                <c:pt idx="0">
                  <c:v>39.779016636555149</c:v>
                </c:pt>
                <c:pt idx="1">
                  <c:v>39.643680609114753</c:v>
                </c:pt>
                <c:pt idx="2">
                  <c:v>39.506380908463292</c:v>
                </c:pt>
                <c:pt idx="3">
                  <c:v>39.367094354850529</c:v>
                </c:pt>
                <c:pt idx="4">
                  <c:v>39.225797452353419</c:v>
                </c:pt>
                <c:pt idx="5">
                  <c:v>39.082466386812591</c:v>
                </c:pt>
                <c:pt idx="6">
                  <c:v>38.937077023844417</c:v>
                </c:pt>
                <c:pt idx="7">
                  <c:v>38.789604906939594</c:v>
                </c:pt>
                <c:pt idx="8">
                  <c:v>38.640025255660525</c:v>
                </c:pt>
                <c:pt idx="9">
                  <c:v>38.488312963950222</c:v>
                </c:pt>
                <c:pt idx="10">
                  <c:v>38.334442598567406</c:v>
                </c:pt>
                <c:pt idx="11">
                  <c:v>38.178388397663184</c:v>
                </c:pt>
                <c:pt idx="12">
                  <c:v>38.020124269516145</c:v>
                </c:pt>
                <c:pt idx="13">
                  <c:v>37.859623791444534</c:v>
                </c:pt>
                <c:pt idx="14">
                  <c:v>37.69686020891541</c:v>
                </c:pt>
                <c:pt idx="15">
                  <c:v>37.531806434872571</c:v>
                </c:pt>
                <c:pt idx="16">
                  <c:v>37.364435049306998</c:v>
                </c:pt>
                <c:pt idx="17">
                  <c:v>37.194718299095641</c:v>
                </c:pt>
                <c:pt idx="18">
                  <c:v>37.022628098136288</c:v>
                </c:pt>
                <c:pt idx="19">
                  <c:v>36.848136027809275</c:v>
                </c:pt>
              </c:numCache>
            </c:numRef>
          </c:val>
          <c:smooth val="0"/>
          <c:extLst>
            <c:ext xmlns:c16="http://schemas.microsoft.com/office/drawing/2014/chart" uri="{C3380CC4-5D6E-409C-BE32-E72D297353CC}">
              <c16:uniqueId val="{00000001-033F-4BEA-9EF8-73308288A37F}"/>
            </c:ext>
          </c:extLst>
        </c:ser>
        <c:ser>
          <c:idx val="2"/>
          <c:order val="2"/>
          <c:tx>
            <c:strRef>
              <c:f>[2]Poverty_685!$M$10</c:f>
              <c:strCache>
                <c:ptCount val="1"/>
                <c:pt idx="0">
                  <c:v>WCA</c:v>
                </c:pt>
              </c:strCache>
            </c:strRef>
          </c:tx>
          <c:spPr>
            <a:ln w="28575" cap="rnd">
              <a:solidFill>
                <a:schemeClr val="accent3"/>
              </a:solidFill>
              <a:round/>
            </a:ln>
            <a:effectLst/>
          </c:spPr>
          <c:marker>
            <c:symbol val="none"/>
          </c:marker>
          <c:val>
            <c:numRef>
              <c:f>[2]Poverty_685!$N$10:$AG$10</c:f>
              <c:numCache>
                <c:formatCode>General</c:formatCode>
                <c:ptCount val="20"/>
                <c:pt idx="0">
                  <c:v>88.509866853767235</c:v>
                </c:pt>
                <c:pt idx="1">
                  <c:v>88.506905907516682</c:v>
                </c:pt>
                <c:pt idx="2">
                  <c:v>88.503894154216354</c:v>
                </c:pt>
                <c:pt idx="3">
                  <c:v>88.500831127247025</c:v>
                </c:pt>
                <c:pt idx="4">
                  <c:v>88.49771634506611</c:v>
                </c:pt>
                <c:pt idx="5">
                  <c:v>88.494549311019711</c:v>
                </c:pt>
                <c:pt idx="6">
                  <c:v>88.491329513146155</c:v>
                </c:pt>
                <c:pt idx="7">
                  <c:v>88.488056423970917</c:v>
                </c:pt>
                <c:pt idx="8">
                  <c:v>88.484729500292858</c:v>
                </c:pt>
                <c:pt idx="9">
                  <c:v>88.481348182961682</c:v>
                </c:pt>
                <c:pt idx="10">
                  <c:v>88.477911896646276</c:v>
                </c:pt>
                <c:pt idx="11">
                  <c:v>88.47442004959386</c:v>
                </c:pt>
                <c:pt idx="12">
                  <c:v>88.470872033379976</c:v>
                </c:pt>
                <c:pt idx="13">
                  <c:v>88.467267222648758</c:v>
                </c:pt>
                <c:pt idx="14">
                  <c:v>88.463604974843548</c:v>
                </c:pt>
                <c:pt idx="15">
                  <c:v>88.459884629927714</c:v>
                </c:pt>
                <c:pt idx="16">
                  <c:v>88.456105510095327</c:v>
                </c:pt>
                <c:pt idx="17">
                  <c:v>88.452266919471526</c:v>
                </c:pt>
                <c:pt idx="18">
                  <c:v>88.44836814380244</c:v>
                </c:pt>
                <c:pt idx="19">
                  <c:v>88.444408450134276</c:v>
                </c:pt>
              </c:numCache>
            </c:numRef>
          </c:val>
          <c:smooth val="0"/>
          <c:extLst>
            <c:ext xmlns:c16="http://schemas.microsoft.com/office/drawing/2014/chart" uri="{C3380CC4-5D6E-409C-BE32-E72D297353CC}">
              <c16:uniqueId val="{00000002-033F-4BEA-9EF8-73308288A37F}"/>
            </c:ext>
          </c:extLst>
        </c:ser>
        <c:ser>
          <c:idx val="3"/>
          <c:order val="3"/>
          <c:tx>
            <c:strRef>
              <c:f>[2]Poverty_685!$M$11</c:f>
              <c:strCache>
                <c:ptCount val="1"/>
                <c:pt idx="0">
                  <c:v>ESA</c:v>
                </c:pt>
              </c:strCache>
            </c:strRef>
          </c:tx>
          <c:spPr>
            <a:ln w="28575" cap="rnd">
              <a:solidFill>
                <a:schemeClr val="accent4"/>
              </a:solidFill>
              <a:round/>
            </a:ln>
            <a:effectLst/>
          </c:spPr>
          <c:marker>
            <c:symbol val="none"/>
          </c:marker>
          <c:val>
            <c:numRef>
              <c:f>[2]Poverty_685!$N$11:$AG$11</c:f>
              <c:numCache>
                <c:formatCode>General</c:formatCode>
                <c:ptCount val="20"/>
                <c:pt idx="0">
                  <c:v>87.439470089502706</c:v>
                </c:pt>
                <c:pt idx="1">
                  <c:v>87.438206272418199</c:v>
                </c:pt>
                <c:pt idx="2">
                  <c:v>87.43689952147345</c:v>
                </c:pt>
                <c:pt idx="3">
                  <c:v>87.435548550266446</c:v>
                </c:pt>
                <c:pt idx="4">
                  <c:v>87.434152019507337</c:v>
                </c:pt>
                <c:pt idx="5">
                  <c:v>87.432708534711367</c:v>
                </c:pt>
                <c:pt idx="6">
                  <c:v>87.431216643780985</c:v>
                </c:pt>
                <c:pt idx="7">
                  <c:v>87.429674834471584</c:v>
                </c:pt>
                <c:pt idx="8">
                  <c:v>87.428081531735046</c:v>
                </c:pt>
                <c:pt idx="9">
                  <c:v>87.426435094934845</c:v>
                </c:pt>
                <c:pt idx="10">
                  <c:v>87.424733814926384</c:v>
                </c:pt>
                <c:pt idx="11">
                  <c:v>87.422975910995547</c:v>
                </c:pt>
                <c:pt idx="12">
                  <c:v>87.421159527648513</c:v>
                </c:pt>
                <c:pt idx="13">
                  <c:v>87.41928273124519</c:v>
                </c:pt>
                <c:pt idx="14">
                  <c:v>87.417343506468242</c:v>
                </c:pt>
                <c:pt idx="15">
                  <c:v>87.415339752619502</c:v>
                </c:pt>
                <c:pt idx="16">
                  <c:v>87.413269279734905</c:v>
                </c:pt>
                <c:pt idx="17">
                  <c:v>87.411129804508619</c:v>
                </c:pt>
                <c:pt idx="18">
                  <c:v>87.408918946016826</c:v>
                </c:pt>
                <c:pt idx="19">
                  <c:v>87.406634221230576</c:v>
                </c:pt>
              </c:numCache>
            </c:numRef>
          </c:val>
          <c:smooth val="0"/>
          <c:extLst>
            <c:ext xmlns:c16="http://schemas.microsoft.com/office/drawing/2014/chart" uri="{C3380CC4-5D6E-409C-BE32-E72D297353CC}">
              <c16:uniqueId val="{00000003-033F-4BEA-9EF8-73308288A37F}"/>
            </c:ext>
          </c:extLst>
        </c:ser>
        <c:ser>
          <c:idx val="4"/>
          <c:order val="4"/>
          <c:tx>
            <c:strRef>
              <c:f>[2]Poverty_685!$M$12</c:f>
              <c:strCache>
                <c:ptCount val="1"/>
                <c:pt idx="0">
                  <c:v>SA</c:v>
                </c:pt>
              </c:strCache>
            </c:strRef>
          </c:tx>
          <c:spPr>
            <a:ln w="28575" cap="rnd">
              <a:solidFill>
                <a:schemeClr val="accent5"/>
              </a:solidFill>
              <a:round/>
            </a:ln>
            <a:effectLst/>
          </c:spPr>
          <c:marker>
            <c:symbol val="none"/>
          </c:marker>
          <c:val>
            <c:numRef>
              <c:f>[2]Poverty_685!$N$12:$AG$12</c:f>
              <c:numCache>
                <c:formatCode>General</c:formatCode>
                <c:ptCount val="20"/>
                <c:pt idx="0">
                  <c:v>80.974434595048464</c:v>
                </c:pt>
                <c:pt idx="1">
                  <c:v>80.959242803092351</c:v>
                </c:pt>
                <c:pt idx="2">
                  <c:v>80.943388042141493</c:v>
                </c:pt>
                <c:pt idx="3">
                  <c:v>80.926840343727847</c:v>
                </c:pt>
                <c:pt idx="4">
                  <c:v>80.909568355452805</c:v>
                </c:pt>
                <c:pt idx="5">
                  <c:v>80.891539276056207</c:v>
                </c:pt>
                <c:pt idx="6">
                  <c:v>80.87271878739547</c:v>
                </c:pt>
                <c:pt idx="7">
                  <c:v>80.853070983186115</c:v>
                </c:pt>
                <c:pt idx="8">
                  <c:v>80.832558294348132</c:v>
                </c:pt>
                <c:pt idx="9">
                  <c:v>80.811141410795415</c:v>
                </c:pt>
                <c:pt idx="10">
                  <c:v>80.788779199497441</c:v>
                </c:pt>
                <c:pt idx="11">
                  <c:v>80.765428618634701</c:v>
                </c:pt>
                <c:pt idx="12">
                  <c:v>80.741044627660742</c:v>
                </c:pt>
                <c:pt idx="13">
                  <c:v>80.715580093075289</c:v>
                </c:pt>
                <c:pt idx="14">
                  <c:v>80.688985689703458</c:v>
                </c:pt>
                <c:pt idx="15">
                  <c:v>80.661209797267162</c:v>
                </c:pt>
                <c:pt idx="16">
                  <c:v>80.632198392024776</c:v>
                </c:pt>
                <c:pt idx="17">
                  <c:v>80.601894933245035</c:v>
                </c:pt>
                <c:pt idx="18">
                  <c:v>80.570240244270892</c:v>
                </c:pt>
                <c:pt idx="19">
                  <c:v>80.537172387918261</c:v>
                </c:pt>
              </c:numCache>
            </c:numRef>
          </c:val>
          <c:smooth val="0"/>
          <c:extLst>
            <c:ext xmlns:c16="http://schemas.microsoft.com/office/drawing/2014/chart" uri="{C3380CC4-5D6E-409C-BE32-E72D297353CC}">
              <c16:uniqueId val="{00000004-033F-4BEA-9EF8-73308288A37F}"/>
            </c:ext>
          </c:extLst>
        </c:ser>
        <c:ser>
          <c:idx val="5"/>
          <c:order val="5"/>
          <c:tx>
            <c:strRef>
              <c:f>[2]Poverty_685!$M$13</c:f>
              <c:strCache>
                <c:ptCount val="1"/>
                <c:pt idx="0">
                  <c:v>SEA</c:v>
                </c:pt>
              </c:strCache>
            </c:strRef>
          </c:tx>
          <c:spPr>
            <a:ln w="28575" cap="rnd">
              <a:solidFill>
                <a:schemeClr val="accent6"/>
              </a:solidFill>
              <a:round/>
            </a:ln>
            <a:effectLst/>
          </c:spPr>
          <c:marker>
            <c:symbol val="none"/>
          </c:marker>
          <c:val>
            <c:numRef>
              <c:f>[2]Poverty_685!$N$13:$AG$13</c:f>
              <c:numCache>
                <c:formatCode>General</c:formatCode>
                <c:ptCount val="20"/>
                <c:pt idx="0">
                  <c:v>29.552820007379527</c:v>
                </c:pt>
                <c:pt idx="1">
                  <c:v>28.453080931793412</c:v>
                </c:pt>
                <c:pt idx="2">
                  <c:v>27.310321404829729</c:v>
                </c:pt>
                <c:pt idx="3">
                  <c:v>26.12551348313033</c:v>
                </c:pt>
                <c:pt idx="4">
                  <c:v>24.900204498083639</c:v>
                </c:pt>
                <c:pt idx="5">
                  <c:v>23.63660480947399</c:v>
                </c:pt>
                <c:pt idx="6">
                  <c:v>22.337678810268585</c:v>
                </c:pt>
                <c:pt idx="7">
                  <c:v>21.007236195027286</c:v>
                </c:pt>
                <c:pt idx="8">
                  <c:v>19.65001929952161</c:v>
                </c:pt>
                <c:pt idx="9">
                  <c:v>18.271780897959644</c:v>
                </c:pt>
                <c:pt idx="10">
                  <c:v>16.879345241730842</c:v>
                </c:pt>
                <c:pt idx="11">
                  <c:v>15.480643420645551</c:v>
                </c:pt>
                <c:pt idx="12">
                  <c:v>14.084712469190334</c:v>
                </c:pt>
                <c:pt idx="13">
                  <c:v>12.701646254863919</c:v>
                </c:pt>
                <c:pt idx="14">
                  <c:v>11.342485402175255</c:v>
                </c:pt>
                <c:pt idx="15">
                  <c:v>10.019033761655447</c:v>
                </c:pt>
                <c:pt idx="16">
                  <c:v>8.7435907626419773</c:v>
                </c:pt>
                <c:pt idx="17">
                  <c:v>7.5285929792859632</c:v>
                </c:pt>
                <c:pt idx="18">
                  <c:v>6.3861649398990448</c:v>
                </c:pt>
                <c:pt idx="19">
                  <c:v>5.3275889751452086</c:v>
                </c:pt>
              </c:numCache>
            </c:numRef>
          </c:val>
          <c:smooth val="0"/>
          <c:extLst>
            <c:ext xmlns:c16="http://schemas.microsoft.com/office/drawing/2014/chart" uri="{C3380CC4-5D6E-409C-BE32-E72D297353CC}">
              <c16:uniqueId val="{00000005-033F-4BEA-9EF8-73308288A37F}"/>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max val="9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majorUnit val="10"/>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Agrifood System Jobs (incl. subsistence farming and informal sector)</a:t>
            </a:r>
          </a:p>
          <a:p>
            <a:pPr>
              <a:defRPr/>
            </a:pPr>
            <a:r>
              <a:rPr lang="en-AU" sz="1050" b="0" i="1" u="none" strike="noStrike" baseline="0"/>
              <a:t>Millions of workers</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[2]Jobs!$I$8:$AB$8</c:f>
              <c:numCache>
                <c:formatCode>General</c:formatCode>
                <c:ptCount val="20"/>
                <c:pt idx="0">
                  <c:v>79.453806000000029</c:v>
                </c:pt>
                <c:pt idx="1">
                  <c:v>81.086566054723761</c:v>
                </c:pt>
                <c:pt idx="2">
                  <c:v>82.761199563724261</c:v>
                </c:pt>
                <c:pt idx="3">
                  <c:v>84.478933000031432</c:v>
                </c:pt>
                <c:pt idx="4">
                  <c:v>86.241032775044218</c:v>
                </c:pt>
                <c:pt idx="5">
                  <c:v>88.048806699008438</c:v>
                </c:pt>
                <c:pt idx="6">
                  <c:v>89.903605503022717</c:v>
                </c:pt>
                <c:pt idx="7">
                  <c:v>91.806824425594613</c:v>
                </c:pt>
                <c:pt idx="8">
                  <c:v>93.75990486693928</c:v>
                </c:pt>
                <c:pt idx="9">
                  <c:v>95.764336114393075</c:v>
                </c:pt>
                <c:pt idx="10">
                  <c:v>97.821657142505401</c:v>
                </c:pt>
                <c:pt idx="11">
                  <c:v>99.933458491576303</c:v>
                </c:pt>
                <c:pt idx="12">
                  <c:v>102.10138422862239</c:v>
                </c:pt>
                <c:pt idx="13">
                  <c:v>104.32713399498354</c:v>
                </c:pt>
                <c:pt idx="14">
                  <c:v>106.61246514502676</c:v>
                </c:pt>
                <c:pt idx="15">
                  <c:v>108.95919498066223</c:v>
                </c:pt>
                <c:pt idx="16">
                  <c:v>111.36920308666291</c:v>
                </c:pt>
                <c:pt idx="17">
                  <c:v>113.8444337720708</c:v>
                </c:pt>
                <c:pt idx="18">
                  <c:v>116.38689862328633</c:v>
                </c:pt>
                <c:pt idx="19">
                  <c:v>118.9986791747661</c:v>
                </c:pt>
              </c:numCache>
            </c:numRef>
          </c:val>
          <c:smooth val="0"/>
          <c:extLst>
            <c:ext xmlns:c16="http://schemas.microsoft.com/office/drawing/2014/chart" uri="{C3380CC4-5D6E-409C-BE32-E72D297353CC}">
              <c16:uniqueId val="{00000000-0B40-455F-A350-EFFA36C3D664}"/>
            </c:ext>
          </c:extLst>
        </c:ser>
        <c:ser>
          <c:idx val="1"/>
          <c:order val="1"/>
          <c:tx>
            <c:strRef>
              <c:f>[2]Jobs!$H$9</c:f>
              <c:strCache>
                <c:ptCount val="1"/>
                <c:pt idx="0">
                  <c:v>CWANA</c:v>
                </c:pt>
              </c:strCache>
            </c:strRef>
          </c:tx>
          <c:spPr>
            <a:ln w="28575" cap="rnd">
              <a:solidFill>
                <a:schemeClr val="accent2"/>
              </a:solidFill>
              <a:round/>
            </a:ln>
            <a:effectLst/>
          </c:spPr>
          <c:marker>
            <c:symbol val="none"/>
          </c:marker>
          <c:val>
            <c:numRef>
              <c:f>[2]Jobs!$I$9:$AB$9</c:f>
              <c:numCache>
                <c:formatCode>General</c:formatCode>
                <c:ptCount val="20"/>
                <c:pt idx="0">
                  <c:v>50.377779000000018</c:v>
                </c:pt>
                <c:pt idx="1">
                  <c:v>51.475883640949675</c:v>
                </c:pt>
                <c:pt idx="2">
                  <c:v>52.60694668056464</c:v>
                </c:pt>
                <c:pt idx="3">
                  <c:v>53.772163611607844</c:v>
                </c:pt>
                <c:pt idx="4">
                  <c:v>54.972780888224577</c:v>
                </c:pt>
                <c:pt idx="5">
                  <c:v>56.210098413985783</c:v>
                </c:pt>
                <c:pt idx="6">
                  <c:v>57.485472164940759</c:v>
                </c:pt>
                <c:pt idx="7">
                  <c:v>58.800316955564412</c:v>
                </c:pt>
                <c:pt idx="8">
                  <c:v>60.156109355966279</c:v>
                </c:pt>
                <c:pt idx="9">
                  <c:v>61.554390769242069</c:v>
                </c:pt>
                <c:pt idx="10">
                  <c:v>62.996770678393503</c:v>
                </c:pt>
                <c:pt idx="11">
                  <c:v>64.484930072822266</c:v>
                </c:pt>
                <c:pt idx="12">
                  <c:v>66.020625065020141</c:v>
                </c:pt>
                <c:pt idx="13">
                  <c:v>67.605690708732766</c:v>
                </c:pt>
                <c:pt idx="14">
                  <c:v>69.242045030571489</c:v>
                </c:pt>
                <c:pt idx="15">
                  <c:v>70.931693287788633</c:v>
                </c:pt>
                <c:pt idx="16">
                  <c:v>72.676732465719184</c:v>
                </c:pt>
                <c:pt idx="17">
                  <c:v>74.479356029230715</c:v>
                </c:pt>
                <c:pt idx="18">
                  <c:v>76.341858943413598</c:v>
                </c:pt>
                <c:pt idx="19">
                  <c:v>78.266642979691554</c:v>
                </c:pt>
              </c:numCache>
            </c:numRef>
          </c:val>
          <c:smooth val="0"/>
          <c:extLst>
            <c:ext xmlns:c16="http://schemas.microsoft.com/office/drawing/2014/chart" uri="{C3380CC4-5D6E-409C-BE32-E72D297353CC}">
              <c16:uniqueId val="{00000001-0B40-455F-A350-EFFA36C3D664}"/>
            </c:ext>
          </c:extLst>
        </c:ser>
        <c:ser>
          <c:idx val="2"/>
          <c:order val="2"/>
          <c:tx>
            <c:strRef>
              <c:f>[2]Jobs!$H$10</c:f>
              <c:strCache>
                <c:ptCount val="1"/>
                <c:pt idx="0">
                  <c:v>WCA</c:v>
                </c:pt>
              </c:strCache>
            </c:strRef>
          </c:tx>
          <c:spPr>
            <a:ln w="28575" cap="rnd">
              <a:solidFill>
                <a:schemeClr val="accent3"/>
              </a:solidFill>
              <a:round/>
            </a:ln>
            <a:effectLst/>
          </c:spPr>
          <c:marker>
            <c:symbol val="none"/>
          </c:marker>
          <c:val>
            <c:numRef>
              <c:f>[2]Jobs!$I$10:$AB$10</c:f>
              <c:numCache>
                <c:formatCode>General</c:formatCode>
                <c:ptCount val="20"/>
                <c:pt idx="0">
                  <c:v>118.18600999999997</c:v>
                </c:pt>
                <c:pt idx="1">
                  <c:v>122.23843040211432</c:v>
                </c:pt>
                <c:pt idx="2">
                  <c:v>126.45316524656667</c:v>
                </c:pt>
                <c:pt idx="3">
                  <c:v>130.83720375098156</c:v>
                </c:pt>
                <c:pt idx="4">
                  <c:v>135.39784981501148</c:v>
                </c:pt>
                <c:pt idx="5">
                  <c:v>140.14273666406737</c:v>
                </c:pt>
                <c:pt idx="6">
                  <c:v>145.07984219400183</c:v>
                </c:pt>
                <c:pt idx="7">
                  <c:v>150.21750505118411</c:v>
                </c:pt>
                <c:pt idx="8">
                  <c:v>155.56444148413863</c:v>
                </c:pt>
                <c:pt idx="9">
                  <c:v>161.12976300474412</c:v>
                </c:pt>
                <c:pt idx="10">
                  <c:v>166.92299489890539</c:v>
                </c:pt>
                <c:pt idx="11">
                  <c:v>172.95409562862969</c:v>
                </c:pt>
                <c:pt idx="12">
                  <c:v>179.23347716955743</c:v>
                </c:pt>
                <c:pt idx="13">
                  <c:v>185.77202633022995</c:v>
                </c:pt>
                <c:pt idx="14">
                  <c:v>192.58112710172094</c:v>
                </c:pt>
                <c:pt idx="15">
                  <c:v>199.67268408872843</c:v>
                </c:pt>
                <c:pt idx="16">
                  <c:v>207.05914707581761</c:v>
                </c:pt>
                <c:pt idx="17">
                  <c:v>214.75353678523783</c:v>
                </c:pt>
                <c:pt idx="18">
                  <c:v>222.7694718856078</c:v>
                </c:pt>
                <c:pt idx="19">
                  <c:v>231.1211973137884</c:v>
                </c:pt>
              </c:numCache>
            </c:numRef>
          </c:val>
          <c:smooth val="0"/>
          <c:extLst>
            <c:ext xmlns:c16="http://schemas.microsoft.com/office/drawing/2014/chart" uri="{C3380CC4-5D6E-409C-BE32-E72D297353CC}">
              <c16:uniqueId val="{00000002-0B40-455F-A350-EFFA36C3D664}"/>
            </c:ext>
          </c:extLst>
        </c:ser>
        <c:ser>
          <c:idx val="3"/>
          <c:order val="3"/>
          <c:tx>
            <c:strRef>
              <c:f>[2]Jobs!$H$11</c:f>
              <c:strCache>
                <c:ptCount val="1"/>
                <c:pt idx="0">
                  <c:v>ESA</c:v>
                </c:pt>
              </c:strCache>
            </c:strRef>
          </c:tx>
          <c:spPr>
            <a:ln w="28575" cap="rnd">
              <a:solidFill>
                <a:schemeClr val="accent4"/>
              </a:solidFill>
              <a:round/>
            </a:ln>
            <a:effectLst/>
          </c:spPr>
          <c:marker>
            <c:symbol val="none"/>
          </c:marker>
          <c:val>
            <c:numRef>
              <c:f>[2]Jobs!$I$11:$AB$11</c:f>
              <c:numCache>
                <c:formatCode>General</c:formatCode>
                <c:ptCount val="20"/>
                <c:pt idx="0">
                  <c:v>152.33566000000002</c:v>
                </c:pt>
                <c:pt idx="1">
                  <c:v>158.07421116433346</c:v>
                </c:pt>
                <c:pt idx="2">
                  <c:v>164.07237269379897</c:v>
                </c:pt>
                <c:pt idx="3">
                  <c:v>170.34341970834708</c:v>
                </c:pt>
                <c:pt idx="4">
                  <c:v>176.90137254096749</c:v>
                </c:pt>
                <c:pt idx="5">
                  <c:v>183.76104196085666</c:v>
                </c:pt>
                <c:pt idx="6">
                  <c:v>190.93807732942491</c:v>
                </c:pt>
                <c:pt idx="7">
                  <c:v>198.44901789019178</c:v>
                </c:pt>
                <c:pt idx="8">
                  <c:v>206.31134740803611</c:v>
                </c:pt>
                <c:pt idx="9">
                  <c:v>214.54355238875252</c:v>
                </c:pt>
                <c:pt idx="10">
                  <c:v>223.16518412650379</c:v>
                </c:pt>
                <c:pt idx="11">
                  <c:v>232.19692484464082</c:v>
                </c:pt>
                <c:pt idx="12">
                  <c:v>241.6606582145759</c:v>
                </c:pt>
                <c:pt idx="13">
                  <c:v>251.57954455804838</c:v>
                </c:pt>
                <c:pt idx="14">
                  <c:v>261.97810106032796</c:v>
                </c:pt>
                <c:pt idx="15">
                  <c:v>272.88228734576751</c:v>
                </c:pt>
                <c:pt idx="16">
                  <c:v>284.31959679279009</c:v>
                </c:pt>
                <c:pt idx="17">
                  <c:v>296.31915399299453</c:v>
                </c:pt>
                <c:pt idx="18">
                  <c:v>308.91181878875346</c:v>
                </c:pt>
                <c:pt idx="19">
                  <c:v>322.13029735561247</c:v>
                </c:pt>
              </c:numCache>
            </c:numRef>
          </c:val>
          <c:smooth val="0"/>
          <c:extLst>
            <c:ext xmlns:c16="http://schemas.microsoft.com/office/drawing/2014/chart" uri="{C3380CC4-5D6E-409C-BE32-E72D297353CC}">
              <c16:uniqueId val="{00000003-0B40-455F-A350-EFFA36C3D664}"/>
            </c:ext>
          </c:extLst>
        </c:ser>
        <c:ser>
          <c:idx val="4"/>
          <c:order val="4"/>
          <c:tx>
            <c:strRef>
              <c:f>[2]Jobs!$H$12</c:f>
              <c:strCache>
                <c:ptCount val="1"/>
                <c:pt idx="0">
                  <c:v>SA</c:v>
                </c:pt>
              </c:strCache>
            </c:strRef>
          </c:tx>
          <c:spPr>
            <a:ln w="28575" cap="rnd">
              <a:solidFill>
                <a:schemeClr val="accent5"/>
              </a:solidFill>
              <a:round/>
            </a:ln>
            <a:effectLst/>
          </c:spPr>
          <c:marker>
            <c:symbol val="none"/>
          </c:marker>
          <c:val>
            <c:numRef>
              <c:f>[2]Jobs!$I$12:$AB$12</c:f>
              <c:numCache>
                <c:formatCode>General</c:formatCode>
                <c:ptCount val="20"/>
                <c:pt idx="0">
                  <c:v>335.11902000000009</c:v>
                </c:pt>
                <c:pt idx="1">
                  <c:v>345.66881990260407</c:v>
                </c:pt>
                <c:pt idx="2">
                  <c:v>356.63814092719883</c:v>
                </c:pt>
                <c:pt idx="3">
                  <c:v>368.04753785339176</c:v>
                </c:pt>
                <c:pt idx="4">
                  <c:v>379.91876723366477</c:v>
                </c:pt>
                <c:pt idx="5">
                  <c:v>392.27486709759944</c:v>
                </c:pt>
                <c:pt idx="6">
                  <c:v>405.1402423684076</c:v>
                </c:pt>
                <c:pt idx="7">
                  <c:v>418.54075641958144</c:v>
                </c:pt>
                <c:pt idx="8">
                  <c:v>432.50382923231621</c:v>
                </c:pt>
                <c:pt idx="9">
                  <c:v>447.05854264974494</c:v>
                </c:pt>
                <c:pt idx="10">
                  <c:v>462.23575326217548</c:v>
                </c:pt>
                <c:pt idx="11">
                  <c:v>478.06821349863992</c:v>
                </c:pt>
                <c:pt idx="12">
                  <c:v>494.590701544387</c:v>
                </c:pt>
                <c:pt idx="13">
                  <c:v>511.84016075174111</c:v>
                </c:pt>
                <c:pt idx="14">
                  <c:v>529.85584926325362</c:v>
                </c:pt>
                <c:pt idx="15">
                  <c:v>548.67950062161788</c:v>
                </c:pt>
                <c:pt idx="16">
                  <c:v>568.35549620068832</c:v>
                </c:pt>
                <c:pt idx="17">
                  <c:v>588.93105035650285</c:v>
                </c:pt>
                <c:pt idx="18">
                  <c:v>610.45640926681085</c:v>
                </c:pt>
                <c:pt idx="19">
                  <c:v>632.98506450266382</c:v>
                </c:pt>
              </c:numCache>
            </c:numRef>
          </c:val>
          <c:smooth val="0"/>
          <c:extLst>
            <c:ext xmlns:c16="http://schemas.microsoft.com/office/drawing/2014/chart" uri="{C3380CC4-5D6E-409C-BE32-E72D297353CC}">
              <c16:uniqueId val="{00000004-0B40-455F-A350-EFFA36C3D664}"/>
            </c:ext>
          </c:extLst>
        </c:ser>
        <c:ser>
          <c:idx val="5"/>
          <c:order val="5"/>
          <c:tx>
            <c:strRef>
              <c:f>[2]Jobs!$H$13</c:f>
              <c:strCache>
                <c:ptCount val="1"/>
                <c:pt idx="0">
                  <c:v>SEA</c:v>
                </c:pt>
              </c:strCache>
            </c:strRef>
          </c:tx>
          <c:spPr>
            <a:ln w="28575" cap="rnd">
              <a:solidFill>
                <a:schemeClr val="accent6"/>
              </a:solidFill>
              <a:round/>
            </a:ln>
            <a:effectLst/>
          </c:spPr>
          <c:marker>
            <c:symbol val="none"/>
          </c:marker>
          <c:val>
            <c:numRef>
              <c:f>[2]Jobs!$I$13:$AB$13</c:f>
              <c:numCache>
                <c:formatCode>General</c:formatCode>
                <c:ptCount val="20"/>
                <c:pt idx="0">
                  <c:v>430.51747</c:v>
                </c:pt>
                <c:pt idx="1">
                  <c:v>439.33041241842869</c:v>
                </c:pt>
                <c:pt idx="2">
                  <c:v>448.38064327155428</c:v>
                </c:pt>
                <c:pt idx="3">
                  <c:v>457.67536459431091</c:v>
                </c:pt>
                <c:pt idx="4">
                  <c:v>467.22201511279206</c:v>
                </c:pt>
                <c:pt idx="5">
                  <c:v>477.02827850129813</c:v>
                </c:pt>
                <c:pt idx="6">
                  <c:v>487.10209194083677</c:v>
                </c:pt>
                <c:pt idx="7">
                  <c:v>497.45165499047306</c:v>
                </c:pt>
                <c:pt idx="8">
                  <c:v>508.08543878336332</c:v>
                </c:pt>
                <c:pt idx="9">
                  <c:v>519.01219555976866</c:v>
                </c:pt>
                <c:pt idx="10">
                  <c:v>530.24096854982224</c:v>
                </c:pt>
                <c:pt idx="11">
                  <c:v>541.78110221932002</c:v>
                </c:pt>
                <c:pt idx="12">
                  <c:v>553.64225289232104</c:v>
                </c:pt>
                <c:pt idx="13">
                  <c:v>565.83439976488307</c:v>
                </c:pt>
                <c:pt idx="14">
                  <c:v>578.36785632481349</c:v>
                </c:pt>
                <c:pt idx="15">
                  <c:v>591.25328219290111</c:v>
                </c:pt>
                <c:pt idx="16">
                  <c:v>604.50169540169111</c:v>
                </c:pt>
                <c:pt idx="17">
                  <c:v>618.12448512850256</c:v>
                </c:pt>
                <c:pt idx="18">
                  <c:v>632.13342490002969</c:v>
                </c:pt>
                <c:pt idx="19">
                  <c:v>646.5406862865575</c:v>
                </c:pt>
              </c:numCache>
            </c:numRef>
          </c:val>
          <c:smooth val="0"/>
          <c:extLst>
            <c:ext xmlns:c16="http://schemas.microsoft.com/office/drawing/2014/chart" uri="{C3380CC4-5D6E-409C-BE32-E72D297353CC}">
              <c16:uniqueId val="{00000005-0B40-455F-A350-EFFA36C3D664}"/>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Jobs </a:t>
            </a:r>
            <a:r>
              <a:rPr lang="en-AU" sz="1400" b="0" i="0" u="none" strike="noStrike" baseline="0">
                <a:effectLst/>
              </a:rPr>
              <a:t>(incl. subsistence farming and informal sector)</a:t>
            </a:r>
            <a:r>
              <a:rPr lang="en-AU" sz="1400" b="0" i="0" u="none" strike="noStrike" baseline="0"/>
              <a:t> </a:t>
            </a:r>
            <a:br>
              <a:rPr lang="en-AU" sz="1400" b="0" i="0" u="none" strike="noStrike" baseline="0"/>
            </a:br>
            <a:r>
              <a:rPr lang="en-AU" sz="1050" b="0" i="1" u="none" strike="noStrike" baseline="0"/>
              <a:t>Millions of people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[2]Jobs!$H$32</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[2]Jobs!$I$32:$AB$32</c:f>
              <c:numCache>
                <c:formatCode>General</c:formatCode>
                <c:ptCount val="20"/>
                <c:pt idx="0">
                  <c:v>39.87713500000001</c:v>
                </c:pt>
                <c:pt idx="1">
                  <c:v>40.696602265354485</c:v>
                </c:pt>
                <c:pt idx="2">
                  <c:v>41.537085432566613</c:v>
                </c:pt>
                <c:pt idx="3">
                  <c:v>42.399200057177985</c:v>
                </c:pt>
                <c:pt idx="4">
                  <c:v>43.283581739430616</c:v>
                </c:pt>
                <c:pt idx="5">
                  <c:v>44.190886857267287</c:v>
                </c:pt>
                <c:pt idx="6">
                  <c:v>45.121793330212284</c:v>
                </c:pt>
                <c:pt idx="7">
                  <c:v>46.077001415649413</c:v>
                </c:pt>
                <c:pt idx="8">
                  <c:v>47.057234539099298</c:v>
                </c:pt>
                <c:pt idx="9">
                  <c:v>48.063240160188528</c:v>
                </c:pt>
                <c:pt idx="10">
                  <c:v>49.095790676099298</c:v>
                </c:pt>
                <c:pt idx="11">
                  <c:v>50.155684364390105</c:v>
                </c:pt>
                <c:pt idx="12">
                  <c:v>51.243746367186574</c:v>
                </c:pt>
                <c:pt idx="13">
                  <c:v>52.360829718856365</c:v>
                </c:pt>
                <c:pt idx="14">
                  <c:v>53.507816419405103</c:v>
                </c:pt>
                <c:pt idx="15">
                  <c:v>54.685618555959309</c:v>
                </c:pt>
                <c:pt idx="16">
                  <c:v>55.895179474841946</c:v>
                </c:pt>
                <c:pt idx="17">
                  <c:v>57.137475006891762</c:v>
                </c:pt>
                <c:pt idx="18">
                  <c:v>58.413514748835354</c:v>
                </c:pt>
                <c:pt idx="19">
                  <c:v>59.724343403685864</c:v>
                </c:pt>
              </c:numCache>
            </c:numRef>
          </c:val>
          <c:smooth val="0"/>
          <c:extLst>
            <c:ext xmlns:c16="http://schemas.microsoft.com/office/drawing/2014/chart" uri="{C3380CC4-5D6E-409C-BE32-E72D297353CC}">
              <c16:uniqueId val="{00000000-C0A4-48CA-BECC-CAE744C21979}"/>
            </c:ext>
          </c:extLst>
        </c:ser>
        <c:ser>
          <c:idx val="1"/>
          <c:order val="1"/>
          <c:tx>
            <c:strRef>
              <c:f>[2]Jobs!$H$33</c:f>
              <c:strCache>
                <c:ptCount val="1"/>
                <c:pt idx="0">
                  <c:v>CWANA</c:v>
                </c:pt>
              </c:strCache>
            </c:strRef>
          </c:tx>
          <c:spPr>
            <a:ln w="28575" cap="rnd">
              <a:solidFill>
                <a:schemeClr val="accent2"/>
              </a:solidFill>
              <a:round/>
            </a:ln>
            <a:effectLst/>
          </c:spPr>
          <c:marker>
            <c:symbol val="none"/>
          </c:marker>
          <c:val>
            <c:numRef>
              <c:f>[2]Jobs!$I$33:$AB$33</c:f>
              <c:numCache>
                <c:formatCode>General</c:formatCode>
                <c:ptCount val="20"/>
                <c:pt idx="0">
                  <c:v>31.03291200000001</c:v>
                </c:pt>
                <c:pt idx="1">
                  <c:v>31.709348821269604</c:v>
                </c:pt>
                <c:pt idx="2">
                  <c:v>32.406088147050994</c:v>
                </c:pt>
                <c:pt idx="3">
                  <c:v>33.123866405635468</c:v>
                </c:pt>
                <c:pt idx="4">
                  <c:v>33.863451417728342</c:v>
                </c:pt>
                <c:pt idx="5">
                  <c:v>34.625643929093428</c:v>
                </c:pt>
                <c:pt idx="6">
                  <c:v>35.411279226363988</c:v>
                </c:pt>
                <c:pt idx="7">
                  <c:v>36.22122884087721</c:v>
                </c:pt>
                <c:pt idx="8">
                  <c:v>37.05640234568655</c:v>
                </c:pt>
                <c:pt idx="9">
                  <c:v>37.917749251222475</c:v>
                </c:pt>
                <c:pt idx="10">
                  <c:v>38.806261005408075</c:v>
                </c:pt>
                <c:pt idx="11">
                  <c:v>39.72297310439285</c:v>
                </c:pt>
                <c:pt idx="12">
                  <c:v>40.668967320448246</c:v>
                </c:pt>
                <c:pt idx="13">
                  <c:v>41.645374053971722</c:v>
                </c:pt>
                <c:pt idx="14">
                  <c:v>42.653374816975607</c:v>
                </c:pt>
                <c:pt idx="15">
                  <c:v>43.694204855893609</c:v>
                </c:pt>
                <c:pt idx="16">
                  <c:v>44.769155922022804</c:v>
                </c:pt>
                <c:pt idx="17">
                  <c:v>45.879579198435607</c:v>
                </c:pt>
                <c:pt idx="18">
                  <c:v>47.026888392744873</c:v>
                </c:pt>
                <c:pt idx="19">
                  <c:v>48.212563005689191</c:v>
                </c:pt>
              </c:numCache>
            </c:numRef>
          </c:val>
          <c:smooth val="0"/>
          <c:extLst>
            <c:ext xmlns:c16="http://schemas.microsoft.com/office/drawing/2014/chart" uri="{C3380CC4-5D6E-409C-BE32-E72D297353CC}">
              <c16:uniqueId val="{00000001-C0A4-48CA-BECC-CAE744C21979}"/>
            </c:ext>
          </c:extLst>
        </c:ser>
        <c:ser>
          <c:idx val="2"/>
          <c:order val="2"/>
          <c:tx>
            <c:strRef>
              <c:f>[2]Jobs!$H$34</c:f>
              <c:strCache>
                <c:ptCount val="1"/>
                <c:pt idx="0">
                  <c:v>WCA</c:v>
                </c:pt>
              </c:strCache>
            </c:strRef>
          </c:tx>
          <c:spPr>
            <a:ln w="28575" cap="rnd">
              <a:solidFill>
                <a:schemeClr val="accent3"/>
              </a:solidFill>
              <a:round/>
            </a:ln>
            <a:effectLst/>
          </c:spPr>
          <c:marker>
            <c:symbol val="none"/>
          </c:marker>
          <c:val>
            <c:numRef>
              <c:f>[2]Jobs!$I$34:$AB$34</c:f>
              <c:numCache>
                <c:formatCode>General</c:formatCode>
                <c:ptCount val="20"/>
                <c:pt idx="0">
                  <c:v>87.403205999999997</c:v>
                </c:pt>
                <c:pt idx="1">
                  <c:v>90.400130383897917</c:v>
                </c:pt>
                <c:pt idx="2">
                  <c:v>93.517092686331551</c:v>
                </c:pt>
                <c:pt idx="3">
                  <c:v>96.759261708818272</c:v>
                </c:pt>
                <c:pt idx="4">
                  <c:v>100.13203897262046</c:v>
                </c:pt>
                <c:pt idx="5">
                  <c:v>103.64106954836053</c:v>
                </c:pt>
                <c:pt idx="6">
                  <c:v>107.29225340401825</c:v>
                </c:pt>
                <c:pt idx="7">
                  <c:v>111.09175729677888</c:v>
                </c:pt>
                <c:pt idx="8">
                  <c:v>115.04602723548342</c:v>
                </c:pt>
                <c:pt idx="9">
                  <c:v>119.16180154178005</c:v>
                </c:pt>
                <c:pt idx="10">
                  <c:v>123.44612453949483</c:v>
                </c:pt>
                <c:pt idx="11">
                  <c:v>127.90636090323059</c:v>
                </c:pt>
                <c:pt idx="12">
                  <c:v>132.55021069877162</c:v>
                </c:pt>
                <c:pt idx="13">
                  <c:v>137.38572514952074</c:v>
                </c:pt>
                <c:pt idx="14">
                  <c:v>142.42132316493215</c:v>
                </c:pt>
                <c:pt idx="15">
                  <c:v>147.6658086687253</c:v>
                </c:pt>
                <c:pt idx="16">
                  <c:v>153.12838876658907</c:v>
                </c:pt>
                <c:pt idx="17">
                  <c:v>158.81869279510084</c:v>
                </c:pt>
                <c:pt idx="18">
                  <c:v>164.7467922957124</c:v>
                </c:pt>
                <c:pt idx="19">
                  <c:v>170.92322195988925</c:v>
                </c:pt>
              </c:numCache>
            </c:numRef>
          </c:val>
          <c:smooth val="0"/>
          <c:extLst>
            <c:ext xmlns:c16="http://schemas.microsoft.com/office/drawing/2014/chart" uri="{C3380CC4-5D6E-409C-BE32-E72D297353CC}">
              <c16:uniqueId val="{00000002-C0A4-48CA-BECC-CAE744C21979}"/>
            </c:ext>
          </c:extLst>
        </c:ser>
        <c:ser>
          <c:idx val="3"/>
          <c:order val="3"/>
          <c:tx>
            <c:strRef>
              <c:f>[2]Jobs!$H$35</c:f>
              <c:strCache>
                <c:ptCount val="1"/>
                <c:pt idx="0">
                  <c:v>ESA</c:v>
                </c:pt>
              </c:strCache>
            </c:strRef>
          </c:tx>
          <c:spPr>
            <a:ln w="28575" cap="rnd">
              <a:solidFill>
                <a:schemeClr val="accent4"/>
              </a:solidFill>
              <a:round/>
            </a:ln>
            <a:effectLst/>
          </c:spPr>
          <c:marker>
            <c:symbol val="none"/>
          </c:marker>
          <c:val>
            <c:numRef>
              <c:f>[2]Jobs!$I$35:$AB$35</c:f>
              <c:numCache>
                <c:formatCode>General</c:formatCode>
                <c:ptCount val="20"/>
                <c:pt idx="0">
                  <c:v>130.63965000000002</c:v>
                </c:pt>
                <c:pt idx="1">
                  <c:v>135.56090294639233</c:v>
                </c:pt>
                <c:pt idx="2">
                  <c:v>140.70479192716564</c:v>
                </c:pt>
                <c:pt idx="3">
                  <c:v>146.0827013878534</c:v>
                </c:pt>
                <c:pt idx="4">
                  <c:v>151.70665485199987</c:v>
                </c:pt>
                <c:pt idx="5">
                  <c:v>157.58935370353618</c:v>
                </c:pt>
                <c:pt idx="6">
                  <c:v>163.74421848429319</c:v>
                </c:pt>
                <c:pt idx="7">
                  <c:v>170.18543287906712</c:v>
                </c:pt>
                <c:pt idx="8">
                  <c:v>176.9279905730165</c:v>
                </c:pt>
                <c:pt idx="9">
                  <c:v>183.98774517944975</c:v>
                </c:pt>
                <c:pt idx="10">
                  <c:v>191.38146345033073</c:v>
                </c:pt>
                <c:pt idx="11">
                  <c:v>199.12688199716456</c:v>
                </c:pt>
                <c:pt idx="12">
                  <c:v>207.24276776640357</c:v>
                </c:pt>
                <c:pt idx="13">
                  <c:v>215.74898253122643</c:v>
                </c:pt>
                <c:pt idx="14">
                  <c:v>224.66655168058401</c:v>
                </c:pt>
                <c:pt idx="15">
                  <c:v>234.01773760687746</c:v>
                </c:pt>
                <c:pt idx="16">
                  <c:v>243.82611801564533</c:v>
                </c:pt>
                <c:pt idx="17">
                  <c:v>254.11666950430984</c:v>
                </c:pt>
                <c:pt idx="18">
                  <c:v>264.91585678249055</c:v>
                </c:pt>
                <c:pt idx="19">
                  <c:v>276.25172793378215</c:v>
                </c:pt>
              </c:numCache>
            </c:numRef>
          </c:val>
          <c:smooth val="0"/>
          <c:extLst>
            <c:ext xmlns:c16="http://schemas.microsoft.com/office/drawing/2014/chart" uri="{C3380CC4-5D6E-409C-BE32-E72D297353CC}">
              <c16:uniqueId val="{00000003-C0A4-48CA-BECC-CAE744C21979}"/>
            </c:ext>
          </c:extLst>
        </c:ser>
        <c:ser>
          <c:idx val="4"/>
          <c:order val="4"/>
          <c:tx>
            <c:strRef>
              <c:f>[2]Jobs!$H$36</c:f>
              <c:strCache>
                <c:ptCount val="1"/>
                <c:pt idx="0">
                  <c:v>SA</c:v>
                </c:pt>
              </c:strCache>
            </c:strRef>
          </c:tx>
          <c:spPr>
            <a:ln w="28575" cap="rnd">
              <a:solidFill>
                <a:schemeClr val="accent5"/>
              </a:solidFill>
              <a:round/>
            </a:ln>
            <a:effectLst/>
          </c:spPr>
          <c:marker>
            <c:symbol val="none"/>
          </c:marker>
          <c:val>
            <c:numRef>
              <c:f>[2]Jobs!$I$36:$AB$36</c:f>
              <c:numCache>
                <c:formatCode>General</c:formatCode>
                <c:ptCount val="20"/>
                <c:pt idx="0">
                  <c:v>269.06188000000009</c:v>
                </c:pt>
                <c:pt idx="1">
                  <c:v>277.53215123503298</c:v>
                </c:pt>
                <c:pt idx="2">
                  <c:v>286.33924949284307</c:v>
                </c:pt>
                <c:pt idx="3">
                  <c:v>295.49967788818657</c:v>
                </c:pt>
                <c:pt idx="4">
                  <c:v>305.03090442068083</c:v>
                </c:pt>
                <c:pt idx="5">
                  <c:v>314.95142596809416</c:v>
                </c:pt>
                <c:pt idx="6">
                  <c:v>325.2808368659571</c:v>
                </c:pt>
                <c:pt idx="7">
                  <c:v>336.03990241698204</c:v>
                </c:pt>
                <c:pt idx="8">
                  <c:v>347.25063770014003</c:v>
                </c:pt>
                <c:pt idx="9">
                  <c:v>358.93639207765807</c:v>
                </c:pt>
                <c:pt idx="10">
                  <c:v>371.12193982883178</c:v>
                </c:pt>
                <c:pt idx="11">
                  <c:v>383.83357737255687</c:v>
                </c:pt>
                <c:pt idx="12">
                  <c:v>397.09922757607637</c:v>
                </c:pt>
                <c:pt idx="13">
                  <c:v>410.94855168580307</c:v>
                </c:pt>
                <c:pt idx="14">
                  <c:v>425.4130694574352</c:v>
                </c:pt>
                <c:pt idx="15">
                  <c:v>440.52628810717351</c:v>
                </c:pt>
                <c:pt idx="16">
                  <c:v>456.32384075392099</c:v>
                </c:pt>
                <c:pt idx="17">
                  <c:v>472.84363507417561</c:v>
                </c:pt>
                <c:pt idx="18">
                  <c:v>490.12601294721367</c:v>
                </c:pt>
                <c:pt idx="19">
                  <c:v>508.21392192841813</c:v>
                </c:pt>
              </c:numCache>
            </c:numRef>
          </c:val>
          <c:smooth val="0"/>
          <c:extLst>
            <c:ext xmlns:c16="http://schemas.microsoft.com/office/drawing/2014/chart" uri="{C3380CC4-5D6E-409C-BE32-E72D297353CC}">
              <c16:uniqueId val="{00000004-C0A4-48CA-BECC-CAE744C21979}"/>
            </c:ext>
          </c:extLst>
        </c:ser>
        <c:ser>
          <c:idx val="5"/>
          <c:order val="5"/>
          <c:tx>
            <c:strRef>
              <c:f>[2]Jobs!$H$37</c:f>
              <c:strCache>
                <c:ptCount val="1"/>
                <c:pt idx="0">
                  <c:v>SEA</c:v>
                </c:pt>
              </c:strCache>
            </c:strRef>
          </c:tx>
          <c:spPr>
            <a:ln w="28575" cap="rnd">
              <a:solidFill>
                <a:schemeClr val="accent6"/>
              </a:solidFill>
              <a:round/>
            </a:ln>
            <a:effectLst/>
          </c:spPr>
          <c:marker>
            <c:symbol val="none"/>
          </c:marker>
          <c:val>
            <c:numRef>
              <c:f>[2]Jobs!$I$37:$AB$37</c:f>
              <c:numCache>
                <c:formatCode>General</c:formatCode>
                <c:ptCount val="20"/>
                <c:pt idx="0">
                  <c:v>284.72257000000002</c:v>
                </c:pt>
                <c:pt idx="1">
                  <c:v>290.55100621801699</c:v>
                </c:pt>
                <c:pt idx="2">
                  <c:v>296.53637305480339</c:v>
                </c:pt>
                <c:pt idx="3">
                  <c:v>302.68343357350676</c:v>
                </c:pt>
                <c:pt idx="4">
                  <c:v>308.99710737288541</c:v>
                </c:pt>
                <c:pt idx="5">
                  <c:v>315.48247604810399</c:v>
                </c:pt>
                <c:pt idx="6">
                  <c:v>322.14478885089454</c:v>
                </c:pt>
                <c:pt idx="7">
                  <c:v>328.98946855662052</c:v>
                </c:pt>
                <c:pt idx="8">
                  <c:v>336.02211754607043</c:v>
                </c:pt>
                <c:pt idx="9">
                  <c:v>343.24852411011312</c:v>
                </c:pt>
                <c:pt idx="10">
                  <c:v>350.67466898566175</c:v>
                </c:pt>
                <c:pt idx="11">
                  <c:v>358.30673213172389</c:v>
                </c:pt>
                <c:pt idx="12">
                  <c:v>366.15109975465475</c:v>
                </c:pt>
                <c:pt idx="13">
                  <c:v>374.21437159208631</c:v>
                </c:pt>
                <c:pt idx="14">
                  <c:v>382.50336846537647</c:v>
                </c:pt>
                <c:pt idx="15">
                  <c:v>391.02514011080206</c:v>
                </c:pt>
                <c:pt idx="16">
                  <c:v>399.78697330012341</c:v>
                </c:pt>
                <c:pt idx="17">
                  <c:v>408.79640026155965</c:v>
                </c:pt>
                <c:pt idx="18">
                  <c:v>418.06120741264795</c:v>
                </c:pt>
                <c:pt idx="19">
                  <c:v>427.58944441690699</c:v>
                </c:pt>
              </c:numCache>
            </c:numRef>
          </c:val>
          <c:smooth val="0"/>
          <c:extLst>
            <c:ext xmlns:c16="http://schemas.microsoft.com/office/drawing/2014/chart" uri="{C3380CC4-5D6E-409C-BE32-E72D297353CC}">
              <c16:uniqueId val="{00000005-C0A4-48CA-BECC-CAE744C21979}"/>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Greenhouse Gas (GHG) Emissions</a:t>
            </a:r>
            <a:br>
              <a:rPr lang="en-AU" sz="1400" b="1" i="0" u="none" strike="noStrike" baseline="0">
                <a:effectLst/>
              </a:rPr>
            </a:br>
            <a:r>
              <a:rPr lang="en-AU" sz="1050" b="0" i="1" u="none" strike="noStrike" baseline="0"/>
              <a:t>Millions of tons of CO2eq emissions</a:t>
            </a:r>
            <a:endParaRPr lang="en-AU" sz="1050" i="1"/>
          </a:p>
        </c:rich>
      </c:tx>
      <c:overlay val="0"/>
      <c:spPr>
        <a:noFill/>
        <a:ln>
          <a:noFill/>
        </a:ln>
        <a:effectLst/>
      </c:spPr>
    </c:title>
    <c:autoTitleDeleted val="0"/>
    <c:plotArea>
      <c:layout>
        <c:manualLayout>
          <c:layoutTarget val="inner"/>
          <c:xMode val="edge"/>
          <c:yMode val="edge"/>
          <c:x val="9.0649919484000224E-2"/>
          <c:y val="0.21035763075443212"/>
          <c:w val="0.87605039918392535"/>
          <c:h val="0.59012980381493496"/>
        </c:manualLayout>
      </c:layout>
      <c:lineChart>
        <c:grouping val="standard"/>
        <c:varyColors val="0"/>
        <c:ser>
          <c:idx val="0"/>
          <c:order val="0"/>
          <c:tx>
            <c:strRef>
              <c:f>[2]EA!$M$7</c:f>
              <c:strCache>
                <c:ptCount val="1"/>
                <c:pt idx="0">
                  <c:v>LAC</c:v>
                </c:pt>
              </c:strCache>
            </c:strRef>
          </c:tx>
          <c:marker>
            <c:symbol val="none"/>
          </c:marker>
          <c:val>
            <c:numRef>
              <c:f>[2]EA!$N$7:$AG$7</c:f>
              <c:numCache>
                <c:formatCode>General</c:formatCode>
                <c:ptCount val="20"/>
                <c:pt idx="0">
                  <c:v>1062.1580331999901</c:v>
                </c:pt>
                <c:pt idx="1">
                  <c:v>1066.28860098679</c:v>
                </c:pt>
                <c:pt idx="2">
                  <c:v>1070.46887931063</c:v>
                </c:pt>
                <c:pt idx="3">
                  <c:v>1074.6999178165199</c:v>
                </c:pt>
                <c:pt idx="4">
                  <c:v>1078.9827968055399</c:v>
                </c:pt>
                <c:pt idx="5">
                  <c:v>1083.3186281891701</c:v>
                </c:pt>
                <c:pt idx="6">
                  <c:v>1087.7085564742599</c:v>
                </c:pt>
                <c:pt idx="7">
                  <c:v>1092.1537597798399</c:v>
                </c:pt>
                <c:pt idx="8">
                  <c:v>1096.6554508865599</c:v>
                </c:pt>
                <c:pt idx="9">
                  <c:v>1101.2148783201701</c:v>
                </c:pt>
                <c:pt idx="10">
                  <c:v>1105.83332746976</c:v>
                </c:pt>
                <c:pt idx="11">
                  <c:v>1110.51212174227</c:v>
                </c:pt>
                <c:pt idx="12">
                  <c:v>1115.2526237541599</c:v>
                </c:pt>
                <c:pt idx="13">
                  <c:v>1120.05623656168</c:v>
                </c:pt>
                <c:pt idx="14">
                  <c:v>1124.9244049309</c:v>
                </c:pt>
                <c:pt idx="15">
                  <c:v>1129.8586166487501</c:v>
                </c:pt>
                <c:pt idx="16">
                  <c:v>1134.86040387663</c:v>
                </c:pt>
                <c:pt idx="17">
                  <c:v>1139.9313445477201</c:v>
                </c:pt>
                <c:pt idx="18">
                  <c:v>1145.07306380962</c:v>
                </c:pt>
                <c:pt idx="19">
                  <c:v>1150.2872355137299</c:v>
                </c:pt>
              </c:numCache>
            </c:numRef>
          </c:val>
          <c:smooth val="0"/>
          <c:extLst>
            <c:ext xmlns:c16="http://schemas.microsoft.com/office/drawing/2014/chart" uri="{C3380CC4-5D6E-409C-BE32-E72D297353CC}">
              <c16:uniqueId val="{00000000-FE61-442D-B452-95F3C5820CD7}"/>
            </c:ext>
          </c:extLst>
        </c:ser>
        <c:ser>
          <c:idx val="6"/>
          <c:order val="1"/>
          <c:tx>
            <c:strRef>
              <c:f>[2]EA!$M$8</c:f>
              <c:strCache>
                <c:ptCount val="1"/>
                <c:pt idx="0">
                  <c:v>CWANA</c:v>
                </c:pt>
              </c:strCache>
            </c:strRef>
          </c:tx>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[2]EA!$N$8:$AG$8</c:f>
              <c:numCache>
                <c:formatCode>General</c:formatCode>
                <c:ptCount val="20"/>
                <c:pt idx="0">
                  <c:v>267.73907960000003</c:v>
                </c:pt>
                <c:pt idx="1">
                  <c:v>273.34463420968098</c:v>
                </c:pt>
                <c:pt idx="2">
                  <c:v>279.09723013930602</c:v>
                </c:pt>
                <c:pt idx="3">
                  <c:v>285.00085062601102</c:v>
                </c:pt>
                <c:pt idx="4">
                  <c:v>291.05959129262402</c:v>
                </c:pt>
                <c:pt idx="5">
                  <c:v>297.27766337903603</c:v>
                </c:pt>
                <c:pt idx="6">
                  <c:v>303.65939706781103</c:v>
                </c:pt>
                <c:pt idx="7">
                  <c:v>310.20924490681602</c:v>
                </c:pt>
                <c:pt idx="8">
                  <c:v>316.93178533171903</c:v>
                </c:pt>
                <c:pt idx="9">
                  <c:v>323.83172629131099</c:v>
                </c:pt>
                <c:pt idx="10">
                  <c:v>330.91390897866398</c:v>
                </c:pt>
                <c:pt idx="11">
                  <c:v>338.18331167126303</c:v>
                </c:pt>
                <c:pt idx="12">
                  <c:v>345.64505368330299</c:v>
                </c:pt>
                <c:pt idx="13">
                  <c:v>353.30439943348</c:v>
                </c:pt>
                <c:pt idx="14">
                  <c:v>361.16676263165903</c:v>
                </c:pt>
                <c:pt idx="15">
                  <c:v>369.23771058794301</c:v>
                </c:pt>
                <c:pt idx="16">
                  <c:v>377.52296864774598</c:v>
                </c:pt>
                <c:pt idx="17">
                  <c:v>386.028424756589</c:v>
                </c:pt>
                <c:pt idx="18">
                  <c:v>394.76013415844199</c:v>
                </c:pt>
                <c:pt idx="19">
                  <c:v>403.72432423157198</c:v>
                </c:pt>
              </c:numCache>
            </c:numRef>
          </c:val>
          <c:smooth val="0"/>
          <c:extLst>
            <c:ext xmlns:c16="http://schemas.microsoft.com/office/drawing/2014/chart" uri="{C3380CC4-5D6E-409C-BE32-E72D297353CC}">
              <c16:uniqueId val="{00000001-FE61-442D-B452-95F3C5820CD7}"/>
            </c:ext>
          </c:extLst>
        </c:ser>
        <c:ser>
          <c:idx val="9"/>
          <c:order val="2"/>
          <c:tx>
            <c:strRef>
              <c:f>[2]EA!$M$9</c:f>
              <c:strCache>
                <c:ptCount val="1"/>
                <c:pt idx="0">
                  <c:v>WCA</c:v>
                </c:pt>
              </c:strCache>
            </c:strRef>
          </c:tx>
          <c:marker>
            <c:symbol val="none"/>
          </c:marker>
          <c:val>
            <c:numRef>
              <c:f>[2]EA!$N$9:$AG$9</c:f>
              <c:numCache>
                <c:formatCode>General</c:formatCode>
                <c:ptCount val="20"/>
                <c:pt idx="0">
                  <c:v>354.39023769999898</c:v>
                </c:pt>
                <c:pt idx="1">
                  <c:v>363.35389500703599</c:v>
                </c:pt>
                <c:pt idx="2">
                  <c:v>372.57065881653199</c:v>
                </c:pt>
                <c:pt idx="3">
                  <c:v>382.04803712420397</c:v>
                </c:pt>
                <c:pt idx="4">
                  <c:v>391.79377206257402</c:v>
                </c:pt>
                <c:pt idx="5">
                  <c:v>401.81584761893498</c:v>
                </c:pt>
                <c:pt idx="6">
                  <c:v>412.12249762273399</c:v>
                </c:pt>
                <c:pt idx="7">
                  <c:v>422.72221401228501</c:v>
                </c:pt>
                <c:pt idx="8">
                  <c:v>433.62375539113401</c:v>
                </c:pt>
                <c:pt idx="9">
                  <c:v>444.83615588478801</c:v>
                </c:pt>
                <c:pt idx="10">
                  <c:v>456.36873430891598</c:v>
                </c:pt>
                <c:pt idx="11">
                  <c:v>468.23110366059802</c:v>
                </c:pt>
                <c:pt idx="12">
                  <c:v>480.43318094461603</c:v>
                </c:pt>
                <c:pt idx="13">
                  <c:v>492.98519734726</c:v>
                </c:pt>
                <c:pt idx="14">
                  <c:v>505.89770877060801</c:v>
                </c:pt>
                <c:pt idx="15">
                  <c:v>519.18160674074397</c:v>
                </c:pt>
                <c:pt idx="16">
                  <c:v>532.84812970390499</c:v>
                </c:pt>
                <c:pt idx="17">
                  <c:v>546.90887472508905</c:v>
                </c:pt>
                <c:pt idx="18">
                  <c:v>561.37580960423804</c:v>
                </c:pt>
                <c:pt idx="19">
                  <c:v>576.26128542568199</c:v>
                </c:pt>
              </c:numCache>
            </c:numRef>
          </c:val>
          <c:smooth val="0"/>
          <c:extLst>
            <c:ext xmlns:c16="http://schemas.microsoft.com/office/drawing/2014/chart" uri="{C3380CC4-5D6E-409C-BE32-E72D297353CC}">
              <c16:uniqueId val="{00000002-FE61-442D-B452-95F3C5820CD7}"/>
            </c:ext>
          </c:extLst>
        </c:ser>
        <c:ser>
          <c:idx val="8"/>
          <c:order val="3"/>
          <c:tx>
            <c:strRef>
              <c:f>[2]EA!$M$10</c:f>
              <c:strCache>
                <c:ptCount val="1"/>
                <c:pt idx="0">
                  <c:v>ESA</c:v>
                </c:pt>
              </c:strCache>
            </c:strRef>
          </c:tx>
          <c:marker>
            <c:symbol val="none"/>
          </c:marker>
          <c:val>
            <c:numRef>
              <c:f>[2]EA!$N$10:$AG$10</c:f>
              <c:numCache>
                <c:formatCode>General</c:formatCode>
                <c:ptCount val="20"/>
                <c:pt idx="0">
                  <c:v>505.23433779999903</c:v>
                </c:pt>
                <c:pt idx="1">
                  <c:v>525.74193172002697</c:v>
                </c:pt>
                <c:pt idx="2">
                  <c:v>547.25019877286104</c:v>
                </c:pt>
                <c:pt idx="3">
                  <c:v>569.81421939826498</c:v>
                </c:pt>
                <c:pt idx="4">
                  <c:v>593.49231856741903</c:v>
                </c:pt>
                <c:pt idx="5">
                  <c:v>618.34626353935198</c:v>
                </c:pt>
                <c:pt idx="6">
                  <c:v>644.441473877102</c:v>
                </c:pt>
                <c:pt idx="7">
                  <c:v>671.847244490614</c:v>
                </c:pt>
                <c:pt idx="8">
                  <c:v>700.63698252167205</c:v>
                </c:pt>
                <c:pt idx="9">
                  <c:v>730.88845893742098</c:v>
                </c:pt>
                <c:pt idx="10">
                  <c:v>762.684075753667</c:v>
                </c:pt>
                <c:pt idx="11">
                  <c:v>796.11114986711004</c:v>
                </c:pt>
                <c:pt idx="12">
                  <c:v>831.262214537354</c:v>
                </c:pt>
                <c:pt idx="13">
                  <c:v>868.23533962514296</c:v>
                </c:pt>
                <c:pt idx="14">
                  <c:v>907.13447176298496</c:v>
                </c:pt>
                <c:pt idx="15">
                  <c:v>948.06979570850694</c:v>
                </c:pt>
                <c:pt idx="16">
                  <c:v>991.158118209696</c:v>
                </c:pt>
                <c:pt idx="17">
                  <c:v>1036.52327579506</c:v>
                </c:pt>
                <c:pt idx="18">
                  <c:v>1084.29656799091</c:v>
                </c:pt>
                <c:pt idx="19">
                  <c:v>1134.61721756263</c:v>
                </c:pt>
              </c:numCache>
            </c:numRef>
          </c:val>
          <c:smooth val="0"/>
          <c:extLst>
            <c:ext xmlns:c16="http://schemas.microsoft.com/office/drawing/2014/chart" uri="{C3380CC4-5D6E-409C-BE32-E72D297353CC}">
              <c16:uniqueId val="{00000003-FE61-442D-B452-95F3C5820CD7}"/>
            </c:ext>
          </c:extLst>
        </c:ser>
        <c:ser>
          <c:idx val="5"/>
          <c:order val="4"/>
          <c:tx>
            <c:strRef>
              <c:f>[2]EA!$M$11</c:f>
              <c:strCache>
                <c:ptCount val="1"/>
                <c:pt idx="0">
                  <c:v>SA</c:v>
                </c:pt>
              </c:strCache>
            </c:strRef>
          </c:tx>
          <c:marker>
            <c:symbol val="none"/>
          </c:marker>
          <c:val>
            <c:numRef>
              <c:f>[2]EA!$N$11:$AG$11</c:f>
              <c:numCache>
                <c:formatCode>General</c:formatCode>
                <c:ptCount val="20"/>
                <c:pt idx="0">
                  <c:v>1147.9064971</c:v>
                </c:pt>
                <c:pt idx="1">
                  <c:v>1173.4687375036799</c:v>
                </c:pt>
                <c:pt idx="2">
                  <c:v>1199.89171130677</c:v>
                </c:pt>
                <c:pt idx="3">
                  <c:v>1227.21236255293</c:v>
                </c:pt>
                <c:pt idx="4">
                  <c:v>1255.4694063147499</c:v>
                </c:pt>
                <c:pt idx="5">
                  <c:v>1284.70341765221</c:v>
                </c:pt>
                <c:pt idx="6">
                  <c:v>1314.9569251303001</c:v>
                </c:pt>
                <c:pt idx="7">
                  <c:v>1346.2745091316999</c:v>
                </c:pt>
                <c:pt idx="8">
                  <c:v>1378.7029052123901</c:v>
                </c:pt>
                <c:pt idx="9">
                  <c:v>1412.2911127612499</c:v>
                </c:pt>
                <c:pt idx="10">
                  <c:v>1447.0905092381299</c:v>
                </c:pt>
                <c:pt idx="11">
                  <c:v>1483.1549702790701</c:v>
                </c:pt>
                <c:pt idx="12">
                  <c:v>1520.54099597247</c:v>
                </c:pt>
                <c:pt idx="13">
                  <c:v>1559.3078436257399</c:v>
                </c:pt>
                <c:pt idx="14">
                  <c:v>1599.5176673585499</c:v>
                </c:pt>
                <c:pt idx="15">
                  <c:v>1641.23566487639</c:v>
                </c:pt>
                <c:pt idx="16">
                  <c:v>1684.5302317963201</c:v>
                </c:pt>
                <c:pt idx="17">
                  <c:v>1729.47312391631</c:v>
                </c:pt>
                <c:pt idx="18">
                  <c:v>1776.13962783989</c:v>
                </c:pt>
                <c:pt idx="19">
                  <c:v>1824.60874038919</c:v>
                </c:pt>
              </c:numCache>
            </c:numRef>
          </c:val>
          <c:smooth val="0"/>
          <c:extLst>
            <c:ext xmlns:c16="http://schemas.microsoft.com/office/drawing/2014/chart" uri="{C3380CC4-5D6E-409C-BE32-E72D297353CC}">
              <c16:uniqueId val="{00000004-FE61-442D-B452-95F3C5820CD7}"/>
            </c:ext>
          </c:extLst>
        </c:ser>
        <c:ser>
          <c:idx val="10"/>
          <c:order val="5"/>
          <c:tx>
            <c:strRef>
              <c:f>[2]EA!$M$12</c:f>
              <c:strCache>
                <c:ptCount val="1"/>
                <c:pt idx="0">
                  <c:v>SEA</c:v>
                </c:pt>
              </c:strCache>
            </c:strRef>
          </c:tx>
          <c:marker>
            <c:symbol val="none"/>
          </c:marker>
          <c:val>
            <c:numRef>
              <c:f>[2]EA!$N$12:$AG$12</c:f>
              <c:numCache>
                <c:formatCode>General</c:formatCode>
                <c:ptCount val="20"/>
                <c:pt idx="0">
                  <c:v>1143.6131478</c:v>
                </c:pt>
                <c:pt idx="1">
                  <c:v>1149.66145638643</c:v>
                </c:pt>
                <c:pt idx="2">
                  <c:v>1155.8696368969599</c:v>
                </c:pt>
                <c:pt idx="3">
                  <c:v>1162.2410301637799</c:v>
                </c:pt>
                <c:pt idx="4">
                  <c:v>1168.7790565616399</c:v>
                </c:pt>
                <c:pt idx="5">
                  <c:v>1175.4872179783199</c:v>
                </c:pt>
                <c:pt idx="6">
                  <c:v>1182.36909983552</c:v>
                </c:pt>
                <c:pt idx="7">
                  <c:v>1189.42837316143</c:v>
                </c:pt>
                <c:pt idx="8">
                  <c:v>1196.66879671641</c:v>
                </c:pt>
                <c:pt idx="9">
                  <c:v>1204.0942191730101</c:v>
                </c:pt>
                <c:pt idx="10">
                  <c:v>1211.7085813518399</c:v>
                </c:pt>
                <c:pt idx="11">
                  <c:v>1219.51591851483</c:v>
                </c:pt>
                <c:pt idx="12">
                  <c:v>1227.52036271717</c:v>
                </c:pt>
                <c:pt idx="13">
                  <c:v>1235.7261452196201</c:v>
                </c:pt>
                <c:pt idx="14">
                  <c:v>1244.13759896277</c:v>
                </c:pt>
                <c:pt idx="15">
                  <c:v>1252.7591611047401</c:v>
                </c:pt>
                <c:pt idx="16">
                  <c:v>1261.5953756240999</c:v>
                </c:pt>
                <c:pt idx="17">
                  <c:v>1270.6508959896801</c:v>
                </c:pt>
                <c:pt idx="18">
                  <c:v>1279.9304878989201</c:v>
                </c:pt>
                <c:pt idx="19">
                  <c:v>1289.4390320867899</c:v>
                </c:pt>
              </c:numCache>
            </c:numRef>
          </c:val>
          <c:smooth val="0"/>
          <c:extLst>
            <c:ext xmlns:c16="http://schemas.microsoft.com/office/drawing/2014/chart" uri="{C3380CC4-5D6E-409C-BE32-E72D297353CC}">
              <c16:uniqueId val="{00000005-FE61-442D-B452-95F3C5820CD7}"/>
            </c:ext>
          </c:extLst>
        </c:ser>
        <c:dLbls>
          <c:showLegendKey val="0"/>
          <c:showVal val="0"/>
          <c:showCatName val="0"/>
          <c:showSerName val="0"/>
          <c:showPercent val="0"/>
          <c:showBubbleSize val="0"/>
        </c:dLbls>
        <c:smooth val="0"/>
        <c:axId val="929478607"/>
        <c:axId val="929479087"/>
      </c:lineChart>
      <c:date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0"/>
        <c:lblOffset val="100"/>
        <c:baseTimeUnit val="days"/>
      </c:date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Millioins tonnes</a:t>
                </a:r>
                <a:r>
                  <a:rPr lang="en-AU" baseline="0"/>
                  <a:t> CO2eq</a:t>
                </a:r>
              </a:p>
            </c:rich>
          </c:tx>
          <c:layout>
            <c:manualLayout>
              <c:xMode val="edge"/>
              <c:yMode val="edge"/>
              <c:x val="0"/>
              <c:y val="0.3108484950941760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plotArea>
    <c:legend>
      <c:legendPos val="b"/>
      <c:layout>
        <c:manualLayout>
          <c:xMode val="edge"/>
          <c:yMode val="edge"/>
          <c:x val="8.4187477407683772E-2"/>
          <c:y val="0.92069417754644833"/>
          <c:w val="0.75019966356638312"/>
          <c:h val="5.6317427699374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7</xdr:col>
      <xdr:colOff>304800</xdr:colOff>
      <xdr:row>48</xdr:row>
      <xdr:rowOff>165100</xdr:rowOff>
    </xdr:to>
    <xdr:graphicFrame macro="">
      <xdr:nvGraphicFramePr>
        <xdr:cNvPr id="2" name="Chart 1">
          <a:extLst>
            <a:ext uri="{FF2B5EF4-FFF2-40B4-BE49-F238E27FC236}">
              <a16:creationId xmlns:a16="http://schemas.microsoft.com/office/drawing/2014/main" id="{AB151275-10DF-4323-92DF-091A783CC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69</xdr:row>
      <xdr:rowOff>12700</xdr:rowOff>
    </xdr:from>
    <xdr:to>
      <xdr:col>7</xdr:col>
      <xdr:colOff>315913</xdr:colOff>
      <xdr:row>83</xdr:row>
      <xdr:rowOff>153987</xdr:rowOff>
    </xdr:to>
    <xdr:graphicFrame macro="">
      <xdr:nvGraphicFramePr>
        <xdr:cNvPr id="3" name="Chart 2">
          <a:extLst>
            <a:ext uri="{FF2B5EF4-FFF2-40B4-BE49-F238E27FC236}">
              <a16:creationId xmlns:a16="http://schemas.microsoft.com/office/drawing/2014/main" id="{9BFF481E-E737-4B68-B654-85911626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19050</xdr:rowOff>
    </xdr:from>
    <xdr:to>
      <xdr:col>7</xdr:col>
      <xdr:colOff>315913</xdr:colOff>
      <xdr:row>66</xdr:row>
      <xdr:rowOff>160337</xdr:rowOff>
    </xdr:to>
    <xdr:graphicFrame macro="">
      <xdr:nvGraphicFramePr>
        <xdr:cNvPr id="4" name="Chart 3">
          <a:extLst>
            <a:ext uri="{FF2B5EF4-FFF2-40B4-BE49-F238E27FC236}">
              <a16:creationId xmlns:a16="http://schemas.microsoft.com/office/drawing/2014/main" id="{94204999-A502-442F-8E06-7AB44F0C9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85</xdr:row>
      <xdr:rowOff>0</xdr:rowOff>
    </xdr:from>
    <xdr:to>
      <xdr:col>7</xdr:col>
      <xdr:colOff>315913</xdr:colOff>
      <xdr:row>99</xdr:row>
      <xdr:rowOff>141287</xdr:rowOff>
    </xdr:to>
    <xdr:graphicFrame macro="">
      <xdr:nvGraphicFramePr>
        <xdr:cNvPr id="5" name="Chart 4">
          <a:extLst>
            <a:ext uri="{FF2B5EF4-FFF2-40B4-BE49-F238E27FC236}">
              <a16:creationId xmlns:a16="http://schemas.microsoft.com/office/drawing/2014/main" id="{F5E61B7D-7677-4D54-A1EB-AC823D1CB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102</xdr:row>
      <xdr:rowOff>0</xdr:rowOff>
    </xdr:from>
    <xdr:to>
      <xdr:col>7</xdr:col>
      <xdr:colOff>309418</xdr:colOff>
      <xdr:row>116</xdr:row>
      <xdr:rowOff>124278</xdr:rowOff>
    </xdr:to>
    <xdr:graphicFrame macro="">
      <xdr:nvGraphicFramePr>
        <xdr:cNvPr id="6" name="Chart 5">
          <a:extLst>
            <a:ext uri="{FF2B5EF4-FFF2-40B4-BE49-F238E27FC236}">
              <a16:creationId xmlns:a16="http://schemas.microsoft.com/office/drawing/2014/main" id="{05901711-38FD-43BE-ADE2-44EE83422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119</xdr:row>
      <xdr:rowOff>0</xdr:rowOff>
    </xdr:from>
    <xdr:to>
      <xdr:col>7</xdr:col>
      <xdr:colOff>309418</xdr:colOff>
      <xdr:row>133</xdr:row>
      <xdr:rowOff>124278</xdr:rowOff>
    </xdr:to>
    <xdr:graphicFrame macro="">
      <xdr:nvGraphicFramePr>
        <xdr:cNvPr id="7" name="Chart 6">
          <a:extLst>
            <a:ext uri="{FF2B5EF4-FFF2-40B4-BE49-F238E27FC236}">
              <a16:creationId xmlns:a16="http://schemas.microsoft.com/office/drawing/2014/main" id="{4B9060D4-C58A-456D-A553-0A81BD320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137</xdr:row>
      <xdr:rowOff>0</xdr:rowOff>
    </xdr:from>
    <xdr:to>
      <xdr:col>7</xdr:col>
      <xdr:colOff>309418</xdr:colOff>
      <xdr:row>151</xdr:row>
      <xdr:rowOff>124278</xdr:rowOff>
    </xdr:to>
    <xdr:graphicFrame macro="">
      <xdr:nvGraphicFramePr>
        <xdr:cNvPr id="8" name="Chart 7">
          <a:extLst>
            <a:ext uri="{FF2B5EF4-FFF2-40B4-BE49-F238E27FC236}">
              <a16:creationId xmlns:a16="http://schemas.microsoft.com/office/drawing/2014/main" id="{5300D05F-E612-4A4E-A683-35D292B2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154</xdr:row>
      <xdr:rowOff>25400</xdr:rowOff>
    </xdr:from>
    <xdr:to>
      <xdr:col>7</xdr:col>
      <xdr:colOff>292100</xdr:colOff>
      <xdr:row>174</xdr:row>
      <xdr:rowOff>122465</xdr:rowOff>
    </xdr:to>
    <xdr:graphicFrame macro="">
      <xdr:nvGraphicFramePr>
        <xdr:cNvPr id="10" name="Chart 9">
          <a:extLst>
            <a:ext uri="{FF2B5EF4-FFF2-40B4-BE49-F238E27FC236}">
              <a16:creationId xmlns:a16="http://schemas.microsoft.com/office/drawing/2014/main" id="{26B7B561-33AE-47E3-B63E-CC31E4930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101600</xdr:colOff>
      <xdr:row>25</xdr:row>
      <xdr:rowOff>152400</xdr:rowOff>
    </xdr:from>
    <xdr:to>
      <xdr:col>15</xdr:col>
      <xdr:colOff>2184400</xdr:colOff>
      <xdr:row>86</xdr:row>
      <xdr:rowOff>12700</xdr:rowOff>
    </xdr:to>
    <xdr:sp macro="" textlink="">
      <xdr:nvSpPr>
        <xdr:cNvPr id="2" name="TextBox 1">
          <a:extLst>
            <a:ext uri="{FF2B5EF4-FFF2-40B4-BE49-F238E27FC236}">
              <a16:creationId xmlns:a16="http://schemas.microsoft.com/office/drawing/2014/main" id="{1ED057C4-EFB8-54BD-6DA0-0C16F1510D2F}"/>
            </a:ext>
          </a:extLst>
        </xdr:cNvPr>
        <xdr:cNvSpPr txBox="1"/>
      </xdr:nvSpPr>
      <xdr:spPr>
        <a:xfrm>
          <a:off x="13284200" y="31521400"/>
          <a:ext cx="12484100" cy="1148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REFERENCES</a:t>
          </a:r>
          <a:br>
            <a:rPr lang="en-US"/>
          </a:br>
          <a:endParaRPr lang="en-US"/>
        </a:p>
        <a:p>
          <a:r>
            <a:rPr lang="en-US"/>
            <a:t>3ie. (Several years). Evidence Gap Map on Agricultural Innovations for Food Security. International Initiative for Impact Evaluation (3ie). URL: https://www.3ieimpact.org/evidence-hub/publications/evidence-gap-maps</a:t>
          </a:r>
        </a:p>
        <a:p>
          <a:br>
            <a:rPr lang="en-US"/>
          </a:br>
          <a:endParaRPr lang="en-US"/>
        </a:p>
        <a:p>
          <a:r>
            <a:rPr lang="en-US"/>
            <a:t>Anderson, J.R., Feder, G. and Ganguly, S. (2006) The Rise and Fall of Training and Visit Extension: An Asian Mini-Drama with an African Epilogue. Policy Research Working Paper 3928, World Bank, Washington DC.</a:t>
          </a:r>
        </a:p>
        <a:p>
          <a:br>
            <a:rPr lang="en-US"/>
          </a:br>
          <a:endParaRPr lang="en-US"/>
        </a:p>
        <a:p>
          <a:r>
            <a:rPr lang="en-US"/>
            <a:t>CBD. (2020). Global Biodiversity Outlook 5. Secretariat of the Convention on Biological Diversity. URL: https://www.cbd.int/gbo/gbo5/publication/gbo-5-en.pdf</a:t>
          </a:r>
        </a:p>
        <a:p>
          <a:br>
            <a:rPr lang="en-US"/>
          </a:br>
          <a:endParaRPr lang="en-US"/>
        </a:p>
        <a:p>
          <a:r>
            <a:rPr lang="en-US"/>
            <a:t>CGIAR GENDER Impact Platform. 2023. From Research to Impact: Towards just and resilient agri-food systems. Conference report, New Delhi, India, 9-12 October 2023. Nairobi, Kenya: CGIAR GENDER Impact Platform. URL: https://hdl.handle.net/10568/138224</a:t>
          </a:r>
        </a:p>
        <a:p>
          <a:br>
            <a:rPr lang="en-US"/>
          </a:br>
          <a:endParaRPr lang="en-US"/>
        </a:p>
        <a:p>
          <a:r>
            <a:rPr lang="en-US"/>
            <a:t>CGIAR. (2023). A guiding framework to boost Science and Practice of scaling innovation and three new roles to drive it. CGIAR Initiatives. URL: https://www.cgiar.org/news-events/news/a-guiding-framework-to-boost-science-and-practice-of-scaling-innovation-and-three-new-roles/</a:t>
          </a:r>
        </a:p>
        <a:p>
          <a:br>
            <a:rPr lang="en-US"/>
          </a:br>
          <a:endParaRPr lang="en-US"/>
        </a:p>
        <a:p>
          <a:r>
            <a:rPr lang="en-US"/>
            <a:t>Davis, K., Babu, S. C., &amp; Ragasa, C. (2020). Agricultural extension: Global status and performance in selected countries. International Food Policy Research Institute. https://doi.org/10.2499/9780896293755</a:t>
          </a:r>
        </a:p>
        <a:p>
          <a:br>
            <a:rPr lang="en-US"/>
          </a:br>
          <a:endParaRPr lang="en-US"/>
        </a:p>
        <a:p>
          <a:r>
            <a:rPr lang="en-US"/>
            <a:t>Diao, X. et al. (2023). The Future of Small Farms: Innovations for Inclusive Transformation. In: von Braun, J., Afsana, K., Fresco, L.O., Hassan, M.H.A. (eds) Science and Innovations for Food Systems Transformation. Springer, Cham. https://doi.org/10.1007/978-3-031-15703-5_10</a:t>
          </a:r>
        </a:p>
        <a:p>
          <a:br>
            <a:rPr lang="en-US"/>
          </a:br>
          <a:endParaRPr lang="en-US"/>
        </a:p>
        <a:p>
          <a:r>
            <a:rPr lang="en-US"/>
            <a:t>Douthwaite, B., &amp; Hoffecker, E. (2017). Towards a complexity-aware theory of change for participatory research programs working within agricultural innovation systems. Agricultural Systems, 155, 88–102. https://doi.org/10.1016/j.agsy.2017.04.002</a:t>
          </a:r>
        </a:p>
        <a:p>
          <a:br>
            <a:rPr lang="en-US"/>
          </a:br>
          <a:endParaRPr lang="en-US"/>
        </a:p>
        <a:p>
          <a:r>
            <a:rPr lang="en-US"/>
            <a:t>FAO. &amp; WEF (2022). Transforming Food Systems: Pathways for Country-led Innovation. Food and Agriculture Organization of the United Nations. URL: https://openknowledge.fao.org/server/api/core/bitstreams/70c479a7-cdcb-40be-8fb2-e8ac9a4ce553/content</a:t>
          </a:r>
        </a:p>
        <a:p>
          <a:br>
            <a:rPr lang="en-US"/>
          </a:br>
          <a:endParaRPr lang="en-US"/>
        </a:p>
        <a:p>
          <a:r>
            <a:rPr lang="en-US"/>
            <a:t>FAO. (2021). The State of Food and Agriculture 2021: Making Agrifood Systems More Resilient to Shocks and Stresses. Food and Agriculture Organization of the United Nations. URL: https://openknowledge.fao.org/items/437c1215-556b-4161-9af6-68163f5a1f84</a:t>
          </a:r>
        </a:p>
        <a:p>
          <a:br>
            <a:rPr lang="en-US"/>
          </a:br>
          <a:endParaRPr lang="en-US"/>
        </a:p>
        <a:p>
          <a:r>
            <a:rPr lang="en-US"/>
            <a:t>FAO. (2022). The State of Food Security and Nutrition in the World 2022. Food and Agriculture Organization of the United Nations. URL: https://openknowledge.fao.org/server/api/core/bitstreams/67b1e9c7-1a7f-4dc6-a19e-f6472a4ea83a/content</a:t>
          </a:r>
        </a:p>
        <a:p>
          <a:br>
            <a:rPr lang="en-US"/>
          </a:br>
          <a:endParaRPr lang="en-US"/>
        </a:p>
        <a:p>
          <a:r>
            <a:rPr lang="en-US"/>
            <a:t>FAO. 2022. FAO Science and Innovation Strategy. Rome. URL: https://openknowledge.fao.org/server/api/core/bitstreams/e9d1ee6c-c0f1-4312-9a1a-c09ba0a4fbdc/content</a:t>
          </a:r>
        </a:p>
        <a:p>
          <a:br>
            <a:rPr lang="en-US"/>
          </a:br>
          <a:endParaRPr lang="en-US"/>
        </a:p>
        <a:p>
          <a:r>
            <a:rPr lang="en-US"/>
            <a:t>Gálvez, E. 2022. Scaling up inclusive innovation in agrifood chains in Asia and the Pacific. Bangkok, FAO. URL: https://doi.org/10.4060/cb8306en https://openknowledge.fao.org/server/api/core/bitstreams/ddd7ed6e-1633-4d81-b583-3030604446d5/content</a:t>
          </a:r>
        </a:p>
        <a:p>
          <a:br>
            <a:rPr lang="en-US"/>
          </a:br>
          <a:endParaRPr lang="en-US"/>
        </a:p>
        <a:p>
          <a:r>
            <a:rPr lang="en-US"/>
            <a:t>GEF. (2023). Innovative Finance for Nature and People: Opportunities and Challenges for Biodiversity-Positive Carbon Credits and Nature Certificates Global Environment Facility. URL: https://www.thegef.org/sites/default/files/documents/2023-03/GEF_IIED_Innovative_Finance_Nature_People_2023_03_1.pdf</a:t>
          </a:r>
        </a:p>
        <a:p>
          <a:br>
            <a:rPr lang="en-US"/>
          </a:br>
          <a:endParaRPr lang="en-US"/>
        </a:p>
        <a:p>
          <a:r>
            <a:rPr lang="en-US"/>
            <a:t>Glover, D., Sumberg, J., &amp; Andersson, J. A. (2016). The Adoption Problem; or Why We Still Understand so Little about Technological Change in African Agriculture. Outlook on Agriculture, 45(1), 3-6. https://doi.org/10.5367/oa.2016.0235</a:t>
          </a:r>
        </a:p>
        <a:p>
          <a:br>
            <a:rPr lang="en-US"/>
          </a:br>
          <a:endParaRPr lang="en-US"/>
        </a:p>
        <a:p>
          <a:r>
            <a:rPr lang="en-US"/>
            <a:t>Green Climate Fund. (2024). GCF: Catalysing finance for climate solutions. Green Climate Fund. URL: https://www.greenclimate.fund/sites/default/files/document/20240404-catalysing-finance-climate-solutions-web.pdf</a:t>
          </a:r>
        </a:p>
        <a:p>
          <a:br>
            <a:rPr lang="en-US"/>
          </a:br>
          <a:endParaRPr lang="en-US"/>
        </a:p>
        <a:p>
          <a:r>
            <a:rPr lang="en-US"/>
            <a:t>Herrero, M., Thornton, P. K., Mason-D’Croz, D., Palmer, J., Bodirsky, B. L., Pradhan, P., Barrett, C. B., et al. (2021). Articulating the effect of food systems innovation on the Sustainable Development Goals. The Lancet Planetary Health, 5(1), e50–e62. https://doi.org/10.1016/S2542-5196(20)30277-1</a:t>
          </a:r>
        </a:p>
        <a:p>
          <a:br>
            <a:rPr lang="en-US"/>
          </a:br>
          <a:endParaRPr lang="en-US"/>
        </a:p>
        <a:p>
          <a:r>
            <a:rPr lang="en-US"/>
            <a:t>HLPE. (2020). Food security and nutrition: Building a global narrative towards 2030. High Level Panel of Experts on Food Security and Nutrition of the Committee on World Food Security. URL: https://openknowledge.fao.org/server/api/core/bitstreams/8357b6eb-8010-4254-814a-1493faaf4a93/content</a:t>
          </a:r>
        </a:p>
        <a:p>
          <a:br>
            <a:rPr lang="en-US"/>
          </a:br>
          <a:endParaRPr lang="en-US"/>
        </a:p>
        <a:p>
          <a:r>
            <a:rPr lang="en-US"/>
            <a:t>IFAD. (2019). Creating opportunities for rural youth. International Fund for Agricultural Development. URL: https://www.ifad.org/documents/38714170/41190221/RDR2019_Overview_e_W.pdf/699560f2-d02e-16b8-4281-596d4c9be25a</a:t>
          </a:r>
        </a:p>
        <a:p>
          <a:br>
            <a:rPr lang="en-US"/>
          </a:br>
          <a:endParaRPr lang="en-US"/>
        </a:p>
        <a:p>
          <a:r>
            <a:rPr lang="en-US"/>
            <a:t>IFAD. (2021). IFAD South-South and Triangular Cooperation Strategy 2022-2027. International Fund for Agricultural Development. URL: https://www.ifad.org/documents/d/guest/ifad-sstc-strategy-2022-2027</a:t>
          </a:r>
        </a:p>
        <a:p>
          <a:br>
            <a:rPr lang="en-US"/>
          </a:br>
          <a:endParaRPr lang="en-US"/>
        </a:p>
        <a:p>
          <a:r>
            <a:rPr lang="en-US"/>
            <a:t>IFAD. (2022). Annual Report 2022. International Fund for Agricultural Development. URL: https://www.ifad.org/documents/d/new-ifad.org/ar2022_full_e-pdf</a:t>
          </a:r>
        </a:p>
        <a:p>
          <a:br>
            <a:rPr lang="en-US"/>
          </a:br>
          <a:endParaRPr lang="en-US"/>
        </a:p>
        <a:p>
          <a:r>
            <a:rPr lang="en-US"/>
            <a:t>IFPRI. (2023). Global food policy report 2023: Rethinking food crisis responses. Washington, DC: International Food Policy Research Institute (IFPRI). https://doi.org/10.2499/9780896294417</a:t>
          </a:r>
        </a:p>
        <a:p>
          <a:br>
            <a:rPr lang="en-US"/>
          </a:br>
          <a:endParaRPr lang="en-US"/>
        </a:p>
        <a:p>
          <a:r>
            <a:rPr lang="en-US"/>
            <a:t>IPBES (2019), Global assessment report of the Intergovernmental Science-Policy Platform on Biodiversity and Ecosystem Services, Brondízio, E. S., Settele, J., Díaz, S., Ngo, H. T. (eds). IPBES secretariat, Bonn, Germany. URL: https://www.ipbes.net/system/files/2021-06/2020%20IPBES%20GLOBAL%20REPORT(FIRST%20PART)_V3_SINGLE.pdf</a:t>
          </a:r>
        </a:p>
        <a:p>
          <a:br>
            <a:rPr lang="en-US"/>
          </a:br>
          <a:endParaRPr lang="en-US"/>
        </a:p>
        <a:p>
          <a:r>
            <a:rPr lang="en-US"/>
            <a:t>IPCC, 2022: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doi:10.1017/9781009325844</a:t>
          </a:r>
        </a:p>
        <a:p>
          <a:br>
            <a:rPr lang="en-US"/>
          </a:br>
          <a:endParaRPr lang="en-US"/>
        </a:p>
        <a:p>
          <a:r>
            <a:rPr lang="en-US"/>
            <a:t>OECD (2021), Making Better Policies for Food Systems, OECD Publishing, Paris, https://doi.org/10.1787/ddfba4de-en</a:t>
          </a:r>
        </a:p>
        <a:p>
          <a:br>
            <a:rPr lang="en-US"/>
          </a:br>
          <a:endParaRPr lang="en-US"/>
        </a:p>
        <a:p>
          <a:r>
            <a:rPr lang="en-US"/>
            <a:t>Rogers, S., Wilmsen, B., Han, X., Wang, Z. J.-H., Duan, Y., He, J., Li, J., Lin, W., &amp; Wong, C. (2021). Scaling up agriculture? The dynamics of land transfer in inland China. World Development, 146, 105563. https://doi.org/10.1016/j.worlddev.2021.105563</a:t>
          </a:r>
        </a:p>
        <a:p>
          <a:br>
            <a:rPr lang="en-US"/>
          </a:br>
          <a:endParaRPr lang="en-US"/>
        </a:p>
        <a:p>
          <a:r>
            <a:rPr lang="en-US"/>
            <a:t>Schut, M., Colomer, J., Proud, E., Bonaiuti, E., Dror, I., Kang’ethe, E., Esquivias, L., &amp; Leeuwis, C. (2024). Innovation portfolio management for responsible food systems transformation in the public sector: Lessons, results and recommendations from CGIAR. Agricultural Systems, 216, 103907. https://doi.org/10.1016/j.agsy.2023.103907</a:t>
          </a:r>
        </a:p>
        <a:p>
          <a:br>
            <a:rPr lang="en-US"/>
          </a:br>
          <a:endParaRPr lang="en-US"/>
        </a:p>
        <a:p>
          <a:r>
            <a:rPr lang="en-US"/>
            <a:t>UN Women. (2021). Beyond COVID-19: A Feminist Plan for Sustainability and Social Justice. UN Women. URL: https://www.unwomen.org/en/digital-library/publications/2021/09/beyond-covid-19-a-feminist-plan-for-sustainability-and-social-justice</a:t>
          </a:r>
        </a:p>
        <a:p>
          <a:br>
            <a:rPr lang="en-US"/>
          </a:br>
          <a:endParaRPr lang="en-US"/>
        </a:p>
        <a:p>
          <a:r>
            <a:rPr lang="en-US"/>
            <a:t>UNEP. (2021). Making Peace with Nature: A Scientific Blueprint to Tackle the Climate, Biodiversity and Pollution Emergencies. United Nations Environment Programme. URL: https://wedocs.unep.org/xmlui/bitstream/handle/20.500.11822/34948/MPN.pdf</a:t>
          </a:r>
        </a:p>
        <a:p>
          <a:br>
            <a:rPr lang="en-US"/>
          </a:br>
          <a:endParaRPr lang="en-US"/>
        </a:p>
        <a:p>
          <a:r>
            <a:rPr lang="en-US"/>
            <a:t>UNESCAP. (2023). Economic and Social Survey of Asia and the Pacific 2023: Rethinking Public Debt for the Sustainable Development Goals. URL: https://repository.unescap.org/server/api/core/bitstreams/0d97f898-1879-4514-8978-b585805f419f/content</a:t>
          </a:r>
        </a:p>
        <a:p>
          <a:br>
            <a:rPr lang="en-US"/>
          </a:br>
          <a:endParaRPr lang="en-US"/>
        </a:p>
        <a:p>
          <a:r>
            <a:rPr lang="en-US"/>
            <a:t>UNFCCC. (2022). Nairobi Work Programme on Impacts, Vulnerability and Adaptation to Climate Change. United Nations Framework Convention on Climate Change. URL: https://unfccc.int/sites/default/files/resource/DT.DC_.SBSTA60.i5c.1.pdf</a:t>
          </a:r>
        </a:p>
        <a:p>
          <a:br>
            <a:rPr lang="en-US"/>
          </a:br>
          <a:endParaRPr lang="en-US"/>
        </a:p>
        <a:p>
          <a:r>
            <a:rPr lang="en-US"/>
            <a:t>van Rijn, F. C., Bulte, E. H., &amp; Adekunle, A. (2012). Social capital and agricultural innovation in Sub-Saharan Africa. Agricultural Systems, 108, 112–122. https://doi.org/10.1016/j.agsy.2011.12.003</a:t>
          </a:r>
        </a:p>
        <a:p>
          <a:br>
            <a:rPr lang="en-US"/>
          </a:br>
          <a:endParaRPr lang="en-US"/>
        </a:p>
        <a:p>
          <a:r>
            <a:rPr lang="en-US"/>
            <a:t>Wigboldus, S., Klerkx, L., Leeuwis, C., Schut, M., Muilerman, S., &amp; Jochemsen, H. (2016). Systemic perspectives on scaling agricultural innovations: A review. Agronomy for Sustainable Development, 36(1), 1–20. https://doi.org/10.1007/s13593-016-0380-z</a:t>
          </a:r>
        </a:p>
        <a:p>
          <a:br>
            <a:rPr lang="en-US"/>
          </a:br>
          <a:endParaRPr lang="en-US"/>
        </a:p>
        <a:p>
          <a:r>
            <a:rPr lang="en-US"/>
            <a:t>WMO. (2022). State of the Climate in Africa 2021. World Meteorological Organization. URL: https://library.wmo.int/records/item/58070-state-of-the-climate-in-africa-2021#.Y8a3SOzMLjA</a:t>
          </a:r>
        </a:p>
        <a:p>
          <a:br>
            <a:rPr lang="en-US"/>
          </a:br>
          <a:endParaRPr lang="en-US"/>
        </a:p>
        <a:p>
          <a:r>
            <a:rPr lang="en-US"/>
            <a:t>Woltering, L., Fehlenberg, K., Gerard, B., Ubels, J., &amp; Cooley, L. (2019). Scaling – from “reaching many” to sustainable systems change at scale: A critical shift in mindset. Agricultural Systems, 176, 102652. https://doi.org/10.1016/j.agsy.2019.102652</a:t>
          </a:r>
        </a:p>
        <a:p>
          <a:br>
            <a:rPr lang="en-US"/>
          </a:br>
          <a:endParaRPr lang="en-US"/>
        </a:p>
        <a:p>
          <a:r>
            <a:rPr lang="en-US"/>
            <a:t>World Bank. (2020). Harvesting Prosperity: Technology and Productivity Growth in Agriculture. World Bank Group. URL: https://openknowledge.worldbank.org/entities/publication/acb134b2-3b82-5ccf-87a0-d6882a53d92e</a:t>
          </a:r>
        </a:p>
        <a:p>
          <a:br>
            <a:rPr lang="en-US"/>
          </a:br>
          <a:endParaRPr lang="en-US"/>
        </a:p>
        <a:p>
          <a:r>
            <a:rPr lang="en-US"/>
            <a:t>World Bank. (2024). Repurposing Agricultural Support Policies for Sustainable Food Systems -Toolkit. World Bank Group. URL: https://openknowledge.worldbank.org/entities/publication/ff426289-0d6d</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26</xdr:row>
      <xdr:rowOff>0</xdr:rowOff>
    </xdr:from>
    <xdr:to>
      <xdr:col>16</xdr:col>
      <xdr:colOff>12700</xdr:colOff>
      <xdr:row>86</xdr:row>
      <xdr:rowOff>50800</xdr:rowOff>
    </xdr:to>
    <xdr:sp macro="" textlink="">
      <xdr:nvSpPr>
        <xdr:cNvPr id="2" name="TextBox 1">
          <a:extLst>
            <a:ext uri="{FF2B5EF4-FFF2-40B4-BE49-F238E27FC236}">
              <a16:creationId xmlns:a16="http://schemas.microsoft.com/office/drawing/2014/main" id="{11D9D163-CCD1-5045-BEAA-6082C3969C32}"/>
            </a:ext>
          </a:extLst>
        </xdr:cNvPr>
        <xdr:cNvSpPr txBox="1"/>
      </xdr:nvSpPr>
      <xdr:spPr>
        <a:xfrm>
          <a:off x="12153900" y="29565600"/>
          <a:ext cx="12801600" cy="1148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REFERENCES</a:t>
          </a:r>
          <a:br>
            <a:rPr lang="en-US"/>
          </a:br>
          <a:endParaRPr lang="en-US"/>
        </a:p>
        <a:p>
          <a:r>
            <a:rPr lang="en-US"/>
            <a:t>3ie. (Several years). Evidence Gap Map on Agricultural Innovations for Food Security. International Initiative for Impact Evaluation (3ie). URL: https://www.3ieimpact.org/evidence-hub/publications/evidence-gap-maps</a:t>
          </a:r>
        </a:p>
        <a:p>
          <a:br>
            <a:rPr lang="en-US"/>
          </a:br>
          <a:endParaRPr lang="en-US"/>
        </a:p>
        <a:p>
          <a:r>
            <a:rPr lang="en-US"/>
            <a:t>Anderson, J.R., Feder, G. and Ganguly, S. (2006) The Rise and Fall of Training and Visit Extension: An Asian Mini-Drama with an African Epilogue. Policy Research Working Paper 3928, World Bank, Washington DC.</a:t>
          </a:r>
        </a:p>
        <a:p>
          <a:br>
            <a:rPr lang="en-US"/>
          </a:br>
          <a:endParaRPr lang="en-US"/>
        </a:p>
        <a:p>
          <a:r>
            <a:rPr lang="en-US"/>
            <a:t>CBD. (2020). Global Biodiversity Outlook 5. Secretariat of the Convention on Biological Diversity. URL: https://www.cbd.int/gbo/gbo5/publication/gbo-5-en.pdf</a:t>
          </a:r>
        </a:p>
        <a:p>
          <a:br>
            <a:rPr lang="en-US"/>
          </a:br>
          <a:endParaRPr lang="en-US"/>
        </a:p>
        <a:p>
          <a:r>
            <a:rPr lang="en-US"/>
            <a:t>CGIAR GENDER Impact Platform. 2023. From Research to Impact: Towards just and resilient agri-food systems. Conference report, New Delhi, India, 9-12 October 2023. Nairobi, Kenya: CGIAR GENDER Impact Platform. URL: https://hdl.handle.net/10568/138224</a:t>
          </a:r>
        </a:p>
        <a:p>
          <a:br>
            <a:rPr lang="en-US"/>
          </a:br>
          <a:endParaRPr lang="en-US"/>
        </a:p>
        <a:p>
          <a:r>
            <a:rPr lang="en-US"/>
            <a:t>CGIAR. (2023). A guiding framework to boost Science and Practice of scaling innovation and three new roles to drive it. CGIAR Initiatives. URL: https://www.cgiar.org/news-events/news/a-guiding-framework-to-boost-science-and-practice-of-scaling-innovation-and-three-new-roles/</a:t>
          </a:r>
        </a:p>
        <a:p>
          <a:br>
            <a:rPr lang="en-US"/>
          </a:br>
          <a:endParaRPr lang="en-US"/>
        </a:p>
        <a:p>
          <a:r>
            <a:rPr lang="en-US"/>
            <a:t>Davis, K., Babu, S. C., &amp; Ragasa, C. (2020). Agricultural extension: Global status and performance in selected countries. International Food Policy Research Institute. https://doi.org/10.2499/9780896293755</a:t>
          </a:r>
        </a:p>
        <a:p>
          <a:br>
            <a:rPr lang="en-US"/>
          </a:br>
          <a:endParaRPr lang="en-US"/>
        </a:p>
        <a:p>
          <a:r>
            <a:rPr lang="en-US"/>
            <a:t>Diao, X. et al. (2023). The Future of Small Farms: Innovations for Inclusive Transformation. In: von Braun, J., Afsana, K., Fresco, L.O., Hassan, M.H.A. (eds) Science and Innovations for Food Systems Transformation. Springer, Cham. https://doi.org/10.1007/978-3-031-15703-5_10</a:t>
          </a:r>
        </a:p>
        <a:p>
          <a:br>
            <a:rPr lang="en-US"/>
          </a:br>
          <a:endParaRPr lang="en-US"/>
        </a:p>
        <a:p>
          <a:r>
            <a:rPr lang="en-US"/>
            <a:t>Douthwaite, B., &amp; Hoffecker, E. (2017). Towards a complexity-aware theory of change for participatory research programs working within agricultural innovation systems. Agricultural Systems, 155, 88–102. https://doi.org/10.1016/j.agsy.2017.04.002</a:t>
          </a:r>
        </a:p>
        <a:p>
          <a:br>
            <a:rPr lang="en-US"/>
          </a:br>
          <a:endParaRPr lang="en-US"/>
        </a:p>
        <a:p>
          <a:r>
            <a:rPr lang="en-US"/>
            <a:t>FAO. &amp; WEF (2022). Transforming Food Systems: Pathways for Country-led Innovation. Food and Agriculture Organization of the United Nations. URL: https://openknowledge.fao.org/server/api/core/bitstreams/70c479a7-cdcb-40be-8fb2-e8ac9a4ce553/content</a:t>
          </a:r>
        </a:p>
        <a:p>
          <a:br>
            <a:rPr lang="en-US"/>
          </a:br>
          <a:endParaRPr lang="en-US"/>
        </a:p>
        <a:p>
          <a:r>
            <a:rPr lang="en-US"/>
            <a:t>FAO. (2021). The State of Food and Agriculture 2021: Making Agrifood Systems More Resilient to Shocks and Stresses. Food and Agriculture Organization of the United Nations. URL: https://openknowledge.fao.org/items/437c1215-556b-4161-9af6-68163f5a1f84</a:t>
          </a:r>
        </a:p>
        <a:p>
          <a:br>
            <a:rPr lang="en-US"/>
          </a:br>
          <a:endParaRPr lang="en-US"/>
        </a:p>
        <a:p>
          <a:r>
            <a:rPr lang="en-US"/>
            <a:t>FAO. (2022). The State of Food Security and Nutrition in the World 2022. Food and Agriculture Organization of the United Nations. URL: https://openknowledge.fao.org/server/api/core/bitstreams/67b1e9c7-1a7f-4dc6-a19e-f6472a4ea83a/content</a:t>
          </a:r>
        </a:p>
        <a:p>
          <a:br>
            <a:rPr lang="en-US"/>
          </a:br>
          <a:endParaRPr lang="en-US"/>
        </a:p>
        <a:p>
          <a:r>
            <a:rPr lang="en-US"/>
            <a:t>FAO. 2022. FAO Science and Innovation Strategy. Rome. URL: https://openknowledge.fao.org/server/api/core/bitstreams/e9d1ee6c-c0f1-4312-9a1a-c09ba0a4fbdc/content</a:t>
          </a:r>
        </a:p>
        <a:p>
          <a:br>
            <a:rPr lang="en-US"/>
          </a:br>
          <a:endParaRPr lang="en-US"/>
        </a:p>
        <a:p>
          <a:r>
            <a:rPr lang="en-US"/>
            <a:t>Gálvez, E. 2022. Scaling up inclusive innovation in agrifood chains in Asia and the Pacific. Bangkok, FAO. URL: https://doi.org/10.4060/cb8306en https://openknowledge.fao.org/server/api/core/bitstreams/ddd7ed6e-1633-4d81-b583-3030604446d5/content</a:t>
          </a:r>
        </a:p>
        <a:p>
          <a:br>
            <a:rPr lang="en-US"/>
          </a:br>
          <a:endParaRPr lang="en-US"/>
        </a:p>
        <a:p>
          <a:r>
            <a:rPr lang="en-US"/>
            <a:t>GEF. (2023). Innovative Finance for Nature and People: Opportunities and Challenges for Biodiversity-Positive Carbon Credits and Nature Certificates Global Environment Facility. URL: https://www.thegef.org/sites/default/files/documents/2023-03/GEF_IIED_Innovative_Finance_Nature_People_2023_03_1.pdf</a:t>
          </a:r>
        </a:p>
        <a:p>
          <a:br>
            <a:rPr lang="en-US"/>
          </a:br>
          <a:endParaRPr lang="en-US"/>
        </a:p>
        <a:p>
          <a:r>
            <a:rPr lang="en-US"/>
            <a:t>Glover, D., Sumberg, J., &amp; Andersson, J. A. (2016). The Adoption Problem; or Why We Still Understand so Little about Technological Change in African Agriculture. Outlook on Agriculture, 45(1), 3-6. https://doi.org/10.5367/oa.2016.0235</a:t>
          </a:r>
        </a:p>
        <a:p>
          <a:br>
            <a:rPr lang="en-US"/>
          </a:br>
          <a:endParaRPr lang="en-US"/>
        </a:p>
        <a:p>
          <a:r>
            <a:rPr lang="en-US"/>
            <a:t>Green Climate Fund. (2024). GCF: Catalysing finance for climate solutions. Green Climate Fund. URL: https://www.greenclimate.fund/sites/default/files/document/20240404-catalysing-finance-climate-solutions-web.pdf</a:t>
          </a:r>
        </a:p>
        <a:p>
          <a:br>
            <a:rPr lang="en-US"/>
          </a:br>
          <a:endParaRPr lang="en-US"/>
        </a:p>
        <a:p>
          <a:r>
            <a:rPr lang="en-US"/>
            <a:t>Herrero, M., Thornton, P. K., Mason-D’Croz, D., Palmer, J., Bodirsky, B. L., Pradhan, P., Barrett, C. B., et al. (2021). Articulating the effect of food systems innovation on the Sustainable Development Goals. The Lancet Planetary Health, 5(1), e50–e62. https://doi.org/10.1016/S2542-5196(20)30277-1</a:t>
          </a:r>
        </a:p>
        <a:p>
          <a:br>
            <a:rPr lang="en-US"/>
          </a:br>
          <a:endParaRPr lang="en-US"/>
        </a:p>
        <a:p>
          <a:r>
            <a:rPr lang="en-US"/>
            <a:t>HLPE. (2020). Food security and nutrition: Building a global narrative towards 2030. High Level Panel of Experts on Food Security and Nutrition of the Committee on World Food Security. URL: https://openknowledge.fao.org/server/api/core/bitstreams/8357b6eb-8010-4254-814a-1493faaf4a93/content</a:t>
          </a:r>
        </a:p>
        <a:p>
          <a:br>
            <a:rPr lang="en-US"/>
          </a:br>
          <a:endParaRPr lang="en-US"/>
        </a:p>
        <a:p>
          <a:r>
            <a:rPr lang="en-US"/>
            <a:t>IFAD. (2019). Creating opportunities for rural youth. International Fund for Agricultural Development. URL: https://www.ifad.org/documents/38714170/41190221/RDR2019_Overview_e_W.pdf/699560f2-d02e-16b8-4281-596d4c9be25a</a:t>
          </a:r>
        </a:p>
        <a:p>
          <a:br>
            <a:rPr lang="en-US"/>
          </a:br>
          <a:endParaRPr lang="en-US"/>
        </a:p>
        <a:p>
          <a:r>
            <a:rPr lang="en-US"/>
            <a:t>IFAD. (2021). IFAD South-South and Triangular Cooperation Strategy 2022-2027. International Fund for Agricultural Development. URL: https://www.ifad.org/documents/d/guest/ifad-sstc-strategy-2022-2027</a:t>
          </a:r>
        </a:p>
        <a:p>
          <a:br>
            <a:rPr lang="en-US"/>
          </a:br>
          <a:endParaRPr lang="en-US"/>
        </a:p>
        <a:p>
          <a:r>
            <a:rPr lang="en-US"/>
            <a:t>IFAD. (2022). Annual Report 2022. International Fund for Agricultural Development. URL: https://www.ifad.org/documents/d/new-ifad.org/ar2022_full_e-pdf</a:t>
          </a:r>
        </a:p>
        <a:p>
          <a:br>
            <a:rPr lang="en-US"/>
          </a:br>
          <a:endParaRPr lang="en-US"/>
        </a:p>
        <a:p>
          <a:r>
            <a:rPr lang="en-US"/>
            <a:t>IFPRI. (2023). Global food policy report 2023: Rethinking food crisis responses. Washington, DC: International Food Policy Research Institute (IFPRI). https://doi.org/10.2499/9780896294417</a:t>
          </a:r>
        </a:p>
        <a:p>
          <a:br>
            <a:rPr lang="en-US"/>
          </a:br>
          <a:endParaRPr lang="en-US"/>
        </a:p>
        <a:p>
          <a:r>
            <a:rPr lang="en-US"/>
            <a:t>IPBES (2019), Global assessment report of the Intergovernmental Science-Policy Platform on Biodiversity and Ecosystem Services, Brondízio, E. S., Settele, J., Díaz, S., Ngo, H. T. (eds). IPBES secretariat, Bonn, Germany. URL: https://www.ipbes.net/system/files/2021-06/2020%20IPBES%20GLOBAL%20REPORT(FIRST%20PART)_V3_SINGLE.pdf</a:t>
          </a:r>
        </a:p>
        <a:p>
          <a:br>
            <a:rPr lang="en-US"/>
          </a:br>
          <a:endParaRPr lang="en-US"/>
        </a:p>
        <a:p>
          <a:r>
            <a:rPr lang="en-US"/>
            <a:t>IPCC, 2022: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doi:10.1017/9781009325844</a:t>
          </a:r>
        </a:p>
        <a:p>
          <a:br>
            <a:rPr lang="en-US"/>
          </a:br>
          <a:endParaRPr lang="en-US"/>
        </a:p>
        <a:p>
          <a:r>
            <a:rPr lang="en-US"/>
            <a:t>OECD (2021), Making Better Policies for Food Systems, OECD Publishing, Paris, https://doi.org/10.1787/ddfba4de-en</a:t>
          </a:r>
        </a:p>
        <a:p>
          <a:br>
            <a:rPr lang="en-US"/>
          </a:br>
          <a:endParaRPr lang="en-US"/>
        </a:p>
        <a:p>
          <a:r>
            <a:rPr lang="en-US"/>
            <a:t>Rogers, S., Wilmsen, B., Han, X., Wang, Z. J.-H., Duan, Y., He, J., Li, J., Lin, W., &amp; Wong, C. (2021). Scaling up agriculture? The dynamics of land transfer in inland China. World Development, 146, 105563. https://doi.org/10.1016/j.worlddev.2021.105563</a:t>
          </a:r>
        </a:p>
        <a:p>
          <a:br>
            <a:rPr lang="en-US"/>
          </a:br>
          <a:endParaRPr lang="en-US"/>
        </a:p>
        <a:p>
          <a:r>
            <a:rPr lang="en-US"/>
            <a:t>Schut, M., Colomer, J., Proud, E., Bonaiuti, E., Dror, I., Kang’ethe, E., Esquivias, L., &amp; Leeuwis, C. (2024). Innovation portfolio management for responsible food systems transformation in the public sector: Lessons, results and recommendations from CGIAR. Agricultural Systems, 216, 103907. https://doi.org/10.1016/j.agsy.2023.103907</a:t>
          </a:r>
        </a:p>
        <a:p>
          <a:br>
            <a:rPr lang="en-US"/>
          </a:br>
          <a:endParaRPr lang="en-US"/>
        </a:p>
        <a:p>
          <a:r>
            <a:rPr lang="en-US"/>
            <a:t>UN Women. (2021). Beyond COVID-19: A Feminist Plan for Sustainability and Social Justice. UN Women. URL: https://www.unwomen.org/en/digital-library/publications/2021/09/beyond-covid-19-a-feminist-plan-for-sustainability-and-social-justice</a:t>
          </a:r>
        </a:p>
        <a:p>
          <a:br>
            <a:rPr lang="en-US"/>
          </a:br>
          <a:endParaRPr lang="en-US"/>
        </a:p>
        <a:p>
          <a:r>
            <a:rPr lang="en-US"/>
            <a:t>UNEP. (2021). Making Peace with Nature: A Scientific Blueprint to Tackle the Climate, Biodiversity and Pollution Emergencies. United Nations Environment Programme. URL: https://wedocs.unep.org/xmlui/bitstream/handle/20.500.11822/34948/MPN.pdf</a:t>
          </a:r>
        </a:p>
        <a:p>
          <a:br>
            <a:rPr lang="en-US"/>
          </a:br>
          <a:endParaRPr lang="en-US"/>
        </a:p>
        <a:p>
          <a:r>
            <a:rPr lang="en-US"/>
            <a:t>UNESCAP. (2023). Economic and Social Survey of Asia and the Pacific 2023: Rethinking Public Debt for the Sustainable Development Goals. URL: https://repository.unescap.org/server/api/core/bitstreams/0d97f898-1879-4514-8978-b585805f419f/content</a:t>
          </a:r>
        </a:p>
        <a:p>
          <a:br>
            <a:rPr lang="en-US"/>
          </a:br>
          <a:endParaRPr lang="en-US"/>
        </a:p>
        <a:p>
          <a:r>
            <a:rPr lang="en-US"/>
            <a:t>UNFCCC. (2022). Nairobi Work Programme on Impacts, Vulnerability and Adaptation to Climate Change. United Nations Framework Convention on Climate Change. URL: https://unfccc.int/sites/default/files/resource/DT.DC_.SBSTA60.i5c.1.pdf</a:t>
          </a:r>
        </a:p>
        <a:p>
          <a:br>
            <a:rPr lang="en-US"/>
          </a:br>
          <a:endParaRPr lang="en-US"/>
        </a:p>
        <a:p>
          <a:r>
            <a:rPr lang="en-US"/>
            <a:t>van Rijn, F. C., Bulte, E. H., &amp; Adekunle, A. (2012). Social capital and agricultural innovation in Sub-Saharan Africa. Agricultural Systems, 108, 112–122. https://doi.org/10.1016/j.agsy.2011.12.003</a:t>
          </a:r>
        </a:p>
        <a:p>
          <a:br>
            <a:rPr lang="en-US"/>
          </a:br>
          <a:endParaRPr lang="en-US"/>
        </a:p>
        <a:p>
          <a:r>
            <a:rPr lang="en-US"/>
            <a:t>Wigboldus, S., Klerkx, L., Leeuwis, C., Schut, M., Muilerman, S., &amp; Jochemsen, H. (2016). Systemic perspectives on scaling agricultural innovations: A review. Agronomy for Sustainable Development, 36(1), 1–20. https://doi.org/10.1007/s13593-016-0380-z</a:t>
          </a:r>
        </a:p>
        <a:p>
          <a:br>
            <a:rPr lang="en-US"/>
          </a:br>
          <a:endParaRPr lang="en-US"/>
        </a:p>
        <a:p>
          <a:r>
            <a:rPr lang="en-US"/>
            <a:t>WMO. (2022). State of the Climate in Africa 2021. World Meteorological Organization. URL: https://library.wmo.int/records/item/58070-state-of-the-climate-in-africa-2021#.Y8a3SOzMLjA</a:t>
          </a:r>
        </a:p>
        <a:p>
          <a:br>
            <a:rPr lang="en-US"/>
          </a:br>
          <a:endParaRPr lang="en-US"/>
        </a:p>
        <a:p>
          <a:r>
            <a:rPr lang="en-US"/>
            <a:t>Woltering, L., Fehlenberg, K., Gerard, B., Ubels, J., &amp; Cooley, L. (2019). Scaling – from “reaching many” to sustainable systems change at scale: A critical shift in mindset. Agricultural Systems, 176, 102652. https://doi.org/10.1016/j.agsy.2019.102652</a:t>
          </a:r>
        </a:p>
        <a:p>
          <a:br>
            <a:rPr lang="en-US"/>
          </a:br>
          <a:endParaRPr lang="en-US"/>
        </a:p>
        <a:p>
          <a:r>
            <a:rPr lang="en-US"/>
            <a:t>World Bank. (2020). Harvesting Prosperity: Technology and Productivity Growth in Agriculture. World Bank Group. URL: https://openknowledge.worldbank.org/entities/publication/acb134b2-3b82-5ccf-87a0-d6882a53d92e</a:t>
          </a:r>
        </a:p>
        <a:p>
          <a:br>
            <a:rPr lang="en-US"/>
          </a:br>
          <a:endParaRPr lang="en-US"/>
        </a:p>
        <a:p>
          <a:r>
            <a:rPr lang="en-US"/>
            <a:t>World Bank. (2024). Repurposing Agricultural Support Policies for Sustainable Food Systems -Toolkit. World Bank Group. URL: https://openknowledge.worldbank.org/entities/publication/ff426289-0d6d</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27</xdr:row>
      <xdr:rowOff>0</xdr:rowOff>
    </xdr:from>
    <xdr:to>
      <xdr:col>15</xdr:col>
      <xdr:colOff>1943100</xdr:colOff>
      <xdr:row>87</xdr:row>
      <xdr:rowOff>50800</xdr:rowOff>
    </xdr:to>
    <xdr:sp macro="" textlink="">
      <xdr:nvSpPr>
        <xdr:cNvPr id="2" name="TextBox 1">
          <a:extLst>
            <a:ext uri="{FF2B5EF4-FFF2-40B4-BE49-F238E27FC236}">
              <a16:creationId xmlns:a16="http://schemas.microsoft.com/office/drawing/2014/main" id="{1EC6CA66-9C97-3B4A-863B-65D7B49800E0}"/>
            </a:ext>
          </a:extLst>
        </xdr:cNvPr>
        <xdr:cNvSpPr txBox="1"/>
      </xdr:nvSpPr>
      <xdr:spPr>
        <a:xfrm>
          <a:off x="12141200" y="24498300"/>
          <a:ext cx="13436600" cy="1148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REFERENCES</a:t>
          </a:r>
          <a:br>
            <a:rPr lang="en-US"/>
          </a:br>
          <a:endParaRPr lang="en-US"/>
        </a:p>
        <a:p>
          <a:r>
            <a:rPr lang="en-US"/>
            <a:t>3ie. (Several years). Evidence Gap Map on Agricultural Innovations for Food Security. International Initiative for Impact Evaluation (3ie). URL: https://www.3ieimpact.org/evidence-hub/publications/evidence-gap-maps</a:t>
          </a:r>
        </a:p>
        <a:p>
          <a:br>
            <a:rPr lang="en-US"/>
          </a:br>
          <a:endParaRPr lang="en-US"/>
        </a:p>
        <a:p>
          <a:r>
            <a:rPr lang="en-US"/>
            <a:t>Anderson, J.R., Feder, G. and Ganguly, S. (2006) The Rise and Fall of Training and Visit Extension: An Asian Mini-Drama with an African Epilogue. Policy Research Working Paper 3928, World Bank, Washington DC.</a:t>
          </a:r>
        </a:p>
        <a:p>
          <a:br>
            <a:rPr lang="en-US"/>
          </a:br>
          <a:endParaRPr lang="en-US"/>
        </a:p>
        <a:p>
          <a:r>
            <a:rPr lang="en-US"/>
            <a:t>CBD. (2020). Global Biodiversity Outlook 5. Secretariat of the Convention on Biological Diversity. URL: https://www.cbd.int/gbo/gbo5/publication/gbo-5-en.pdf</a:t>
          </a:r>
        </a:p>
        <a:p>
          <a:br>
            <a:rPr lang="en-US"/>
          </a:br>
          <a:endParaRPr lang="en-US"/>
        </a:p>
        <a:p>
          <a:r>
            <a:rPr lang="en-US"/>
            <a:t>CGIAR GENDER Impact Platform. 2023. From Research to Impact: Towards just and resilient agri-food systems. Conference report, New Delhi, India, 9-12 October 2023. Nairobi, Kenya: CGIAR GENDER Impact Platform. URL: https://hdl.handle.net/10568/138224</a:t>
          </a:r>
        </a:p>
        <a:p>
          <a:br>
            <a:rPr lang="en-US"/>
          </a:br>
          <a:endParaRPr lang="en-US"/>
        </a:p>
        <a:p>
          <a:r>
            <a:rPr lang="en-US"/>
            <a:t>CGIAR. (2023). A guiding framework to boost Science and Practice of scaling innovation and three new roles to drive it. CGIAR Initiatives. URL: https://www.cgiar.org/news-events/news/a-guiding-framework-to-boost-science-and-practice-of-scaling-innovation-and-three-new-roles/</a:t>
          </a:r>
        </a:p>
        <a:p>
          <a:br>
            <a:rPr lang="en-US"/>
          </a:br>
          <a:endParaRPr lang="en-US"/>
        </a:p>
        <a:p>
          <a:r>
            <a:rPr lang="en-US"/>
            <a:t>Davis, K., Babu, S. C., &amp; Ragasa, C. (2020). Agricultural extension: Global status and performance in selected countries. International Food Policy Research Institute. https://doi.org/10.2499/9780896293755</a:t>
          </a:r>
        </a:p>
        <a:p>
          <a:br>
            <a:rPr lang="en-US"/>
          </a:br>
          <a:endParaRPr lang="en-US"/>
        </a:p>
        <a:p>
          <a:r>
            <a:rPr lang="en-US"/>
            <a:t>Diao, X. et al. (2023). The Future of Small Farms: Innovations for Inclusive Transformation. In: von Braun, J., Afsana, K., Fresco, L.O., Hassan, M.H.A. (eds) Science and Innovations for Food Systems Transformation. Springer, Cham. https://doi.org/10.1007/978-3-031-15703-5_10</a:t>
          </a:r>
        </a:p>
        <a:p>
          <a:br>
            <a:rPr lang="en-US"/>
          </a:br>
          <a:endParaRPr lang="en-US"/>
        </a:p>
        <a:p>
          <a:r>
            <a:rPr lang="en-US"/>
            <a:t>Douthwaite, B., &amp; Hoffecker, E. (2017). Towards a complexity-aware theory of change for participatory research programs working within agricultural innovation systems. Agricultural Systems, 155, 88–102. https://doi.org/10.1016/j.agsy.2017.04.002</a:t>
          </a:r>
        </a:p>
        <a:p>
          <a:br>
            <a:rPr lang="en-US"/>
          </a:br>
          <a:endParaRPr lang="en-US"/>
        </a:p>
        <a:p>
          <a:r>
            <a:rPr lang="en-US"/>
            <a:t>FAO. &amp; WEF (2022). Transforming Food Systems: Pathways for Country-led Innovation. Food and Agriculture Organization of the United Nations. URL: https://openknowledge.fao.org/server/api/core/bitstreams/70c479a7-cdcb-40be-8fb2-e8ac9a4ce553/content</a:t>
          </a:r>
        </a:p>
        <a:p>
          <a:br>
            <a:rPr lang="en-US"/>
          </a:br>
          <a:endParaRPr lang="en-US"/>
        </a:p>
        <a:p>
          <a:r>
            <a:rPr lang="en-US"/>
            <a:t>FAO. (2021). The State of Food and Agriculture 2021: Making Agrifood Systems More Resilient to Shocks and Stresses. Food and Agriculture Organization of the United Nations. URL: https://openknowledge.fao.org/items/437c1215-556b-4161-9af6-68163f5a1f84</a:t>
          </a:r>
        </a:p>
        <a:p>
          <a:br>
            <a:rPr lang="en-US"/>
          </a:br>
          <a:endParaRPr lang="en-US"/>
        </a:p>
        <a:p>
          <a:r>
            <a:rPr lang="en-US"/>
            <a:t>FAO. (2022). The State of Food Security and Nutrition in the World 2022. Food and Agriculture Organization of the United Nations. URL: https://openknowledge.fao.org/server/api/core/bitstreams/67b1e9c7-1a7f-4dc6-a19e-f6472a4ea83a/content</a:t>
          </a:r>
        </a:p>
        <a:p>
          <a:br>
            <a:rPr lang="en-US"/>
          </a:br>
          <a:endParaRPr lang="en-US"/>
        </a:p>
        <a:p>
          <a:r>
            <a:rPr lang="en-US"/>
            <a:t>FAO. 2022. FAO Science and Innovation Strategy. Rome. URL: https://openknowledge.fao.org/server/api/core/bitstreams/e9d1ee6c-c0f1-4312-9a1a-c09ba0a4fbdc/content</a:t>
          </a:r>
        </a:p>
        <a:p>
          <a:br>
            <a:rPr lang="en-US"/>
          </a:br>
          <a:endParaRPr lang="en-US"/>
        </a:p>
        <a:p>
          <a:r>
            <a:rPr lang="en-US"/>
            <a:t>Gálvez, E. 2022. Scaling up inclusive innovation in agrifood chains in Asia and the Pacific. Bangkok, FAO. URL: https://doi.org/10.4060/cb8306en https://openknowledge.fao.org/server/api/core/bitstreams/ddd7ed6e-1633-4d81-b583-3030604446d5/content</a:t>
          </a:r>
        </a:p>
        <a:p>
          <a:br>
            <a:rPr lang="en-US"/>
          </a:br>
          <a:endParaRPr lang="en-US"/>
        </a:p>
        <a:p>
          <a:r>
            <a:rPr lang="en-US"/>
            <a:t>GEF. (2023). Innovative Finance for Nature and People: Opportunities and Challenges for Biodiversity-Positive Carbon Credits and Nature Certificates Global Environment Facility. URL: https://www.thegef.org/sites/default/files/documents/2023-03/GEF_IIED_Innovative_Finance_Nature_People_2023_03_1.pdf</a:t>
          </a:r>
        </a:p>
        <a:p>
          <a:br>
            <a:rPr lang="en-US"/>
          </a:br>
          <a:endParaRPr lang="en-US"/>
        </a:p>
        <a:p>
          <a:r>
            <a:rPr lang="en-US"/>
            <a:t>Glover, D., Sumberg, J., &amp; Andersson, J. A. (2016). The Adoption Problem; or Why We Still Understand so Little about Technological Change in African Agriculture. Outlook on Agriculture, 45(1), 3-6. https://doi.org/10.5367/oa.2016.0235</a:t>
          </a:r>
        </a:p>
        <a:p>
          <a:br>
            <a:rPr lang="en-US"/>
          </a:br>
          <a:endParaRPr lang="en-US"/>
        </a:p>
        <a:p>
          <a:r>
            <a:rPr lang="en-US"/>
            <a:t>Green Climate Fund. (2024). GCF: Catalysing finance for climate solutions. Green Climate Fund. URL: https://www.greenclimate.fund/sites/default/files/document/20240404-catalysing-finance-climate-solutions-web.pdf</a:t>
          </a:r>
        </a:p>
        <a:p>
          <a:br>
            <a:rPr lang="en-US"/>
          </a:br>
          <a:endParaRPr lang="en-US"/>
        </a:p>
        <a:p>
          <a:r>
            <a:rPr lang="en-US"/>
            <a:t>Herrero, M., Thornton, P. K., Mason-D’Croz, D., Palmer, J., Bodirsky, B. L., Pradhan, P., Barrett, C. B., et al. (2021). Articulating the effect of food systems innovation on the Sustainable Development Goals. The Lancet Planetary Health, 5(1), e50–e62. https://doi.org/10.1016/S2542-5196(20)30277-1</a:t>
          </a:r>
        </a:p>
        <a:p>
          <a:br>
            <a:rPr lang="en-US"/>
          </a:br>
          <a:endParaRPr lang="en-US"/>
        </a:p>
        <a:p>
          <a:r>
            <a:rPr lang="en-US"/>
            <a:t>HLPE. (2020). Food security and nutrition: Building a global narrative towards 2030. High Level Panel of Experts on Food Security and Nutrition of the Committee on World Food Security. URL: https://openknowledge.fao.org/server/api/core/bitstreams/8357b6eb-8010-4254-814a-1493faaf4a93/content</a:t>
          </a:r>
        </a:p>
        <a:p>
          <a:br>
            <a:rPr lang="en-US"/>
          </a:br>
          <a:endParaRPr lang="en-US"/>
        </a:p>
        <a:p>
          <a:r>
            <a:rPr lang="en-US"/>
            <a:t>IFAD. (2019). Creating opportunities for rural youth. International Fund for Agricultural Development. URL: https://www.ifad.org/documents/38714170/41190221/RDR2019_Overview_e_W.pdf/699560f2-d02e-16b8-4281-596d4c9be25a</a:t>
          </a:r>
        </a:p>
        <a:p>
          <a:br>
            <a:rPr lang="en-US"/>
          </a:br>
          <a:endParaRPr lang="en-US"/>
        </a:p>
        <a:p>
          <a:r>
            <a:rPr lang="en-US"/>
            <a:t>IFAD. (2021). IFAD South-South and Triangular Cooperation Strategy 2022-2027. International Fund for Agricultural Development. URL: https://www.ifad.org/documents/d/guest/ifad-sstc-strategy-2022-2027</a:t>
          </a:r>
        </a:p>
        <a:p>
          <a:br>
            <a:rPr lang="en-US"/>
          </a:br>
          <a:endParaRPr lang="en-US"/>
        </a:p>
        <a:p>
          <a:r>
            <a:rPr lang="en-US"/>
            <a:t>IFAD. (2022). Annual Report 2022. International Fund for Agricultural Development. URL: https://www.ifad.org/documents/d/new-ifad.org/ar2022_full_e-pdf</a:t>
          </a:r>
        </a:p>
        <a:p>
          <a:br>
            <a:rPr lang="en-US"/>
          </a:br>
          <a:endParaRPr lang="en-US"/>
        </a:p>
        <a:p>
          <a:r>
            <a:rPr lang="en-US"/>
            <a:t>IFPRI. (2023). Global food policy report 2023: Rethinking food crisis responses. Washington, DC: International Food Policy Research Institute (IFPRI). https://doi.org/10.2499/9780896294417</a:t>
          </a:r>
        </a:p>
        <a:p>
          <a:br>
            <a:rPr lang="en-US"/>
          </a:br>
          <a:endParaRPr lang="en-US"/>
        </a:p>
        <a:p>
          <a:r>
            <a:rPr lang="en-US"/>
            <a:t>IPBES (2019), Global assessment report of the Intergovernmental Science-Policy Platform on Biodiversity and Ecosystem Services, Brondízio, E. S., Settele, J., Díaz, S., Ngo, H. T. (eds). IPBES secretariat, Bonn, Germany. URL: https://www.ipbes.net/system/files/2021-06/2020%20IPBES%20GLOBAL%20REPORT(FIRST%20PART)_V3_SINGLE.pdf</a:t>
          </a:r>
        </a:p>
        <a:p>
          <a:br>
            <a:rPr lang="en-US"/>
          </a:br>
          <a:endParaRPr lang="en-US"/>
        </a:p>
        <a:p>
          <a:r>
            <a:rPr lang="en-US"/>
            <a:t>IPCC, 2022: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doi:10.1017/9781009325844</a:t>
          </a:r>
        </a:p>
        <a:p>
          <a:br>
            <a:rPr lang="en-US"/>
          </a:br>
          <a:endParaRPr lang="en-US"/>
        </a:p>
        <a:p>
          <a:r>
            <a:rPr lang="en-US"/>
            <a:t>OECD (2021), Making Better Policies for Food Systems, OECD Publishing, Paris, https://doi.org/10.1787/ddfba4de-en</a:t>
          </a:r>
        </a:p>
        <a:p>
          <a:br>
            <a:rPr lang="en-US"/>
          </a:br>
          <a:endParaRPr lang="en-US"/>
        </a:p>
        <a:p>
          <a:r>
            <a:rPr lang="en-US"/>
            <a:t>Rogers, S., Wilmsen, B., Han, X., Wang, Z. J.-H., Duan, Y., He, J., Li, J., Lin, W., &amp; Wong, C. (2021). Scaling up agriculture? The dynamics of land transfer in inland China. World Development, 146, 105563. https://doi.org/10.1016/j.worlddev.2021.105563</a:t>
          </a:r>
        </a:p>
        <a:p>
          <a:br>
            <a:rPr lang="en-US"/>
          </a:br>
          <a:endParaRPr lang="en-US"/>
        </a:p>
        <a:p>
          <a:r>
            <a:rPr lang="en-US"/>
            <a:t>Schut, M., Colomer, J., Proud, E., Bonaiuti, E., Dror, I., Kang’ethe, E., Esquivias, L., &amp; Leeuwis, C. (2024). Innovation portfolio management for responsible food systems transformation in the public sector: Lessons, results and recommendations from CGIAR. Agricultural Systems, 216, 103907. https://doi.org/10.1016/j.agsy.2023.103907</a:t>
          </a:r>
        </a:p>
        <a:p>
          <a:br>
            <a:rPr lang="en-US"/>
          </a:br>
          <a:endParaRPr lang="en-US"/>
        </a:p>
        <a:p>
          <a:r>
            <a:rPr lang="en-US"/>
            <a:t>UN Women. (2021). Beyond COVID-19: A Feminist Plan for Sustainability and Social Justice. UN Women. URL: https://www.unwomen.org/en/digital-library/publications/2021/09/beyond-covid-19-a-feminist-plan-for-sustainability-and-social-justice</a:t>
          </a:r>
        </a:p>
        <a:p>
          <a:br>
            <a:rPr lang="en-US"/>
          </a:br>
          <a:endParaRPr lang="en-US"/>
        </a:p>
        <a:p>
          <a:r>
            <a:rPr lang="en-US"/>
            <a:t>UNEP. (2021). Making Peace with Nature: A Scientific Blueprint to Tackle the Climate, Biodiversity and Pollution Emergencies. United Nations Environment Programme. URL: https://wedocs.unep.org/xmlui/bitstream/handle/20.500.11822/34948/MPN.pdf</a:t>
          </a:r>
        </a:p>
        <a:p>
          <a:br>
            <a:rPr lang="en-US"/>
          </a:br>
          <a:endParaRPr lang="en-US"/>
        </a:p>
        <a:p>
          <a:r>
            <a:rPr lang="en-US"/>
            <a:t>UNESCAP. (2023). Economic and Social Survey of Asia and the Pacific 2023: Rethinking Public Debt for the Sustainable Development Goals. URL: https://repository.unescap.org/server/api/core/bitstreams/0d97f898-1879-4514-8978-b585805f419f/content</a:t>
          </a:r>
        </a:p>
        <a:p>
          <a:br>
            <a:rPr lang="en-US"/>
          </a:br>
          <a:endParaRPr lang="en-US"/>
        </a:p>
        <a:p>
          <a:r>
            <a:rPr lang="en-US"/>
            <a:t>UNFCCC. (2022). Nairobi Work Programme on Impacts, Vulnerability and Adaptation to Climate Change. United Nations Framework Convention on Climate Change. URL: https://unfccc.int/sites/default/files/resource/DT.DC_.SBSTA60.i5c.1.pdf</a:t>
          </a:r>
        </a:p>
        <a:p>
          <a:br>
            <a:rPr lang="en-US"/>
          </a:br>
          <a:endParaRPr lang="en-US"/>
        </a:p>
        <a:p>
          <a:r>
            <a:rPr lang="en-US"/>
            <a:t>van Rijn, F. C., Bulte, E. H., &amp; Adekunle, A. (2012). Social capital and agricultural innovation in Sub-Saharan Africa. Agricultural Systems, 108, 112–122. https://doi.org/10.1016/j.agsy.2011.12.003</a:t>
          </a:r>
        </a:p>
        <a:p>
          <a:br>
            <a:rPr lang="en-US"/>
          </a:br>
          <a:endParaRPr lang="en-US"/>
        </a:p>
        <a:p>
          <a:r>
            <a:rPr lang="en-US"/>
            <a:t>Wigboldus, S., Klerkx, L., Leeuwis, C., Schut, M., Muilerman, S., &amp; Jochemsen, H. (2016). Systemic perspectives on scaling agricultural innovations: A review. Agronomy for Sustainable Development, 36(1), 1–20. https://doi.org/10.1007/s13593-016-0380-z</a:t>
          </a:r>
        </a:p>
        <a:p>
          <a:br>
            <a:rPr lang="en-US"/>
          </a:br>
          <a:endParaRPr lang="en-US"/>
        </a:p>
        <a:p>
          <a:r>
            <a:rPr lang="en-US"/>
            <a:t>WMO. (2022). State of the Climate in Africa 2021. World Meteorological Organization. URL: https://library.wmo.int/records/item/58070-state-of-the-climate-in-africa-2021#.Y8a3SOzMLjA</a:t>
          </a:r>
        </a:p>
        <a:p>
          <a:br>
            <a:rPr lang="en-US"/>
          </a:br>
          <a:endParaRPr lang="en-US"/>
        </a:p>
        <a:p>
          <a:r>
            <a:rPr lang="en-US"/>
            <a:t>Woltering, L., Fehlenberg, K., Gerard, B., Ubels, J., &amp; Cooley, L. (2019). Scaling – from “reaching many” to sustainable systems change at scale: A critical shift in mindset. Agricultural Systems, 176, 102652. https://doi.org/10.1016/j.agsy.2019.102652</a:t>
          </a:r>
        </a:p>
        <a:p>
          <a:br>
            <a:rPr lang="en-US"/>
          </a:br>
          <a:endParaRPr lang="en-US"/>
        </a:p>
        <a:p>
          <a:r>
            <a:rPr lang="en-US"/>
            <a:t>World Bank. (2020). Harvesting Prosperity: Technology and Productivity Growth in Agriculture. World Bank Group. URL: https://openknowledge.worldbank.org/entities/publication/acb134b2-3b82-5ccf-87a0-d6882a53d92e</a:t>
          </a:r>
        </a:p>
        <a:p>
          <a:br>
            <a:rPr lang="en-US"/>
          </a:br>
          <a:endParaRPr lang="en-US"/>
        </a:p>
        <a:p>
          <a:r>
            <a:rPr lang="en-US"/>
            <a:t>World Bank. (2024). Repurposing Agricultural Support Policies for Sustainable Food Systems -Toolkit. World Bank Group. URL: https://openknowledge.worldbank.org/entities/publication/ff426289-0d6d</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26</xdr:row>
      <xdr:rowOff>0</xdr:rowOff>
    </xdr:from>
    <xdr:to>
      <xdr:col>16</xdr:col>
      <xdr:colOff>50800</xdr:colOff>
      <xdr:row>86</xdr:row>
      <xdr:rowOff>50800</xdr:rowOff>
    </xdr:to>
    <xdr:sp macro="" textlink="">
      <xdr:nvSpPr>
        <xdr:cNvPr id="2" name="TextBox 1">
          <a:extLst>
            <a:ext uri="{FF2B5EF4-FFF2-40B4-BE49-F238E27FC236}">
              <a16:creationId xmlns:a16="http://schemas.microsoft.com/office/drawing/2014/main" id="{AAC3DD38-4675-6F47-B531-6A6A3717C380}"/>
            </a:ext>
          </a:extLst>
        </xdr:cNvPr>
        <xdr:cNvSpPr txBox="1"/>
      </xdr:nvSpPr>
      <xdr:spPr>
        <a:xfrm>
          <a:off x="12268200" y="31407100"/>
          <a:ext cx="11582400" cy="1148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REFERENCES</a:t>
          </a:r>
          <a:br>
            <a:rPr lang="en-US"/>
          </a:br>
          <a:endParaRPr lang="en-US"/>
        </a:p>
        <a:p>
          <a:r>
            <a:rPr lang="en-US"/>
            <a:t>3ie. (Several years). Evidence Gap Map on Agricultural Innovations for Food Security. International Initiative for Impact Evaluation (3ie). URL: https://www.3ieimpact.org/evidence-hub/publications/evidence-gap-maps</a:t>
          </a:r>
        </a:p>
        <a:p>
          <a:br>
            <a:rPr lang="en-US"/>
          </a:br>
          <a:endParaRPr lang="en-US"/>
        </a:p>
        <a:p>
          <a:r>
            <a:rPr lang="en-US"/>
            <a:t>Anderson, J.R., Feder, G. and Ganguly, S. (2006) The Rise and Fall of Training and Visit Extension: An Asian Mini-Drama with an African Epilogue. Policy Research Working Paper 3928, World Bank, Washington DC.</a:t>
          </a:r>
        </a:p>
        <a:p>
          <a:br>
            <a:rPr lang="en-US"/>
          </a:br>
          <a:endParaRPr lang="en-US"/>
        </a:p>
        <a:p>
          <a:r>
            <a:rPr lang="en-US"/>
            <a:t>CBD. (2020). Global Biodiversity Outlook 5. Secretariat of the Convention on Biological Diversity. URL: https://www.cbd.int/gbo/gbo5/publication/gbo-5-en.pdf</a:t>
          </a:r>
        </a:p>
        <a:p>
          <a:br>
            <a:rPr lang="en-US"/>
          </a:br>
          <a:endParaRPr lang="en-US"/>
        </a:p>
        <a:p>
          <a:r>
            <a:rPr lang="en-US"/>
            <a:t>CGIAR GENDER Impact Platform. 2023. From Research to Impact: Towards just and resilient agri-food systems. Conference report, New Delhi, India, 9-12 October 2023. Nairobi, Kenya: CGIAR GENDER Impact Platform. URL: https://hdl.handle.net/10568/138224</a:t>
          </a:r>
        </a:p>
        <a:p>
          <a:br>
            <a:rPr lang="en-US"/>
          </a:br>
          <a:endParaRPr lang="en-US"/>
        </a:p>
        <a:p>
          <a:r>
            <a:rPr lang="en-US"/>
            <a:t>CGIAR. (2023). A guiding framework to boost Science and Practice of scaling innovation and three new roles to drive it. CGIAR Initiatives. URL: https://www.cgiar.org/news-events/news/a-guiding-framework-to-boost-science-and-practice-of-scaling-innovation-and-three-new-roles/</a:t>
          </a:r>
        </a:p>
        <a:p>
          <a:br>
            <a:rPr lang="en-US"/>
          </a:br>
          <a:endParaRPr lang="en-US"/>
        </a:p>
        <a:p>
          <a:r>
            <a:rPr lang="en-US"/>
            <a:t>Davis, K., Babu, S. C., &amp; Ragasa, C. (2020). Agricultural extension: Global status and performance in selected countries. International Food Policy Research Institute. https://doi.org/10.2499/9780896293755</a:t>
          </a:r>
        </a:p>
        <a:p>
          <a:br>
            <a:rPr lang="en-US"/>
          </a:br>
          <a:endParaRPr lang="en-US"/>
        </a:p>
        <a:p>
          <a:r>
            <a:rPr lang="en-US"/>
            <a:t>Diao, X. et al. (2023). The Future of Small Farms: Innovations for Inclusive Transformation. In: von Braun, J., Afsana, K., Fresco, L.O., Hassan, M.H.A. (eds) Science and Innovations for Food Systems Transformation. Springer, Cham. https://doi.org/10.1007/978-3-031-15703-5_10</a:t>
          </a:r>
        </a:p>
        <a:p>
          <a:br>
            <a:rPr lang="en-US"/>
          </a:br>
          <a:endParaRPr lang="en-US"/>
        </a:p>
        <a:p>
          <a:r>
            <a:rPr lang="en-US"/>
            <a:t>Douthwaite, B., &amp; Hoffecker, E. (2017). Towards a complexity-aware theory of change for participatory research programs working within agricultural innovation systems. Agricultural Systems, 155, 88–102. https://doi.org/10.1016/j.agsy.2017.04.002</a:t>
          </a:r>
        </a:p>
        <a:p>
          <a:br>
            <a:rPr lang="en-US"/>
          </a:br>
          <a:endParaRPr lang="en-US"/>
        </a:p>
        <a:p>
          <a:r>
            <a:rPr lang="en-US"/>
            <a:t>FAO. &amp; WEF (2022). Transforming Food Systems: Pathways for Country-led Innovation. Food and Agriculture Organization of the United Nations. URL: https://openknowledge.fao.org/server/api/core/bitstreams/70c479a7-cdcb-40be-8fb2-e8ac9a4ce553/content</a:t>
          </a:r>
        </a:p>
        <a:p>
          <a:br>
            <a:rPr lang="en-US"/>
          </a:br>
          <a:endParaRPr lang="en-US"/>
        </a:p>
        <a:p>
          <a:r>
            <a:rPr lang="en-US"/>
            <a:t>FAO. (2021). The State of Food and Agriculture 2021: Making Agrifood Systems More Resilient to Shocks and Stresses. Food and Agriculture Organization of the United Nations. URL: https://openknowledge.fao.org/items/437c1215-556b-4161-9af6-68163f5a1f84</a:t>
          </a:r>
        </a:p>
        <a:p>
          <a:br>
            <a:rPr lang="en-US"/>
          </a:br>
          <a:endParaRPr lang="en-US"/>
        </a:p>
        <a:p>
          <a:r>
            <a:rPr lang="en-US"/>
            <a:t>FAO. (2022). The State of Food Security and Nutrition in the World 2022. Food and Agriculture Organization of the United Nations. URL: https://openknowledge.fao.org/server/api/core/bitstreams/67b1e9c7-1a7f-4dc6-a19e-f6472a4ea83a/content</a:t>
          </a:r>
        </a:p>
        <a:p>
          <a:br>
            <a:rPr lang="en-US"/>
          </a:br>
          <a:endParaRPr lang="en-US"/>
        </a:p>
        <a:p>
          <a:r>
            <a:rPr lang="en-US"/>
            <a:t>FAO. 2022. FAO Science and Innovation Strategy. Rome. URL: https://openknowledge.fao.org/server/api/core/bitstreams/e9d1ee6c-c0f1-4312-9a1a-c09ba0a4fbdc/content</a:t>
          </a:r>
        </a:p>
        <a:p>
          <a:br>
            <a:rPr lang="en-US"/>
          </a:br>
          <a:endParaRPr lang="en-US"/>
        </a:p>
        <a:p>
          <a:r>
            <a:rPr lang="en-US"/>
            <a:t>Gálvez, E. 2022. Scaling up inclusive innovation in agrifood chains in Asia and the Pacific. Bangkok, FAO. URL: https://doi.org/10.4060/cb8306en https://openknowledge.fao.org/server/api/core/bitstreams/ddd7ed6e-1633-4d81-b583-3030604446d5/content</a:t>
          </a:r>
        </a:p>
        <a:p>
          <a:br>
            <a:rPr lang="en-US"/>
          </a:br>
          <a:endParaRPr lang="en-US"/>
        </a:p>
        <a:p>
          <a:r>
            <a:rPr lang="en-US"/>
            <a:t>GEF. (2023). Innovative Finance for Nature and People: Opportunities and Challenges for Biodiversity-Positive Carbon Credits and Nature Certificates Global Environment Facility. URL: https://www.thegef.org/sites/default/files/documents/2023-03/GEF_IIED_Innovative_Finance_Nature_People_2023_03_1.pdf</a:t>
          </a:r>
        </a:p>
        <a:p>
          <a:br>
            <a:rPr lang="en-US"/>
          </a:br>
          <a:endParaRPr lang="en-US"/>
        </a:p>
        <a:p>
          <a:r>
            <a:rPr lang="en-US"/>
            <a:t>Glover, D., Sumberg, J., &amp; Andersson, J. A. (2016). The Adoption Problem; or Why We Still Understand so Little about Technological Change in African Agriculture. Outlook on Agriculture, 45(1), 3-6. https://doi.org/10.5367/oa.2016.0235</a:t>
          </a:r>
        </a:p>
        <a:p>
          <a:br>
            <a:rPr lang="en-US"/>
          </a:br>
          <a:endParaRPr lang="en-US"/>
        </a:p>
        <a:p>
          <a:r>
            <a:rPr lang="en-US"/>
            <a:t>Green Climate Fund. (2024). GCF: Catalysing finance for climate solutions. Green Climate Fund. URL: https://www.greenclimate.fund/sites/default/files/document/20240404-catalysing-finance-climate-solutions-web.pdf</a:t>
          </a:r>
        </a:p>
        <a:p>
          <a:br>
            <a:rPr lang="en-US"/>
          </a:br>
          <a:endParaRPr lang="en-US"/>
        </a:p>
        <a:p>
          <a:r>
            <a:rPr lang="en-US"/>
            <a:t>Herrero, M., Thornton, P. K., Mason-D’Croz, D., Palmer, J., Bodirsky, B. L., Pradhan, P., Barrett, C. B., et al. (2021). Articulating the effect of food systems innovation on the Sustainable Development Goals. The Lancet Planetary Health, 5(1), e50–e62. https://doi.org/10.1016/S2542-5196(20)30277-1</a:t>
          </a:r>
        </a:p>
        <a:p>
          <a:br>
            <a:rPr lang="en-US"/>
          </a:br>
          <a:endParaRPr lang="en-US"/>
        </a:p>
        <a:p>
          <a:r>
            <a:rPr lang="en-US"/>
            <a:t>HLPE. (2020). Food security and nutrition: Building a global narrative towards 2030. High Level Panel of Experts on Food Security and Nutrition of the Committee on World Food Security. URL: https://openknowledge.fao.org/server/api/core/bitstreams/8357b6eb-8010-4254-814a-1493faaf4a93/content</a:t>
          </a:r>
        </a:p>
        <a:p>
          <a:br>
            <a:rPr lang="en-US"/>
          </a:br>
          <a:endParaRPr lang="en-US"/>
        </a:p>
        <a:p>
          <a:r>
            <a:rPr lang="en-US"/>
            <a:t>IFAD. (2019). Creating opportunities for rural youth. International Fund for Agricultural Development. URL: https://www.ifad.org/documents/38714170/41190221/RDR2019_Overview_e_W.pdf/699560f2-d02e-16b8-4281-596d4c9be25a</a:t>
          </a:r>
        </a:p>
        <a:p>
          <a:br>
            <a:rPr lang="en-US"/>
          </a:br>
          <a:endParaRPr lang="en-US"/>
        </a:p>
        <a:p>
          <a:r>
            <a:rPr lang="en-US"/>
            <a:t>IFAD. (2021). IFAD South-South and Triangular Cooperation Strategy 2022-2027. International Fund for Agricultural Development. URL: https://www.ifad.org/documents/d/guest/ifad-sstc-strategy-2022-2027</a:t>
          </a:r>
        </a:p>
        <a:p>
          <a:br>
            <a:rPr lang="en-US"/>
          </a:br>
          <a:endParaRPr lang="en-US"/>
        </a:p>
        <a:p>
          <a:r>
            <a:rPr lang="en-US"/>
            <a:t>IFAD. (2022). Annual Report 2022. International Fund for Agricultural Development. URL: https://www.ifad.org/documents/d/new-ifad.org/ar2022_full_e-pdf</a:t>
          </a:r>
        </a:p>
        <a:p>
          <a:br>
            <a:rPr lang="en-US"/>
          </a:br>
          <a:endParaRPr lang="en-US"/>
        </a:p>
        <a:p>
          <a:r>
            <a:rPr lang="en-US"/>
            <a:t>IFPRI. (2023). Global food policy report 2023: Rethinking food crisis responses. Washington, DC: International Food Policy Research Institute (IFPRI). https://doi.org/10.2499/9780896294417</a:t>
          </a:r>
        </a:p>
        <a:p>
          <a:br>
            <a:rPr lang="en-US"/>
          </a:br>
          <a:endParaRPr lang="en-US"/>
        </a:p>
        <a:p>
          <a:r>
            <a:rPr lang="en-US"/>
            <a:t>IPBES (2019), Global assessment report of the Intergovernmental Science-Policy Platform on Biodiversity and Ecosystem Services, Brondízio, E. S., Settele, J., Díaz, S., Ngo, H. T. (eds). IPBES secretariat, Bonn, Germany. URL: https://www.ipbes.net/system/files/2021-06/2020%20IPBES%20GLOBAL%20REPORT(FIRST%20PART)_V3_SINGLE.pdf</a:t>
          </a:r>
        </a:p>
        <a:p>
          <a:br>
            <a:rPr lang="en-US"/>
          </a:br>
          <a:endParaRPr lang="en-US"/>
        </a:p>
        <a:p>
          <a:r>
            <a:rPr lang="en-US"/>
            <a:t>IPCC, 2022: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doi:10.1017/9781009325844</a:t>
          </a:r>
        </a:p>
        <a:p>
          <a:br>
            <a:rPr lang="en-US"/>
          </a:br>
          <a:endParaRPr lang="en-US"/>
        </a:p>
        <a:p>
          <a:r>
            <a:rPr lang="en-US"/>
            <a:t>OECD (2021), Making Better Policies for Food Systems, OECD Publishing, Paris, https://doi.org/10.1787/ddfba4de-en</a:t>
          </a:r>
        </a:p>
        <a:p>
          <a:br>
            <a:rPr lang="en-US"/>
          </a:br>
          <a:endParaRPr lang="en-US"/>
        </a:p>
        <a:p>
          <a:r>
            <a:rPr lang="en-US"/>
            <a:t>Rogers, S., Wilmsen, B., Han, X., Wang, Z. J.-H., Duan, Y., He, J., Li, J., Lin, W., &amp; Wong, C. (2021). Scaling up agriculture? The dynamics of land transfer in inland China. World Development, 146, 105563. https://doi.org/10.1016/j.worlddev.2021.105563</a:t>
          </a:r>
        </a:p>
        <a:p>
          <a:br>
            <a:rPr lang="en-US"/>
          </a:br>
          <a:endParaRPr lang="en-US"/>
        </a:p>
        <a:p>
          <a:r>
            <a:rPr lang="en-US"/>
            <a:t>Schut, M., Colomer, J., Proud, E., Bonaiuti, E., Dror, I., Kang’ethe, E., Esquivias, L., &amp; Leeuwis, C. (2024). Innovation portfolio management for responsible food systems transformation in the public sector: Lessons, results and recommendations from CGIAR. Agricultural Systems, 216, 103907. https://doi.org/10.1016/j.agsy.2023.103907</a:t>
          </a:r>
        </a:p>
        <a:p>
          <a:br>
            <a:rPr lang="en-US"/>
          </a:br>
          <a:endParaRPr lang="en-US"/>
        </a:p>
        <a:p>
          <a:r>
            <a:rPr lang="en-US"/>
            <a:t>UN Women. (2021). Beyond COVID-19: A Feminist Plan for Sustainability and Social Justice. UN Women. URL: https://www.unwomen.org/en/digital-library/publications/2021/09/beyond-covid-19-a-feminist-plan-for-sustainability-and-social-justice</a:t>
          </a:r>
        </a:p>
        <a:p>
          <a:br>
            <a:rPr lang="en-US"/>
          </a:br>
          <a:endParaRPr lang="en-US"/>
        </a:p>
        <a:p>
          <a:r>
            <a:rPr lang="en-US"/>
            <a:t>UNEP. (2021). Making Peace with Nature: A Scientific Blueprint to Tackle the Climate, Biodiversity and Pollution Emergencies. United Nations Environment Programme. URL: https://wedocs.unep.org/xmlui/bitstream/handle/20.500.11822/34948/MPN.pdf</a:t>
          </a:r>
        </a:p>
        <a:p>
          <a:br>
            <a:rPr lang="en-US"/>
          </a:br>
          <a:endParaRPr lang="en-US"/>
        </a:p>
        <a:p>
          <a:r>
            <a:rPr lang="en-US"/>
            <a:t>UNESCAP. (2023). Economic and Social Survey of Asia and the Pacific 2023: Rethinking Public Debt for the Sustainable Development Goals. URL: https://repository.unescap.org/server/api/core/bitstreams/0d97f898-1879-4514-8978-b585805f419f/content</a:t>
          </a:r>
        </a:p>
        <a:p>
          <a:br>
            <a:rPr lang="en-US"/>
          </a:br>
          <a:endParaRPr lang="en-US"/>
        </a:p>
        <a:p>
          <a:r>
            <a:rPr lang="en-US"/>
            <a:t>UNFCCC. (2022). Nairobi Work Programme on Impacts, Vulnerability and Adaptation to Climate Change. United Nations Framework Convention on Climate Change. URL: https://unfccc.int/sites/default/files/resource/DT.DC_.SBSTA60.i5c.1.pdf</a:t>
          </a:r>
        </a:p>
        <a:p>
          <a:br>
            <a:rPr lang="en-US"/>
          </a:br>
          <a:endParaRPr lang="en-US"/>
        </a:p>
        <a:p>
          <a:r>
            <a:rPr lang="en-US"/>
            <a:t>van Rijn, F. C., Bulte, E. H., &amp; Adekunle, A. (2012). Social capital and agricultural innovation in Sub-Saharan Africa. Agricultural Systems, 108, 112–122. https://doi.org/10.1016/j.agsy.2011.12.003</a:t>
          </a:r>
        </a:p>
        <a:p>
          <a:br>
            <a:rPr lang="en-US"/>
          </a:br>
          <a:endParaRPr lang="en-US"/>
        </a:p>
        <a:p>
          <a:r>
            <a:rPr lang="en-US"/>
            <a:t>Wigboldus, S., Klerkx, L., Leeuwis, C., Schut, M., Muilerman, S., &amp; Jochemsen, H. (2016). Systemic perspectives on scaling agricultural innovations: A review. Agronomy for Sustainable Development, 36(1), 1–20. https://doi.org/10.1007/s13593-016-0380-z</a:t>
          </a:r>
        </a:p>
        <a:p>
          <a:br>
            <a:rPr lang="en-US"/>
          </a:br>
          <a:endParaRPr lang="en-US"/>
        </a:p>
        <a:p>
          <a:r>
            <a:rPr lang="en-US"/>
            <a:t>WMO. (2022). State of the Climate in Africa 2021. World Meteorological Organization. URL: https://library.wmo.int/records/item/58070-state-of-the-climate-in-africa-2021#.Y8a3SOzMLjA</a:t>
          </a:r>
        </a:p>
        <a:p>
          <a:br>
            <a:rPr lang="en-US"/>
          </a:br>
          <a:endParaRPr lang="en-US"/>
        </a:p>
        <a:p>
          <a:r>
            <a:rPr lang="en-US"/>
            <a:t>Woltering, L., Fehlenberg, K., Gerard, B., Ubels, J., &amp; Cooley, L. (2019). Scaling – from “reaching many” to sustainable systems change at scale: A critical shift in mindset. Agricultural Systems, 176, 102652. https://doi.org/10.1016/j.agsy.2019.102652</a:t>
          </a:r>
        </a:p>
        <a:p>
          <a:br>
            <a:rPr lang="en-US"/>
          </a:br>
          <a:endParaRPr lang="en-US"/>
        </a:p>
        <a:p>
          <a:r>
            <a:rPr lang="en-US"/>
            <a:t>World Bank. (2020). Harvesting Prosperity: Technology and Productivity Growth in Agriculture. World Bank Group. URL: https://openknowledge.worldbank.org/entities/publication/acb134b2-3b82-5ccf-87a0-d6882a53d92e</a:t>
          </a:r>
        </a:p>
        <a:p>
          <a:br>
            <a:rPr lang="en-US"/>
          </a:br>
          <a:endParaRPr lang="en-US"/>
        </a:p>
        <a:p>
          <a:r>
            <a:rPr lang="en-US"/>
            <a:t>World Bank. (2024). Repurposing Agricultural Support Policies for Sustainable Food Systems -Toolkit. World Bank Group. URL: https://openknowledge.worldbank.org/entities/publication/ff426289-0d6d</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26</xdr:row>
      <xdr:rowOff>0</xdr:rowOff>
    </xdr:from>
    <xdr:to>
      <xdr:col>15</xdr:col>
      <xdr:colOff>2044700</xdr:colOff>
      <xdr:row>86</xdr:row>
      <xdr:rowOff>50800</xdr:rowOff>
    </xdr:to>
    <xdr:sp macro="" textlink="">
      <xdr:nvSpPr>
        <xdr:cNvPr id="2" name="TextBox 1">
          <a:extLst>
            <a:ext uri="{FF2B5EF4-FFF2-40B4-BE49-F238E27FC236}">
              <a16:creationId xmlns:a16="http://schemas.microsoft.com/office/drawing/2014/main" id="{8D8A0AF8-1220-0C45-8726-E23FE88BE718}"/>
            </a:ext>
          </a:extLst>
        </xdr:cNvPr>
        <xdr:cNvSpPr txBox="1"/>
      </xdr:nvSpPr>
      <xdr:spPr>
        <a:xfrm>
          <a:off x="12166600" y="24130000"/>
          <a:ext cx="13500100" cy="1148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REFERENCES</a:t>
          </a:r>
          <a:br>
            <a:rPr lang="en-US"/>
          </a:br>
          <a:endParaRPr lang="en-US"/>
        </a:p>
        <a:p>
          <a:r>
            <a:rPr lang="en-US"/>
            <a:t>3ie. (Several years). Evidence Gap Map on Agricultural Innovations for Food Security. International Initiative for Impact Evaluation (3ie). URL: https://www.3ieimpact.org/evidence-hub/publications/evidence-gap-maps</a:t>
          </a:r>
        </a:p>
        <a:p>
          <a:br>
            <a:rPr lang="en-US"/>
          </a:br>
          <a:endParaRPr lang="en-US"/>
        </a:p>
        <a:p>
          <a:r>
            <a:rPr lang="en-US"/>
            <a:t>Anderson, J.R., Feder, G. and Ganguly, S. (2006) The Rise and Fall of Training and Visit Extension: An Asian Mini-Drama with an African Epilogue. Policy Research Working Paper 3928, World Bank, Washington DC.</a:t>
          </a:r>
        </a:p>
        <a:p>
          <a:br>
            <a:rPr lang="en-US"/>
          </a:br>
          <a:endParaRPr lang="en-US"/>
        </a:p>
        <a:p>
          <a:r>
            <a:rPr lang="en-US"/>
            <a:t>CBD. (2020). Global Biodiversity Outlook 5. Secretariat of the Convention on Biological Diversity. URL: https://www.cbd.int/gbo/gbo5/publication/gbo-5-en.pdf</a:t>
          </a:r>
        </a:p>
        <a:p>
          <a:br>
            <a:rPr lang="en-US"/>
          </a:br>
          <a:endParaRPr lang="en-US"/>
        </a:p>
        <a:p>
          <a:r>
            <a:rPr lang="en-US"/>
            <a:t>CGIAR GENDER Impact Platform. 2023. From Research to Impact: Towards just and resilient agri-food systems. Conference report, New Delhi, India, 9-12 October 2023. Nairobi, Kenya: CGIAR GENDER Impact Platform. URL: https://hdl.handle.net/10568/138224</a:t>
          </a:r>
        </a:p>
        <a:p>
          <a:br>
            <a:rPr lang="en-US"/>
          </a:br>
          <a:endParaRPr lang="en-US"/>
        </a:p>
        <a:p>
          <a:r>
            <a:rPr lang="en-US"/>
            <a:t>CGIAR. (2023). A guiding framework to boost Science and Practice of scaling innovation and three new roles to drive it. CGIAR Initiatives. URL: https://www.cgiar.org/news-events/news/a-guiding-framework-to-boost-science-and-practice-of-scaling-innovation-and-three-new-roles/</a:t>
          </a:r>
        </a:p>
        <a:p>
          <a:br>
            <a:rPr lang="en-US"/>
          </a:br>
          <a:endParaRPr lang="en-US"/>
        </a:p>
        <a:p>
          <a:r>
            <a:rPr lang="en-US"/>
            <a:t>Davis, K., Babu, S. C., &amp; Ragasa, C. (2020). Agricultural extension: Global status and performance in selected countries. International Food Policy Research Institute. https://doi.org/10.2499/9780896293755</a:t>
          </a:r>
        </a:p>
        <a:p>
          <a:br>
            <a:rPr lang="en-US"/>
          </a:br>
          <a:endParaRPr lang="en-US"/>
        </a:p>
        <a:p>
          <a:r>
            <a:rPr lang="en-US"/>
            <a:t>Diao, X. et al. (2023). The Future of Small Farms: Innovations for Inclusive Transformation. In: von Braun, J., Afsana, K., Fresco, L.O., Hassan, M.H.A. (eds) Science and Innovations for Food Systems Transformation. Springer, Cham. https://doi.org/10.1007/978-3-031-15703-5_10</a:t>
          </a:r>
        </a:p>
        <a:p>
          <a:br>
            <a:rPr lang="en-US"/>
          </a:br>
          <a:endParaRPr lang="en-US"/>
        </a:p>
        <a:p>
          <a:r>
            <a:rPr lang="en-US"/>
            <a:t>Douthwaite, B., &amp; Hoffecker, E. (2017). Towards a complexity-aware theory of change for participatory research programs working within agricultural innovation systems. Agricultural Systems, 155, 88–102. https://doi.org/10.1016/j.agsy.2017.04.002</a:t>
          </a:r>
        </a:p>
        <a:p>
          <a:br>
            <a:rPr lang="en-US"/>
          </a:br>
          <a:endParaRPr lang="en-US"/>
        </a:p>
        <a:p>
          <a:r>
            <a:rPr lang="en-US"/>
            <a:t>FAO. &amp; WEF (2022). Transforming Food Systems: Pathways for Country-led Innovation. Food and Agriculture Organization of the United Nations. URL: https://openknowledge.fao.org/server/api/core/bitstreams/70c479a7-cdcb-40be-8fb2-e8ac9a4ce553/content</a:t>
          </a:r>
        </a:p>
        <a:p>
          <a:br>
            <a:rPr lang="en-US"/>
          </a:br>
          <a:endParaRPr lang="en-US"/>
        </a:p>
        <a:p>
          <a:r>
            <a:rPr lang="en-US"/>
            <a:t>FAO. (2021). The State of Food and Agriculture 2021: Making Agrifood Systems More Resilient to Shocks and Stresses. Food and Agriculture Organization of the United Nations. URL: https://openknowledge.fao.org/items/437c1215-556b-4161-9af6-68163f5a1f84</a:t>
          </a:r>
        </a:p>
        <a:p>
          <a:br>
            <a:rPr lang="en-US"/>
          </a:br>
          <a:endParaRPr lang="en-US"/>
        </a:p>
        <a:p>
          <a:r>
            <a:rPr lang="en-US"/>
            <a:t>FAO. (2022). The State of Food Security and Nutrition in the World 2022. Food and Agriculture Organization of the United Nations. URL: https://openknowledge.fao.org/server/api/core/bitstreams/67b1e9c7-1a7f-4dc6-a19e-f6472a4ea83a/content</a:t>
          </a:r>
        </a:p>
        <a:p>
          <a:br>
            <a:rPr lang="en-US"/>
          </a:br>
          <a:endParaRPr lang="en-US"/>
        </a:p>
        <a:p>
          <a:r>
            <a:rPr lang="en-US"/>
            <a:t>FAO. 2022. FAO Science and Innovation Strategy. Rome. URL: https://openknowledge.fao.org/server/api/core/bitstreams/e9d1ee6c-c0f1-4312-9a1a-c09ba0a4fbdc/content</a:t>
          </a:r>
        </a:p>
        <a:p>
          <a:br>
            <a:rPr lang="en-US"/>
          </a:br>
          <a:endParaRPr lang="en-US"/>
        </a:p>
        <a:p>
          <a:r>
            <a:rPr lang="en-US"/>
            <a:t>Gálvez, E. 2022. Scaling up inclusive innovation in agrifood chains in Asia and the Pacific. Bangkok, FAO. URL: https://doi.org/10.4060/cb8306en https://openknowledge.fao.org/server/api/core/bitstreams/ddd7ed6e-1633-4d81-b583-3030604446d5/content</a:t>
          </a:r>
        </a:p>
        <a:p>
          <a:br>
            <a:rPr lang="en-US"/>
          </a:br>
          <a:endParaRPr lang="en-US"/>
        </a:p>
        <a:p>
          <a:r>
            <a:rPr lang="en-US"/>
            <a:t>GEF. (2023). Innovative Finance for Nature and People: Opportunities and Challenges for Biodiversity-Positive Carbon Credits and Nature Certificates Global Environment Facility. URL: https://www.thegef.org/sites/default/files/documents/2023-03/GEF_IIED_Innovative_Finance_Nature_People_2023_03_1.pdf</a:t>
          </a:r>
        </a:p>
        <a:p>
          <a:br>
            <a:rPr lang="en-US"/>
          </a:br>
          <a:endParaRPr lang="en-US"/>
        </a:p>
        <a:p>
          <a:r>
            <a:rPr lang="en-US"/>
            <a:t>Glover, D., Sumberg, J., &amp; Andersson, J. A. (2016). The Adoption Problem; or Why We Still Understand so Little about Technological Change in African Agriculture. Outlook on Agriculture, 45(1), 3-6. https://doi.org/10.5367/oa.2016.0235</a:t>
          </a:r>
        </a:p>
        <a:p>
          <a:br>
            <a:rPr lang="en-US"/>
          </a:br>
          <a:endParaRPr lang="en-US"/>
        </a:p>
        <a:p>
          <a:r>
            <a:rPr lang="en-US"/>
            <a:t>Green Climate Fund. (2024). GCF: Catalysing finance for climate solutions. Green Climate Fund. URL: https://www.greenclimate.fund/sites/default/files/document/20240404-catalysing-finance-climate-solutions-web.pdf</a:t>
          </a:r>
        </a:p>
        <a:p>
          <a:br>
            <a:rPr lang="en-US"/>
          </a:br>
          <a:endParaRPr lang="en-US"/>
        </a:p>
        <a:p>
          <a:r>
            <a:rPr lang="en-US"/>
            <a:t>Herrero, M., Thornton, P. K., Mason-D’Croz, D., Palmer, J., Bodirsky, B. L., Pradhan, P., Barrett, C. B., et al. (2021). Articulating the effect of food systems innovation on the Sustainable Development Goals. The Lancet Planetary Health, 5(1), e50–e62. https://doi.org/10.1016/S2542-5196(20)30277-1</a:t>
          </a:r>
        </a:p>
        <a:p>
          <a:br>
            <a:rPr lang="en-US"/>
          </a:br>
          <a:endParaRPr lang="en-US"/>
        </a:p>
        <a:p>
          <a:r>
            <a:rPr lang="en-US"/>
            <a:t>HLPE. (2020). Food security and nutrition: Building a global narrative towards 2030. High Level Panel of Experts on Food Security and Nutrition of the Committee on World Food Security. URL: https://openknowledge.fao.org/server/api/core/bitstreams/8357b6eb-8010-4254-814a-1493faaf4a93/content</a:t>
          </a:r>
        </a:p>
        <a:p>
          <a:br>
            <a:rPr lang="en-US"/>
          </a:br>
          <a:endParaRPr lang="en-US"/>
        </a:p>
        <a:p>
          <a:r>
            <a:rPr lang="en-US"/>
            <a:t>IFAD. (2019). Creating opportunities for rural youth. International Fund for Agricultural Development. URL: https://www.ifad.org/documents/38714170/41190221/RDR2019_Overview_e_W.pdf/699560f2-d02e-16b8-4281-596d4c9be25a</a:t>
          </a:r>
        </a:p>
        <a:p>
          <a:br>
            <a:rPr lang="en-US"/>
          </a:br>
          <a:endParaRPr lang="en-US"/>
        </a:p>
        <a:p>
          <a:r>
            <a:rPr lang="en-US"/>
            <a:t>IFAD. (2021). IFAD South-South and Triangular Cooperation Strategy 2022-2027. International Fund for Agricultural Development. URL: https://www.ifad.org/documents/d/guest/ifad-sstc-strategy-2022-2027</a:t>
          </a:r>
        </a:p>
        <a:p>
          <a:br>
            <a:rPr lang="en-US"/>
          </a:br>
          <a:endParaRPr lang="en-US"/>
        </a:p>
        <a:p>
          <a:r>
            <a:rPr lang="en-US"/>
            <a:t>IFAD. (2022). Annual Report 2022. International Fund for Agricultural Development. URL: https://www.ifad.org/documents/d/new-ifad.org/ar2022_full_e-pdf</a:t>
          </a:r>
        </a:p>
        <a:p>
          <a:br>
            <a:rPr lang="en-US"/>
          </a:br>
          <a:endParaRPr lang="en-US"/>
        </a:p>
        <a:p>
          <a:r>
            <a:rPr lang="en-US"/>
            <a:t>IFPRI. (2023). Global food policy report 2023: Rethinking food crisis responses. Washington, DC: International Food Policy Research Institute (IFPRI). https://doi.org/10.2499/9780896294417</a:t>
          </a:r>
        </a:p>
        <a:p>
          <a:br>
            <a:rPr lang="en-US"/>
          </a:br>
          <a:endParaRPr lang="en-US"/>
        </a:p>
        <a:p>
          <a:r>
            <a:rPr lang="en-US"/>
            <a:t>IPBES (2019), Global assessment report of the Intergovernmental Science-Policy Platform on Biodiversity and Ecosystem Services, Brondízio, E. S., Settele, J., Díaz, S., Ngo, H. T. (eds). IPBES secretariat, Bonn, Germany. URL: https://www.ipbes.net/system/files/2021-06/2020%20IPBES%20GLOBAL%20REPORT(FIRST%20PART)_V3_SINGLE.pdf</a:t>
          </a:r>
        </a:p>
        <a:p>
          <a:br>
            <a:rPr lang="en-US"/>
          </a:br>
          <a:endParaRPr lang="en-US"/>
        </a:p>
        <a:p>
          <a:r>
            <a:rPr lang="en-US"/>
            <a:t>IPCC, 2022: Climate Change 2022: Impacts, Adaptation, and Vulnerability. Contribution of Working Group II to the Sixth Assessment Report of the Intergovernmental Panel on Climate Change [H.-O. Pörtner, D.C. Roberts, M. Tignor, E.S. Poloczanska, K. Mintenbeck, A. Alegría, M. Craig, S. Langsdorf, S. Löschke, V. Möller, A. Okem, B. Rama (eds.)]. Cambridge University Press. Cambridge University Press, Cambridge, UK and New York, NY, USA, 3056 pp., doi:10.1017/9781009325844</a:t>
          </a:r>
        </a:p>
        <a:p>
          <a:br>
            <a:rPr lang="en-US"/>
          </a:br>
          <a:endParaRPr lang="en-US"/>
        </a:p>
        <a:p>
          <a:r>
            <a:rPr lang="en-US"/>
            <a:t>OECD (2021), Making Better Policies for Food Systems, OECD Publishing, Paris, https://doi.org/10.1787/ddfba4de-en</a:t>
          </a:r>
        </a:p>
        <a:p>
          <a:br>
            <a:rPr lang="en-US"/>
          </a:br>
          <a:endParaRPr lang="en-US"/>
        </a:p>
        <a:p>
          <a:r>
            <a:rPr lang="en-US"/>
            <a:t>Rogers, S., Wilmsen, B., Han, X., Wang, Z. J.-H., Duan, Y., He, J., Li, J., Lin, W., &amp; Wong, C. (2021). Scaling up agriculture? The dynamics of land transfer in inland China. World Development, 146, 105563. https://doi.org/10.1016/j.worlddev.2021.105563</a:t>
          </a:r>
        </a:p>
        <a:p>
          <a:br>
            <a:rPr lang="en-US"/>
          </a:br>
          <a:endParaRPr lang="en-US"/>
        </a:p>
        <a:p>
          <a:r>
            <a:rPr lang="en-US"/>
            <a:t>Schut, M., Colomer, J., Proud, E., Bonaiuti, E., Dror, I., Kang’ethe, E., Esquivias, L., &amp; Leeuwis, C. (2024). Innovation portfolio management for responsible food systems transformation in the public sector: Lessons, results and recommendations from CGIAR. Agricultural Systems, 216, 103907. https://doi.org/10.1016/j.agsy.2023.103907</a:t>
          </a:r>
        </a:p>
        <a:p>
          <a:br>
            <a:rPr lang="en-US"/>
          </a:br>
          <a:endParaRPr lang="en-US"/>
        </a:p>
        <a:p>
          <a:r>
            <a:rPr lang="en-US"/>
            <a:t>UN Women. (2021). Beyond COVID-19: A Feminist Plan for Sustainability and Social Justice. UN Women. URL: https://www.unwomen.org/en/digital-library/publications/2021/09/beyond-covid-19-a-feminist-plan-for-sustainability-and-social-justice</a:t>
          </a:r>
        </a:p>
        <a:p>
          <a:br>
            <a:rPr lang="en-US"/>
          </a:br>
          <a:endParaRPr lang="en-US"/>
        </a:p>
        <a:p>
          <a:r>
            <a:rPr lang="en-US"/>
            <a:t>UNEP. (2021). Making Peace with Nature: A Scientific Blueprint to Tackle the Climate, Biodiversity and Pollution Emergencies. United Nations Environment Programme. URL: https://wedocs.unep.org/xmlui/bitstream/handle/20.500.11822/34948/MPN.pdf</a:t>
          </a:r>
        </a:p>
        <a:p>
          <a:br>
            <a:rPr lang="en-US"/>
          </a:br>
          <a:endParaRPr lang="en-US"/>
        </a:p>
        <a:p>
          <a:r>
            <a:rPr lang="en-US"/>
            <a:t>UNESCAP. (2023). Economic and Social Survey of Asia and the Pacific 2023: Rethinking Public Debt for the Sustainable Development Goals. URL: https://repository.unescap.org/server/api/core/bitstreams/0d97f898-1879-4514-8978-b585805f419f/content</a:t>
          </a:r>
        </a:p>
        <a:p>
          <a:br>
            <a:rPr lang="en-US"/>
          </a:br>
          <a:endParaRPr lang="en-US"/>
        </a:p>
        <a:p>
          <a:r>
            <a:rPr lang="en-US"/>
            <a:t>UNFCCC. (2022). Nairobi Work Programme on Impacts, Vulnerability and Adaptation to Climate Change. United Nations Framework Convention on Climate Change. URL: https://unfccc.int/sites/default/files/resource/DT.DC_.SBSTA60.i5c.1.pdf</a:t>
          </a:r>
        </a:p>
        <a:p>
          <a:br>
            <a:rPr lang="en-US"/>
          </a:br>
          <a:endParaRPr lang="en-US"/>
        </a:p>
        <a:p>
          <a:r>
            <a:rPr lang="en-US"/>
            <a:t>van Rijn, F. C., Bulte, E. H., &amp; Adekunle, A. (2012). Social capital and agricultural innovation in Sub-Saharan Africa. Agricultural Systems, 108, 112–122. https://doi.org/10.1016/j.agsy.2011.12.003</a:t>
          </a:r>
        </a:p>
        <a:p>
          <a:br>
            <a:rPr lang="en-US"/>
          </a:br>
          <a:endParaRPr lang="en-US"/>
        </a:p>
        <a:p>
          <a:r>
            <a:rPr lang="en-US"/>
            <a:t>Wigboldus, S., Klerkx, L., Leeuwis, C., Schut, M., Muilerman, S., &amp; Jochemsen, H. (2016). Systemic perspectives on scaling agricultural innovations: A review. Agronomy for Sustainable Development, 36(1), 1–20. https://doi.org/10.1007/s13593-016-0380-z</a:t>
          </a:r>
        </a:p>
        <a:p>
          <a:br>
            <a:rPr lang="en-US"/>
          </a:br>
          <a:endParaRPr lang="en-US"/>
        </a:p>
        <a:p>
          <a:r>
            <a:rPr lang="en-US"/>
            <a:t>WMO. (2022). State of the Climate in Africa 2021. World Meteorological Organization. URL: https://library.wmo.int/records/item/58070-state-of-the-climate-in-africa-2021#.Y8a3SOzMLjA</a:t>
          </a:r>
        </a:p>
        <a:p>
          <a:br>
            <a:rPr lang="en-US"/>
          </a:br>
          <a:endParaRPr lang="en-US"/>
        </a:p>
        <a:p>
          <a:r>
            <a:rPr lang="en-US"/>
            <a:t>Woltering, L., Fehlenberg, K., Gerard, B., Ubels, J., &amp; Cooley, L. (2019). Scaling – from “reaching many” to sustainable systems change at scale: A critical shift in mindset. Agricultural Systems, 176, 102652. https://doi.org/10.1016/j.agsy.2019.102652</a:t>
          </a:r>
        </a:p>
        <a:p>
          <a:br>
            <a:rPr lang="en-US"/>
          </a:br>
          <a:endParaRPr lang="en-US"/>
        </a:p>
        <a:p>
          <a:r>
            <a:rPr lang="en-US"/>
            <a:t>World Bank. (2020). Harvesting Prosperity: Technology and Productivity Growth in Agriculture. World Bank Group. URL: https://openknowledge.worldbank.org/entities/publication/acb134b2-3b82-5ccf-87a0-d6882a53d92e</a:t>
          </a:r>
        </a:p>
        <a:p>
          <a:br>
            <a:rPr lang="en-US"/>
          </a:br>
          <a:endParaRPr lang="en-US"/>
        </a:p>
        <a:p>
          <a:r>
            <a:rPr lang="en-US"/>
            <a:t>World Bank. (2024). Repurposing Agricultural Support Policies for Sustainable Food Systems -Toolkit. World Bank Group. URL: https://openknowledge.worldbank.org/entities/publication/ff426289-0d6d</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giar.sharepoint.com/sites/PCUInterim/Shared%20Documents/6.%20P25%20Inception/01.%20Inception%20Deliverables/xPrioritization/0"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giar.sharepoint.com/sites/CGIARTransitionandInception-Generaldocsandinfo/Shared%20Documents/Inception%20Phase%20templates/Prioritisation%20template%20and%20resources/Projected%20Benefits%20Data%20(Nov%202024)%20-%20With%20Analysis.xlsx" TargetMode="External"/><Relationship Id="rId2" Type="http://schemas.microsoft.com/office/2019/04/relationships/externalLinkLongPath" Target="https://cimmyt-my.sharepoint.com/sites/CGIARTransitionandInception-Generaldocsandinfo/Shared%20Documents/Inception%20Phase%20templates/Prioritisation%20template%20and%20resources/Projected%20Benefits%20Data%20(Nov%202024)%20-%20With%20Analysis.xlsx?8CDB0AAA" TargetMode="External"/><Relationship Id="rId1" Type="http://schemas.openxmlformats.org/officeDocument/2006/relationships/externalLinkPath" Target="file:///\\8CDB0AAA\Projected%20Benefits%20Data%20(Nov%202024)%20-%20With%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nge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Notes"/>
      <sheetName val="Analysis"/>
      <sheetName val="Hunger"/>
      <sheetName val="Poverty_215"/>
      <sheetName val="Poverty_365"/>
      <sheetName val="Poverty_685"/>
      <sheetName val="Jobs"/>
      <sheetName val="Incomes"/>
      <sheetName val="PA"/>
      <sheetName val="PY"/>
      <sheetName val="PQ"/>
      <sheetName val="PV"/>
      <sheetName val="GA"/>
      <sheetName val="GF"/>
      <sheetName val="GN"/>
      <sheetName val="GT"/>
      <sheetName val="GPC"/>
      <sheetName val="POP"/>
      <sheetName val="JA"/>
      <sheetName val="JF"/>
      <sheetName val="JW"/>
      <sheetName val="EA"/>
      <sheetName val="EO"/>
      <sheetName val="EF"/>
    </sheetNames>
    <sheetDataSet>
      <sheetData sheetId="0" refreshError="1"/>
      <sheetData sheetId="1" refreshError="1"/>
      <sheetData sheetId="2">
        <row r="6">
          <cell r="I6">
            <v>2021</v>
          </cell>
          <cell r="J6">
            <v>2022</v>
          </cell>
          <cell r="K6">
            <v>2023</v>
          </cell>
          <cell r="L6">
            <v>2024</v>
          </cell>
          <cell r="M6">
            <v>2025</v>
          </cell>
          <cell r="N6">
            <v>2026</v>
          </cell>
          <cell r="O6">
            <v>2027</v>
          </cell>
          <cell r="P6">
            <v>2028</v>
          </cell>
          <cell r="Q6">
            <v>2029</v>
          </cell>
          <cell r="R6">
            <v>2030</v>
          </cell>
          <cell r="S6">
            <v>2031</v>
          </cell>
          <cell r="T6">
            <v>2032</v>
          </cell>
          <cell r="U6">
            <v>2033</v>
          </cell>
          <cell r="V6">
            <v>2034</v>
          </cell>
          <cell r="W6">
            <v>2035</v>
          </cell>
          <cell r="X6">
            <v>2036</v>
          </cell>
          <cell r="Y6">
            <v>2037</v>
          </cell>
          <cell r="Z6">
            <v>2038</v>
          </cell>
          <cell r="AA6">
            <v>2039</v>
          </cell>
          <cell r="AB6">
            <v>2040</v>
          </cell>
        </row>
        <row r="8">
          <cell r="H8" t="str">
            <v>LAC</v>
          </cell>
        </row>
        <row r="9">
          <cell r="H9" t="str">
            <v>CWANA</v>
          </cell>
        </row>
        <row r="10">
          <cell r="H10" t="str">
            <v>WCA</v>
          </cell>
        </row>
        <row r="11">
          <cell r="H11" t="str">
            <v>ESA</v>
          </cell>
        </row>
        <row r="12">
          <cell r="H12" t="str">
            <v>SA</v>
          </cell>
        </row>
        <row r="13">
          <cell r="H13" t="str">
            <v>SEA</v>
          </cell>
        </row>
        <row r="32">
          <cell r="H32" t="str">
            <v>LAC</v>
          </cell>
          <cell r="I32">
            <v>44.994626247528409</v>
          </cell>
          <cell r="J32">
            <v>42.274181310493304</v>
          </cell>
          <cell r="K32">
            <v>39.642775911585034</v>
          </cell>
          <cell r="L32">
            <v>37.10303743411346</v>
          </cell>
          <cell r="M32">
            <v>34.657196751465953</v>
          </cell>
          <cell r="N32">
            <v>32.307079996639004</v>
          </cell>
          <cell r="O32">
            <v>30.054103446080493</v>
          </cell>
          <cell r="P32">
            <v>27.899271595631379</v>
          </cell>
          <cell r="Q32">
            <v>25.843178467953077</v>
          </cell>
          <cell r="R32">
            <v>23.886012150879463</v>
          </cell>
          <cell r="S32">
            <v>22.027562525242541</v>
          </cell>
          <cell r="T32">
            <v>20.267232099633596</v>
          </cell>
          <cell r="U32">
            <v>18.604049829002967</v>
          </cell>
          <cell r="V32">
            <v>17.036687754712815</v>
          </cell>
          <cell r="W32">
            <v>15.563480266407618</v>
          </cell>
          <cell r="X32">
            <v>14.182445751574955</v>
          </cell>
          <cell r="Y32">
            <v>12.891310367628208</v>
          </cell>
          <cell r="Z32">
            <v>11.687533644387715</v>
          </cell>
          <cell r="AA32">
            <v>10.568335602534368</v>
          </cell>
          <cell r="AB32">
            <v>9.5307250564153101</v>
          </cell>
        </row>
        <row r="33">
          <cell r="H33" t="str">
            <v>CWANA</v>
          </cell>
          <cell r="I33">
            <v>53.029004234032065</v>
          </cell>
          <cell r="J33">
            <v>52.525290224514286</v>
          </cell>
          <cell r="K33">
            <v>51.96185637562116</v>
          </cell>
          <cell r="L33">
            <v>51.339094690398539</v>
          </cell>
          <cell r="M33">
            <v>50.657604575609803</v>
          </cell>
          <cell r="N33">
            <v>49.918200256079977</v>
          </cell>
          <cell r="O33">
            <v>49.12191735931718</v>
          </cell>
          <cell r="P33">
            <v>48.270018536166937</v>
          </cell>
          <cell r="Q33">
            <v>47.363997978801621</v>
          </cell>
          <cell r="R33">
            <v>46.405584694269365</v>
          </cell>
          <cell r="S33">
            <v>45.396744390391454</v>
          </cell>
          <cell r="T33">
            <v>44.339679831303215</v>
          </cell>
          <cell r="U33">
            <v>43.236829522627083</v>
          </cell>
          <cell r="V33">
            <v>42.090864591472283</v>
          </cell>
          <cell r="W33">
            <v>40.904683734416942</v>
          </cell>
          <cell r="X33">
            <v>39.681406117611161</v>
          </cell>
          <cell r="Y33">
            <v>38.424362127423528</v>
          </cell>
          <cell r="Z33">
            <v>37.137081887757027</v>
          </cell>
          <cell r="AA33">
            <v>35.823281481524063</v>
          </cell>
          <cell r="AB33">
            <v>34.486846838830338</v>
          </cell>
        </row>
        <row r="34">
          <cell r="H34" t="str">
            <v>WCA</v>
          </cell>
          <cell r="I34">
            <v>108.61272300297506</v>
          </cell>
          <cell r="J34">
            <v>108.74281075537525</v>
          </cell>
          <cell r="K34">
            <v>108.75146812675052</v>
          </cell>
          <cell r="L34">
            <v>108.63645888480424</v>
          </cell>
          <cell r="M34">
            <v>108.39591134798818</v>
          </cell>
          <cell r="N34">
            <v>108.02834379867106</v>
          </cell>
          <cell r="O34">
            <v>107.53268866167555</v>
          </cell>
          <cell r="P34">
            <v>106.90831514239645</v>
          </cell>
          <cell r="Q34">
            <v>106.15505001255639</v>
          </cell>
          <cell r="R34">
            <v>105.27319622925576</v>
          </cell>
          <cell r="S34">
            <v>104.26354907481114</v>
          </cell>
          <cell r="T34">
            <v>103.12740951124412</v>
          </cell>
          <cell r="U34">
            <v>101.86659445453394</v>
          </cell>
          <cell r="V34">
            <v>100.48344369010545</v>
          </cell>
          <cell r="W34">
            <v>98.980823172615416</v>
          </cell>
          <cell r="X34">
            <v>97.362124480114034</v>
          </cell>
          <cell r="Y34">
            <v>95.631260224898313</v>
          </cell>
          <cell r="Z34">
            <v>93.792655260915183</v>
          </cell>
          <cell r="AA34">
            <v>91.851233569961806</v>
          </cell>
          <cell r="AB34">
            <v>89.812400756005999</v>
          </cell>
        </row>
        <row r="35">
          <cell r="H35" t="str">
            <v>ESA</v>
          </cell>
          <cell r="I35">
            <v>136.58277344182454</v>
          </cell>
          <cell r="J35">
            <v>133.80325740823852</v>
          </cell>
          <cell r="K35">
            <v>130.81169389927274</v>
          </cell>
          <cell r="L35">
            <v>127.61502458888565</v>
          </cell>
          <cell r="M35">
            <v>124.22171589799966</v>
          </cell>
          <cell r="N35">
            <v>120.64177208407331</v>
          </cell>
          <cell r="O35">
            <v>116.88672959836752</v>
          </cell>
          <cell r="P35">
            <v>112.96963098244476</v>
          </cell>
          <cell r="Q35">
            <v>108.90497681647865</v>
          </cell>
          <cell r="R35">
            <v>104.70865454402686</v>
          </cell>
          <cell r="S35">
            <v>100.39784338159049</v>
          </cell>
          <cell r="T35">
            <v>95.990894974677246</v>
          </cell>
          <cell r="U35">
            <v>91.507189980302982</v>
          </cell>
          <cell r="V35">
            <v>86.966971330753381</v>
          </cell>
          <cell r="W35">
            <v>82.391155553491927</v>
          </cell>
          <cell r="X35">
            <v>77.80112417213013</v>
          </cell>
          <cell r="Y35">
            <v>73.2184978749885</v>
          </cell>
          <cell r="Z35">
            <v>68.664896789270884</v>
          </cell>
          <cell r="AA35">
            <v>64.16169081610434</v>
          </cell>
          <cell r="AB35">
            <v>59.729744538591724</v>
          </cell>
        </row>
        <row r="36">
          <cell r="H36" t="str">
            <v>SA</v>
          </cell>
          <cell r="I36">
            <v>285.97811732395007</v>
          </cell>
          <cell r="J36">
            <v>259.96047433622363</v>
          </cell>
          <cell r="K36">
            <v>235.06924338441894</v>
          </cell>
          <cell r="L36">
            <v>211.39957144142542</v>
          </cell>
          <cell r="M36">
            <v>189.03167055207234</v>
          </cell>
          <cell r="N36">
            <v>168.02968007506837</v>
          </cell>
          <cell r="O36">
            <v>148.44085416875936</v>
          </cell>
          <cell r="P36">
            <v>130.29510607260826</v>
          </cell>
          <cell r="Q36">
            <v>113.60493020982643</v>
          </cell>
          <cell r="R36">
            <v>98.365711055345173</v>
          </cell>
          <cell r="S36">
            <v>84.556414528514409</v>
          </cell>
          <cell r="T36">
            <v>72.140643942711421</v>
          </cell>
          <cell r="U36">
            <v>61.068028923248249</v>
          </cell>
          <cell r="V36">
            <v>51.275902893832011</v>
          </cell>
          <cell r="W36">
            <v>42.691213447000997</v>
          </cell>
          <cell r="X36">
            <v>35.232600836880536</v>
          </cell>
          <cell r="Y36">
            <v>28.812573558076505</v>
          </cell>
          <cell r="Z36">
            <v>23.339706959850233</v>
          </cell>
          <cell r="AA36">
            <v>18.720791363989754</v>
          </cell>
          <cell r="AB36">
            <v>14.862860264376677</v>
          </cell>
        </row>
        <row r="37">
          <cell r="H37" t="str">
            <v>SEA</v>
          </cell>
          <cell r="I37">
            <v>63.434623188118827</v>
          </cell>
          <cell r="J37">
            <v>55.039026121819838</v>
          </cell>
          <cell r="K37">
            <v>47.508669601200317</v>
          </cell>
          <cell r="L37">
            <v>40.792406994222738</v>
          </cell>
          <cell r="M37">
            <v>34.83664000723217</v>
          </cell>
          <cell r="N37">
            <v>29.586210650753618</v>
          </cell>
          <cell r="O37">
            <v>24.985258502709165</v>
          </cell>
          <cell r="P37">
            <v>20.978025664776631</v>
          </cell>
          <cell r="Q37">
            <v>17.5095942441598</v>
          </cell>
          <cell r="R37">
            <v>14.526544038026993</v>
          </cell>
          <cell r="S37">
            <v>11.977521220647132</v>
          </cell>
          <cell r="T37">
            <v>9.8137120942565428</v>
          </cell>
          <cell r="U37">
            <v>7.9892192232337811</v>
          </cell>
          <cell r="V37">
            <v>6.4613403929105191</v>
          </cell>
          <cell r="W37">
            <v>5.1907536984482805</v>
          </cell>
          <cell r="X37">
            <v>4.1416145740998411</v>
          </cell>
          <cell r="Y37">
            <v>3.2815726412781241</v>
          </cell>
          <cell r="Z37">
            <v>2.5817178343489147</v>
          </cell>
          <cell r="AA37">
            <v>2.0164663329687422</v>
          </cell>
          <cell r="AB37">
            <v>1.5633973932392926</v>
          </cell>
        </row>
      </sheetData>
      <sheetData sheetId="3">
        <row r="8">
          <cell r="M8" t="str">
            <v>LAC</v>
          </cell>
          <cell r="N8">
            <v>4.9855700000000001</v>
          </cell>
          <cell r="O8">
            <v>5.0242558249487326</v>
          </cell>
          <cell r="P8">
            <v>5.062117154095195</v>
          </cell>
          <cell r="Q8">
            <v>5.0991221524061769</v>
          </cell>
          <cell r="R8">
            <v>5.1352386432570594</v>
          </cell>
          <cell r="S8">
            <v>5.1704341135176257</v>
          </cell>
          <cell r="T8">
            <v>5.2046757190976036</v>
          </cell>
          <cell r="U8">
            <v>5.2379302909876833</v>
          </cell>
          <cell r="V8">
            <v>5.2701643418338628</v>
          </cell>
          <cell r="W8">
            <v>5.3013440730862023</v>
          </cell>
          <cell r="X8">
            <v>5.3314353827658323</v>
          </cell>
          <cell r="Y8">
            <v>5.3604038738972362</v>
          </cell>
          <cell r="Z8">
            <v>5.3882148636566836</v>
          </cell>
          <cell r="AA8">
            <v>5.4148333932908708</v>
          </cell>
          <cell r="AB8">
            <v>5.440224238864193</v>
          </cell>
          <cell r="AC8">
            <v>5.4643519228972357</v>
          </cell>
          <cell r="AD8">
            <v>5.4871807269634791</v>
          </cell>
          <cell r="AE8">
            <v>5.5086747053163601</v>
          </cell>
          <cell r="AF8">
            <v>5.5287976996237669</v>
          </cell>
          <cell r="AG8">
            <v>5.5475133548929874</v>
          </cell>
        </row>
        <row r="9">
          <cell r="M9" t="str">
            <v>CWANA</v>
          </cell>
          <cell r="N9">
            <v>4.5991800000000005</v>
          </cell>
          <cell r="O9">
            <v>4.4042124111186176</v>
          </cell>
          <cell r="P9">
            <v>4.2131090946072494</v>
          </cell>
          <cell r="Q9">
            <v>4.0259800445895442</v>
          </cell>
          <cell r="R9">
            <v>3.8429300331731717</v>
          </cell>
          <cell r="S9">
            <v>3.6640582478081392</v>
          </cell>
          <cell r="T9">
            <v>3.4894579332820426</v>
          </cell>
          <cell r="U9">
            <v>3.3192160404052045</v>
          </cell>
          <cell r="V9">
            <v>3.1534128835435875</v>
          </cell>
          <cell r="W9">
            <v>2.9921218092536246</v>
          </cell>
          <cell r="X9">
            <v>2.8354088783588502</v>
          </cell>
          <cell r="Y9">
            <v>2.6833325638814145</v>
          </cell>
          <cell r="Z9">
            <v>2.5359434673004513</v>
          </cell>
          <cell r="AA9">
            <v>2.3932840556515869</v>
          </cell>
          <cell r="AB9">
            <v>2.2553884220052036</v>
          </cell>
          <cell r="AC9">
            <v>2.1222820718637156</v>
          </cell>
          <cell r="AD9">
            <v>1.9939817379979106</v>
          </cell>
          <cell r="AE9">
            <v>1.8704952261966068</v>
          </cell>
          <cell r="AF9">
            <v>1.7518212943315459</v>
          </cell>
          <cell r="AG9">
            <v>1.637949567038026</v>
          </cell>
        </row>
        <row r="10">
          <cell r="M10" t="str">
            <v>WCA</v>
          </cell>
          <cell r="N10">
            <v>36.308069999999994</v>
          </cell>
          <cell r="O10">
            <v>36.185861896128479</v>
          </cell>
          <cell r="P10">
            <v>36.06170110049667</v>
          </cell>
          <cell r="Q10">
            <v>35.93557699720413</v>
          </cell>
          <cell r="R10">
            <v>35.807478695050726</v>
          </cell>
          <cell r="S10">
            <v>35.677395033949246</v>
          </cell>
          <cell r="T10">
            <v>35.545314591576144</v>
          </cell>
          <cell r="U10">
            <v>35.411225690279473</v>
          </cell>
          <cell r="V10">
            <v>35.2751164042635</v>
          </cell>
          <cell r="W10">
            <v>35.136974567070602</v>
          </cell>
          <cell r="X10">
            <v>34.99678777938167</v>
          </cell>
          <cell r="Y10">
            <v>34.854543417157117</v>
          </cell>
          <cell r="Z10">
            <v>34.710228640141892</v>
          </cell>
          <cell r="AA10">
            <v>34.563830400758199</v>
          </cell>
          <cell r="AB10">
            <v>34.415335453411203</v>
          </cell>
          <cell r="AC10">
            <v>34.264730364233813</v>
          </cell>
          <cell r="AD10">
            <v>34.112001521297493</v>
          </cell>
          <cell r="AE10">
            <v>33.957135145317729</v>
          </cell>
          <cell r="AF10">
            <v>33.800117300883173</v>
          </cell>
          <cell r="AG10">
            <v>33.64093390823939</v>
          </cell>
        </row>
        <row r="11">
          <cell r="M11" t="str">
            <v>ESA</v>
          </cell>
          <cell r="N11">
            <v>38.895679999999999</v>
          </cell>
          <cell r="O11">
            <v>38.854339595759434</v>
          </cell>
          <cell r="P11">
            <v>38.811608056121294</v>
          </cell>
          <cell r="Q11">
            <v>38.76744471582041</v>
          </cell>
          <cell r="R11">
            <v>38.721807292463673</v>
          </cell>
          <cell r="S11">
            <v>38.674651820200459</v>
          </cell>
          <cell r="T11">
            <v>38.625932580548529</v>
          </cell>
          <cell r="U11">
            <v>38.575602030264164</v>
          </cell>
          <cell r="V11">
            <v>38.523610726142337</v>
          </cell>
          <cell r="W11">
            <v>38.469907246630569</v>
          </cell>
          <cell r="X11">
            <v>38.414438110137155</v>
          </cell>
          <cell r="Y11">
            <v>38.357147689913063</v>
          </cell>
          <cell r="Z11">
            <v>38.297978125384574</v>
          </cell>
          <cell r="AA11">
            <v>38.23686922981279</v>
          </cell>
          <cell r="AB11">
            <v>38.173758394154838</v>
          </cell>
          <cell r="AC11">
            <v>38.108580487001923</v>
          </cell>
          <cell r="AD11">
            <v>38.041267750469046</v>
          </cell>
          <cell r="AE11">
            <v>37.971749691912898</v>
          </cell>
          <cell r="AF11">
            <v>37.899952971356136</v>
          </cell>
          <cell r="AG11">
            <v>37.825801284499441</v>
          </cell>
        </row>
        <row r="12">
          <cell r="M12" t="str">
            <v>SA</v>
          </cell>
          <cell r="N12">
            <v>11.48274</v>
          </cell>
          <cell r="O12">
            <v>10.469357809197607</v>
          </cell>
          <cell r="P12">
            <v>9.4825202525357888</v>
          </cell>
          <cell r="Q12">
            <v>8.5274756835821197</v>
          </cell>
          <cell r="R12">
            <v>7.609438644494297</v>
          </cell>
          <cell r="S12">
            <v>6.7334754098511684</v>
          </cell>
          <cell r="T12">
            <v>5.9043760153954095</v>
          </cell>
          <cell r="U12">
            <v>5.1265159997613008</v>
          </cell>
          <cell r="V12">
            <v>4.403712587839661</v>
          </cell>
          <cell r="W12">
            <v>3.7390816146864139</v>
          </cell>
          <cell r="X12">
            <v>3.1349029870807015</v>
          </cell>
          <cell r="Y12">
            <v>2.5925037146786232</v>
          </cell>
          <cell r="Z12">
            <v>2.1121682806009399</v>
          </cell>
          <cell r="AA12">
            <v>1.6930861056307471</v>
          </cell>
          <cell r="AB12">
            <v>1.3333448452239742</v>
          </cell>
          <cell r="AC12">
            <v>1.0299760582613207</v>
          </cell>
          <cell r="AD12">
            <v>0.77905633517437689</v>
          </cell>
          <cell r="AE12">
            <v>0.57586238850067506</v>
          </cell>
          <cell r="AF12">
            <v>0.41507324294913156</v>
          </cell>
          <cell r="AG12">
            <v>0.29100711854202421</v>
          </cell>
        </row>
        <row r="13">
          <cell r="M13" t="str">
            <v>SEA</v>
          </cell>
        </row>
      </sheetData>
      <sheetData sheetId="4">
        <row r="8">
          <cell r="M8" t="str">
            <v>LAC</v>
          </cell>
          <cell r="N8">
            <v>12.326178476819264</v>
          </cell>
          <cell r="O8">
            <v>12.381889163349326</v>
          </cell>
          <cell r="P8">
            <v>12.436251628916459</v>
          </cell>
          <cell r="Q8">
            <v>12.489232445082679</v>
          </cell>
          <cell r="R8">
            <v>12.540797718585354</v>
          </cell>
          <cell r="S8">
            <v>12.590913081668123</v>
          </cell>
          <cell r="T8">
            <v>12.639543682250387</v>
          </cell>
          <cell r="U8">
            <v>12.686654173942228</v>
          </cell>
          <cell r="V8">
            <v>12.732208705912404</v>
          </cell>
          <cell r="W8">
            <v>12.77617091261866</v>
          </cell>
          <cell r="X8">
            <v>12.818503903410948</v>
          </cell>
          <cell r="Y8">
            <v>12.859170252019601</v>
          </cell>
          <cell r="Z8">
            <v>12.898131985942833</v>
          </cell>
          <cell r="AA8">
            <v>12.93535057574935</v>
          </cell>
          <cell r="AB8">
            <v>12.970786924314398</v>
          </cell>
          <cell r="AC8">
            <v>13.004401356010282</v>
          </cell>
          <cell r="AD8">
            <v>13.036153605874441</v>
          </cell>
          <cell r="AE8">
            <v>13.066002808782224</v>
          </cell>
          <cell r="AF8">
            <v>13.093907488653745</v>
          </cell>
          <cell r="AG8">
            <v>13.119825547729045</v>
          </cell>
        </row>
        <row r="9">
          <cell r="M9" t="str">
            <v>CWANA</v>
          </cell>
          <cell r="N9">
            <v>14.288422822098919</v>
          </cell>
          <cell r="O9">
            <v>13.982702549201973</v>
          </cell>
          <cell r="P9">
            <v>13.67683968914368</v>
          </cell>
          <cell r="Q9">
            <v>13.370966999763937</v>
          </cell>
          <cell r="R9">
            <v>13.065220507316768</v>
          </cell>
          <cell r="S9">
            <v>12.75973944689008</v>
          </cell>
          <cell r="T9">
            <v>12.45466619149396</v>
          </cell>
          <cell r="U9">
            <v>12.150146169228629</v>
          </cell>
          <cell r="V9">
            <v>11.846327767942952</v>
          </cell>
          <cell r="W9">
            <v>11.543362226797486</v>
          </cell>
          <cell r="X9">
            <v>11.241403514153248</v>
          </cell>
          <cell r="Y9">
            <v>10.940608191217761</v>
          </cell>
          <cell r="Z9">
            <v>10.641135260895059</v>
          </cell>
          <cell r="AA9">
            <v>10.343146001306888</v>
          </cell>
          <cell r="AB9">
            <v>10.046803783476943</v>
          </cell>
          <cell r="AC9">
            <v>9.7522738727010143</v>
          </cell>
          <cell r="AD9">
            <v>9.4597232131634286</v>
          </cell>
          <cell r="AE9">
            <v>9.169320195402916</v>
          </cell>
          <cell r="AF9">
            <v>8.8812344062825215</v>
          </cell>
          <cell r="AG9">
            <v>8.5956363611760942</v>
          </cell>
        </row>
        <row r="10">
          <cell r="M10" t="str">
            <v>WCA</v>
          </cell>
          <cell r="N10">
            <v>64.127509059426401</v>
          </cell>
          <cell r="O10">
            <v>64.124548141671539</v>
          </cell>
          <cell r="P10">
            <v>64.121536417731221</v>
          </cell>
          <cell r="Q10">
            <v>64.11847342100998</v>
          </cell>
          <cell r="R10">
            <v>64.115358669989774</v>
          </cell>
          <cell r="S10">
            <v>64.112191668041959</v>
          </cell>
          <cell r="T10">
            <v>64.108971903230866</v>
          </cell>
          <cell r="U10">
            <v>64.10569884810873</v>
          </cell>
          <cell r="V10">
            <v>64.102371959502051</v>
          </cell>
          <cell r="W10">
            <v>64.098990678288956</v>
          </cell>
          <cell r="X10">
            <v>64.095554429167606</v>
          </cell>
          <cell r="Y10">
            <v>64.092062620415476</v>
          </cell>
          <cell r="Z10">
            <v>64.08851464363913</v>
          </cell>
          <cell r="AA10">
            <v>64.084909873514761</v>
          </cell>
          <cell r="AB10">
            <v>64.081247667518738</v>
          </cell>
          <cell r="AC10">
            <v>64.077527365648464</v>
          </cell>
          <cell r="AD10">
            <v>64.073748290133068</v>
          </cell>
          <cell r="AE10">
            <v>64.069909745133799</v>
          </cell>
          <cell r="AF10">
            <v>64.066011016434032</v>
          </cell>
          <cell r="AG10">
            <v>64.0620513711184</v>
          </cell>
        </row>
        <row r="11">
          <cell r="M11" t="str">
            <v>ESA</v>
          </cell>
          <cell r="N11">
            <v>65.5165687371194</v>
          </cell>
          <cell r="O11">
            <v>65.515304931460904</v>
          </cell>
          <cell r="P11">
            <v>65.513998192389707</v>
          </cell>
          <cell r="Q11">
            <v>65.51264723352152</v>
          </cell>
          <cell r="R11">
            <v>65.511250715585177</v>
          </cell>
          <cell r="S11">
            <v>65.509807244115564</v>
          </cell>
          <cell r="T11">
            <v>65.508315367035863</v>
          </cell>
          <cell r="U11">
            <v>65.506773572123265</v>
          </cell>
          <cell r="V11">
            <v>65.505180284352662</v>
          </cell>
          <cell r="W11">
            <v>65.503533863111798</v>
          </cell>
          <cell r="X11">
            <v>65.501832599281641</v>
          </cell>
          <cell r="Y11">
            <v>65.500074712175063</v>
          </cell>
          <cell r="Z11">
            <v>65.49825834632675</v>
          </cell>
          <cell r="AA11">
            <v>65.496381568126708</v>
          </cell>
          <cell r="AB11">
            <v>65.494442362289362</v>
          </cell>
          <cell r="AC11">
            <v>65.492438628150126</v>
          </cell>
          <cell r="AD11">
            <v>65.490368175780418</v>
          </cell>
          <cell r="AE11">
            <v>65.48822872191198</v>
          </cell>
          <cell r="AF11">
            <v>65.486017885660644</v>
          </cell>
          <cell r="AG11">
            <v>65.483733184039494</v>
          </cell>
        </row>
        <row r="12">
          <cell r="M12" t="str">
            <v>SA</v>
          </cell>
          <cell r="N12">
            <v>43.134169730216684</v>
          </cell>
          <cell r="O12">
            <v>42.785936062727707</v>
          </cell>
          <cell r="P12">
            <v>42.423103240684</v>
          </cell>
          <cell r="Q12">
            <v>42.045095756720556</v>
          </cell>
          <cell r="R12">
            <v>41.65132322262177</v>
          </cell>
          <cell r="S12">
            <v>41.241181256264561</v>
          </cell>
          <cell r="T12">
            <v>40.814052617892735</v>
          </cell>
          <cell r="U12">
            <v>40.369308632944382</v>
          </cell>
          <cell r="V12">
            <v>39.906310943056774</v>
          </cell>
          <cell r="W12">
            <v>39.424413631627587</v>
          </cell>
          <cell r="X12">
            <v>38.922965775403092</v>
          </cell>
          <cell r="Y12">
            <v>38.401314478959492</v>
          </cell>
          <cell r="Z12">
            <v>37.858808454588946</v>
          </cell>
          <cell r="AA12">
            <v>37.29480221591367</v>
          </cell>
          <cell r="AB12">
            <v>36.708660959410587</v>
          </cell>
          <cell r="AC12">
            <v>36.099766213769868</v>
          </cell>
          <cell r="AD12">
            <v>35.46752234241179</v>
          </cell>
          <cell r="AE12">
            <v>34.811363989254396</v>
          </cell>
          <cell r="AF12">
            <v>34.130764561582758</v>
          </cell>
          <cell r="AG12">
            <v>33.425245846137834</v>
          </cell>
        </row>
        <row r="13">
          <cell r="M13" t="str">
            <v>SEA</v>
          </cell>
          <cell r="N13">
            <v>6.6233528939511919</v>
          </cell>
          <cell r="O13">
            <v>5.5934125729499016</v>
          </cell>
          <cell r="P13">
            <v>4.6450586257173407</v>
          </cell>
          <cell r="Q13">
            <v>3.786173914837176</v>
          </cell>
          <cell r="R13">
            <v>3.0226307406783413</v>
          </cell>
          <cell r="S13">
            <v>2.357833528713984</v>
          </cell>
          <cell r="T13">
            <v>1.7923686946310629</v>
          </cell>
          <cell r="U13">
            <v>1.3238210051222614</v>
          </cell>
          <cell r="V13">
            <v>0.94680860843435022</v>
          </cell>
          <cell r="W13">
            <v>0.65326964308088331</v>
          </cell>
          <cell r="X13">
            <v>0.43300161114111568</v>
          </cell>
          <cell r="Y13">
            <v>0.27441370348333582</v>
          </cell>
          <cell r="Z13">
            <v>0.16540941087168839</v>
          </cell>
          <cell r="AA13">
            <v>9.4283044263614654E-2</v>
          </cell>
          <cell r="AB13">
            <v>5.0501137911965505E-2</v>
          </cell>
          <cell r="AC13">
            <v>2.5256506789093403E-2</v>
          </cell>
          <cell r="AD13">
            <v>1.172900824802448E-2</v>
          </cell>
          <cell r="AE13">
            <v>5.0518673078637812E-3</v>
          </cell>
          <cell r="AF13">
            <v>2.045953654585674E-3</v>
          </cell>
          <cell r="AG13">
            <v>8.2542744513886197E-4</v>
          </cell>
        </row>
      </sheetData>
      <sheetData sheetId="5">
        <row r="6">
          <cell r="N6">
            <v>2021</v>
          </cell>
          <cell r="O6">
            <v>2022</v>
          </cell>
          <cell r="P6">
            <v>2023</v>
          </cell>
          <cell r="Q6">
            <v>2024</v>
          </cell>
          <cell r="R6">
            <v>2025</v>
          </cell>
          <cell r="S6">
            <v>2026</v>
          </cell>
          <cell r="T6">
            <v>2027</v>
          </cell>
          <cell r="U6">
            <v>2028</v>
          </cell>
          <cell r="V6">
            <v>2029</v>
          </cell>
          <cell r="W6">
            <v>2030</v>
          </cell>
          <cell r="X6">
            <v>2031</v>
          </cell>
          <cell r="Y6">
            <v>2032</v>
          </cell>
          <cell r="Z6">
            <v>2033</v>
          </cell>
          <cell r="AA6">
            <v>2034</v>
          </cell>
          <cell r="AB6">
            <v>2035</v>
          </cell>
          <cell r="AC6">
            <v>2036</v>
          </cell>
          <cell r="AD6">
            <v>2037</v>
          </cell>
          <cell r="AE6">
            <v>2038</v>
          </cell>
          <cell r="AF6">
            <v>2039</v>
          </cell>
          <cell r="AG6">
            <v>2040</v>
          </cell>
        </row>
        <row r="8">
          <cell r="M8" t="str">
            <v>LAC</v>
          </cell>
          <cell r="N8">
            <v>31.997969993346203</v>
          </cell>
          <cell r="O8">
            <v>32.039062810175608</v>
          </cell>
          <cell r="P8">
            <v>32.079057725043626</v>
          </cell>
          <cell r="Q8">
            <v>32.117938611160028</v>
          </cell>
          <cell r="R8">
            <v>32.15568892393707</v>
          </cell>
          <cell r="S8">
            <v>32.192291687299296</v>
          </cell>
          <cell r="T8">
            <v>32.227729479466248</v>
          </cell>
          <cell r="U8">
            <v>32.261984418183793</v>
          </cell>
          <cell r="V8">
            <v>32.295038145378363</v>
          </cell>
          <cell r="W8">
            <v>32.326871811207042</v>
          </cell>
          <cell r="X8">
            <v>32.35746605747552</v>
          </cell>
          <cell r="Y8">
            <v>32.386801000393902</v>
          </cell>
          <cell r="Z8">
            <v>32.414856212639791</v>
          </cell>
          <cell r="AA8">
            <v>32.441610704695691</v>
          </cell>
          <cell r="AB8">
            <v>32.467042905426887</v>
          </cell>
          <cell r="AC8">
            <v>32.491130641864018</v>
          </cell>
          <cell r="AD8">
            <v>32.513851118152751</v>
          </cell>
          <cell r="AE8">
            <v>32.53518089363169</v>
          </cell>
          <cell r="AF8">
            <v>32.555095859997088</v>
          </cell>
          <cell r="AG8">
            <v>32.573571217511805</v>
          </cell>
        </row>
        <row r="9">
          <cell r="M9" t="str">
            <v>CWANA</v>
          </cell>
          <cell r="N9">
            <v>39.779016636555149</v>
          </cell>
          <cell r="O9">
            <v>39.643680609114753</v>
          </cell>
          <cell r="P9">
            <v>39.506380908463292</v>
          </cell>
          <cell r="Q9">
            <v>39.367094354850529</v>
          </cell>
          <cell r="R9">
            <v>39.225797452353419</v>
          </cell>
          <cell r="S9">
            <v>39.082466386812591</v>
          </cell>
          <cell r="T9">
            <v>38.937077023844417</v>
          </cell>
          <cell r="U9">
            <v>38.789604906939594</v>
          </cell>
          <cell r="V9">
            <v>38.640025255660525</v>
          </cell>
          <cell r="W9">
            <v>38.488312963950222</v>
          </cell>
          <cell r="X9">
            <v>38.334442598567406</v>
          </cell>
          <cell r="Y9">
            <v>38.178388397663184</v>
          </cell>
          <cell r="Z9">
            <v>38.020124269516145</v>
          </cell>
          <cell r="AA9">
            <v>37.859623791444534</v>
          </cell>
          <cell r="AB9">
            <v>37.69686020891541</v>
          </cell>
          <cell r="AC9">
            <v>37.531806434872571</v>
          </cell>
          <cell r="AD9">
            <v>37.364435049306998</v>
          </cell>
          <cell r="AE9">
            <v>37.194718299095641</v>
          </cell>
          <cell r="AF9">
            <v>37.022628098136288</v>
          </cell>
          <cell r="AG9">
            <v>36.848136027809275</v>
          </cell>
        </row>
        <row r="10">
          <cell r="M10" t="str">
            <v>WCA</v>
          </cell>
          <cell r="N10">
            <v>88.509866853767235</v>
          </cell>
          <cell r="O10">
            <v>88.506905907516682</v>
          </cell>
          <cell r="P10">
            <v>88.503894154216354</v>
          </cell>
          <cell r="Q10">
            <v>88.500831127247025</v>
          </cell>
          <cell r="R10">
            <v>88.49771634506611</v>
          </cell>
          <cell r="S10">
            <v>88.494549311019711</v>
          </cell>
          <cell r="T10">
            <v>88.491329513146155</v>
          </cell>
          <cell r="U10">
            <v>88.488056423970917</v>
          </cell>
          <cell r="V10">
            <v>88.484729500292858</v>
          </cell>
          <cell r="W10">
            <v>88.481348182961682</v>
          </cell>
          <cell r="X10">
            <v>88.477911896646276</v>
          </cell>
          <cell r="Y10">
            <v>88.47442004959386</v>
          </cell>
          <cell r="Z10">
            <v>88.470872033379976</v>
          </cell>
          <cell r="AA10">
            <v>88.467267222648758</v>
          </cell>
          <cell r="AB10">
            <v>88.463604974843548</v>
          </cell>
          <cell r="AC10">
            <v>88.459884629927714</v>
          </cell>
          <cell r="AD10">
            <v>88.456105510095327</v>
          </cell>
          <cell r="AE10">
            <v>88.452266919471526</v>
          </cell>
          <cell r="AF10">
            <v>88.44836814380244</v>
          </cell>
          <cell r="AG10">
            <v>88.444408450134276</v>
          </cell>
        </row>
        <row r="11">
          <cell r="M11" t="str">
            <v>ESA</v>
          </cell>
          <cell r="N11">
            <v>87.439470089502706</v>
          </cell>
          <cell r="O11">
            <v>87.438206272418199</v>
          </cell>
          <cell r="P11">
            <v>87.43689952147345</v>
          </cell>
          <cell r="Q11">
            <v>87.435548550266446</v>
          </cell>
          <cell r="R11">
            <v>87.434152019507337</v>
          </cell>
          <cell r="S11">
            <v>87.432708534711367</v>
          </cell>
          <cell r="T11">
            <v>87.431216643780985</v>
          </cell>
          <cell r="U11">
            <v>87.429674834471584</v>
          </cell>
          <cell r="V11">
            <v>87.428081531735046</v>
          </cell>
          <cell r="W11">
            <v>87.426435094934845</v>
          </cell>
          <cell r="X11">
            <v>87.424733814926384</v>
          </cell>
          <cell r="Y11">
            <v>87.422975910995547</v>
          </cell>
          <cell r="Z11">
            <v>87.421159527648513</v>
          </cell>
          <cell r="AA11">
            <v>87.41928273124519</v>
          </cell>
          <cell r="AB11">
            <v>87.417343506468242</v>
          </cell>
          <cell r="AC11">
            <v>87.415339752619502</v>
          </cell>
          <cell r="AD11">
            <v>87.413269279734905</v>
          </cell>
          <cell r="AE11">
            <v>87.411129804508619</v>
          </cell>
          <cell r="AF11">
            <v>87.408918946016826</v>
          </cell>
          <cell r="AG11">
            <v>87.406634221230576</v>
          </cell>
        </row>
        <row r="12">
          <cell r="M12" t="str">
            <v>SA</v>
          </cell>
          <cell r="N12">
            <v>80.974434595048464</v>
          </cell>
          <cell r="O12">
            <v>80.959242803092351</v>
          </cell>
          <cell r="P12">
            <v>80.943388042141493</v>
          </cell>
          <cell r="Q12">
            <v>80.926840343727847</v>
          </cell>
          <cell r="R12">
            <v>80.909568355452805</v>
          </cell>
          <cell r="S12">
            <v>80.891539276056207</v>
          </cell>
          <cell r="T12">
            <v>80.87271878739547</v>
          </cell>
          <cell r="U12">
            <v>80.853070983186115</v>
          </cell>
          <cell r="V12">
            <v>80.832558294348132</v>
          </cell>
          <cell r="W12">
            <v>80.811141410795415</v>
          </cell>
          <cell r="X12">
            <v>80.788779199497441</v>
          </cell>
          <cell r="Y12">
            <v>80.765428618634701</v>
          </cell>
          <cell r="Z12">
            <v>80.741044627660742</v>
          </cell>
          <cell r="AA12">
            <v>80.715580093075289</v>
          </cell>
          <cell r="AB12">
            <v>80.688985689703458</v>
          </cell>
          <cell r="AC12">
            <v>80.661209797267162</v>
          </cell>
          <cell r="AD12">
            <v>80.632198392024776</v>
          </cell>
          <cell r="AE12">
            <v>80.601894933245035</v>
          </cell>
          <cell r="AF12">
            <v>80.570240244270892</v>
          </cell>
          <cell r="AG12">
            <v>80.537172387918261</v>
          </cell>
        </row>
        <row r="13">
          <cell r="M13" t="str">
            <v>SEA</v>
          </cell>
          <cell r="N13">
            <v>29.552820007379527</v>
          </cell>
          <cell r="O13">
            <v>28.453080931793412</v>
          </cell>
          <cell r="P13">
            <v>27.310321404829729</v>
          </cell>
          <cell r="Q13">
            <v>26.12551348313033</v>
          </cell>
          <cell r="R13">
            <v>24.900204498083639</v>
          </cell>
          <cell r="S13">
            <v>23.63660480947399</v>
          </cell>
          <cell r="T13">
            <v>22.337678810268585</v>
          </cell>
          <cell r="U13">
            <v>21.007236195027286</v>
          </cell>
          <cell r="V13">
            <v>19.65001929952161</v>
          </cell>
          <cell r="W13">
            <v>18.271780897959644</v>
          </cell>
          <cell r="X13">
            <v>16.879345241730842</v>
          </cell>
          <cell r="Y13">
            <v>15.480643420645551</v>
          </cell>
          <cell r="Z13">
            <v>14.084712469190334</v>
          </cell>
          <cell r="AA13">
            <v>12.701646254863919</v>
          </cell>
          <cell r="AB13">
            <v>11.342485402175255</v>
          </cell>
          <cell r="AC13">
            <v>10.019033761655447</v>
          </cell>
          <cell r="AD13">
            <v>8.7435907626419773</v>
          </cell>
          <cell r="AE13">
            <v>7.5285929792859632</v>
          </cell>
          <cell r="AF13">
            <v>6.3861649398990448</v>
          </cell>
          <cell r="AG13">
            <v>5.3275889751452086</v>
          </cell>
        </row>
      </sheetData>
      <sheetData sheetId="6">
        <row r="8">
          <cell r="H8" t="str">
            <v>LAC</v>
          </cell>
          <cell r="I8">
            <v>79.453806000000029</v>
          </cell>
          <cell r="J8">
            <v>81.086566054723761</v>
          </cell>
          <cell r="K8">
            <v>82.761199563724261</v>
          </cell>
          <cell r="L8">
            <v>84.478933000031432</v>
          </cell>
          <cell r="M8">
            <v>86.241032775044218</v>
          </cell>
          <cell r="N8">
            <v>88.048806699008438</v>
          </cell>
          <cell r="O8">
            <v>89.903605503022717</v>
          </cell>
          <cell r="P8">
            <v>91.806824425594613</v>
          </cell>
          <cell r="Q8">
            <v>93.75990486693928</v>
          </cell>
          <cell r="R8">
            <v>95.764336114393075</v>
          </cell>
          <cell r="S8">
            <v>97.821657142505401</v>
          </cell>
          <cell r="T8">
            <v>99.933458491576303</v>
          </cell>
          <cell r="U8">
            <v>102.10138422862239</v>
          </cell>
          <cell r="V8">
            <v>104.32713399498354</v>
          </cell>
          <cell r="W8">
            <v>106.61246514502676</v>
          </cell>
          <cell r="X8">
            <v>108.95919498066223</v>
          </cell>
          <cell r="Y8">
            <v>111.36920308666291</v>
          </cell>
          <cell r="Z8">
            <v>113.8444337720708</v>
          </cell>
          <cell r="AA8">
            <v>116.38689862328633</v>
          </cell>
          <cell r="AB8">
            <v>118.9986791747661</v>
          </cell>
        </row>
        <row r="9">
          <cell r="H9" t="str">
            <v>CWANA</v>
          </cell>
          <cell r="I9">
            <v>50.377779000000018</v>
          </cell>
          <cell r="J9">
            <v>51.475883640949675</v>
          </cell>
          <cell r="K9">
            <v>52.60694668056464</v>
          </cell>
          <cell r="L9">
            <v>53.772163611607844</v>
          </cell>
          <cell r="M9">
            <v>54.972780888224577</v>
          </cell>
          <cell r="N9">
            <v>56.210098413985783</v>
          </cell>
          <cell r="O9">
            <v>57.485472164940759</v>
          </cell>
          <cell r="P9">
            <v>58.800316955564412</v>
          </cell>
          <cell r="Q9">
            <v>60.156109355966279</v>
          </cell>
          <cell r="R9">
            <v>61.554390769242069</v>
          </cell>
          <cell r="S9">
            <v>62.996770678393503</v>
          </cell>
          <cell r="T9">
            <v>64.484930072822266</v>
          </cell>
          <cell r="U9">
            <v>66.020625065020141</v>
          </cell>
          <cell r="V9">
            <v>67.605690708732766</v>
          </cell>
          <cell r="W9">
            <v>69.242045030571489</v>
          </cell>
          <cell r="X9">
            <v>70.931693287788633</v>
          </cell>
          <cell r="Y9">
            <v>72.676732465719184</v>
          </cell>
          <cell r="Z9">
            <v>74.479356029230715</v>
          </cell>
          <cell r="AA9">
            <v>76.341858943413598</v>
          </cell>
          <cell r="AB9">
            <v>78.266642979691554</v>
          </cell>
        </row>
        <row r="10">
          <cell r="H10" t="str">
            <v>WCA</v>
          </cell>
          <cell r="I10">
            <v>118.18600999999997</v>
          </cell>
          <cell r="J10">
            <v>122.23843040211432</v>
          </cell>
          <cell r="K10">
            <v>126.45316524656667</v>
          </cell>
          <cell r="L10">
            <v>130.83720375098156</v>
          </cell>
          <cell r="M10">
            <v>135.39784981501148</v>
          </cell>
          <cell r="N10">
            <v>140.14273666406737</v>
          </cell>
          <cell r="O10">
            <v>145.07984219400183</v>
          </cell>
          <cell r="P10">
            <v>150.21750505118411</v>
          </cell>
          <cell r="Q10">
            <v>155.56444148413863</v>
          </cell>
          <cell r="R10">
            <v>161.12976300474412</v>
          </cell>
          <cell r="S10">
            <v>166.92299489890539</v>
          </cell>
          <cell r="T10">
            <v>172.95409562862969</v>
          </cell>
          <cell r="U10">
            <v>179.23347716955743</v>
          </cell>
          <cell r="V10">
            <v>185.77202633022995</v>
          </cell>
          <cell r="W10">
            <v>192.58112710172094</v>
          </cell>
          <cell r="X10">
            <v>199.67268408872843</v>
          </cell>
          <cell r="Y10">
            <v>207.05914707581761</v>
          </cell>
          <cell r="Z10">
            <v>214.75353678523783</v>
          </cell>
          <cell r="AA10">
            <v>222.7694718856078</v>
          </cell>
          <cell r="AB10">
            <v>231.1211973137884</v>
          </cell>
        </row>
        <row r="11">
          <cell r="H11" t="str">
            <v>ESA</v>
          </cell>
          <cell r="I11">
            <v>152.33566000000002</v>
          </cell>
          <cell r="J11">
            <v>158.07421116433346</v>
          </cell>
          <cell r="K11">
            <v>164.07237269379897</v>
          </cell>
          <cell r="L11">
            <v>170.34341970834708</v>
          </cell>
          <cell r="M11">
            <v>176.90137254096749</v>
          </cell>
          <cell r="N11">
            <v>183.76104196085666</v>
          </cell>
          <cell r="O11">
            <v>190.93807732942491</v>
          </cell>
          <cell r="P11">
            <v>198.44901789019178</v>
          </cell>
          <cell r="Q11">
            <v>206.31134740803611</v>
          </cell>
          <cell r="R11">
            <v>214.54355238875252</v>
          </cell>
          <cell r="S11">
            <v>223.16518412650379</v>
          </cell>
          <cell r="T11">
            <v>232.19692484464082</v>
          </cell>
          <cell r="U11">
            <v>241.6606582145759</v>
          </cell>
          <cell r="V11">
            <v>251.57954455804838</v>
          </cell>
          <cell r="W11">
            <v>261.97810106032796</v>
          </cell>
          <cell r="X11">
            <v>272.88228734576751</v>
          </cell>
          <cell r="Y11">
            <v>284.31959679279009</v>
          </cell>
          <cell r="Z11">
            <v>296.31915399299453</v>
          </cell>
          <cell r="AA11">
            <v>308.91181878875346</v>
          </cell>
          <cell r="AB11">
            <v>322.13029735561247</v>
          </cell>
        </row>
        <row r="12">
          <cell r="H12" t="str">
            <v>SA</v>
          </cell>
          <cell r="I12">
            <v>335.11902000000009</v>
          </cell>
          <cell r="J12">
            <v>345.66881990260407</v>
          </cell>
          <cell r="K12">
            <v>356.63814092719883</v>
          </cell>
          <cell r="L12">
            <v>368.04753785339176</v>
          </cell>
          <cell r="M12">
            <v>379.91876723366477</v>
          </cell>
          <cell r="N12">
            <v>392.27486709759944</v>
          </cell>
          <cell r="O12">
            <v>405.1402423684076</v>
          </cell>
          <cell r="P12">
            <v>418.54075641958144</v>
          </cell>
          <cell r="Q12">
            <v>432.50382923231621</v>
          </cell>
          <cell r="R12">
            <v>447.05854264974494</v>
          </cell>
          <cell r="S12">
            <v>462.23575326217548</v>
          </cell>
          <cell r="T12">
            <v>478.06821349863992</v>
          </cell>
          <cell r="U12">
            <v>494.590701544387</v>
          </cell>
          <cell r="V12">
            <v>511.84016075174111</v>
          </cell>
          <cell r="W12">
            <v>529.85584926325362</v>
          </cell>
          <cell r="X12">
            <v>548.67950062161788</v>
          </cell>
          <cell r="Y12">
            <v>568.35549620068832</v>
          </cell>
          <cell r="Z12">
            <v>588.93105035650285</v>
          </cell>
          <cell r="AA12">
            <v>610.45640926681085</v>
          </cell>
          <cell r="AB12">
            <v>632.98506450266382</v>
          </cell>
        </row>
        <row r="13">
          <cell r="H13" t="str">
            <v>SEA</v>
          </cell>
          <cell r="I13">
            <v>430.51747</v>
          </cell>
          <cell r="J13">
            <v>439.33041241842869</v>
          </cell>
          <cell r="K13">
            <v>448.38064327155428</v>
          </cell>
          <cell r="L13">
            <v>457.67536459431091</v>
          </cell>
          <cell r="M13">
            <v>467.22201511279206</v>
          </cell>
          <cell r="N13">
            <v>477.02827850129813</v>
          </cell>
          <cell r="O13">
            <v>487.10209194083677</v>
          </cell>
          <cell r="P13">
            <v>497.45165499047306</v>
          </cell>
          <cell r="Q13">
            <v>508.08543878336332</v>
          </cell>
          <cell r="R13">
            <v>519.01219555976866</v>
          </cell>
          <cell r="S13">
            <v>530.24096854982224</v>
          </cell>
          <cell r="T13">
            <v>541.78110221932002</v>
          </cell>
          <cell r="U13">
            <v>553.64225289232104</v>
          </cell>
          <cell r="V13">
            <v>565.83439976488307</v>
          </cell>
          <cell r="W13">
            <v>578.36785632481349</v>
          </cell>
          <cell r="X13">
            <v>591.25328219290111</v>
          </cell>
          <cell r="Y13">
            <v>604.50169540169111</v>
          </cell>
          <cell r="Z13">
            <v>618.12448512850256</v>
          </cell>
          <cell r="AA13">
            <v>632.13342490002969</v>
          </cell>
          <cell r="AB13">
            <v>646.5406862865575</v>
          </cell>
        </row>
        <row r="32">
          <cell r="H32" t="str">
            <v>LAC</v>
          </cell>
          <cell r="I32">
            <v>39.87713500000001</v>
          </cell>
          <cell r="J32">
            <v>40.696602265354485</v>
          </cell>
          <cell r="K32">
            <v>41.537085432566613</v>
          </cell>
          <cell r="L32">
            <v>42.399200057177985</v>
          </cell>
          <cell r="M32">
            <v>43.283581739430616</v>
          </cell>
          <cell r="N32">
            <v>44.190886857267287</v>
          </cell>
          <cell r="O32">
            <v>45.121793330212284</v>
          </cell>
          <cell r="P32">
            <v>46.077001415649413</v>
          </cell>
          <cell r="Q32">
            <v>47.057234539099298</v>
          </cell>
          <cell r="R32">
            <v>48.063240160188528</v>
          </cell>
          <cell r="S32">
            <v>49.095790676099298</v>
          </cell>
          <cell r="T32">
            <v>50.155684364390105</v>
          </cell>
          <cell r="U32">
            <v>51.243746367186574</v>
          </cell>
          <cell r="V32">
            <v>52.360829718856365</v>
          </cell>
          <cell r="W32">
            <v>53.507816419405103</v>
          </cell>
          <cell r="X32">
            <v>54.685618555959309</v>
          </cell>
          <cell r="Y32">
            <v>55.895179474841946</v>
          </cell>
          <cell r="Z32">
            <v>57.137475006891762</v>
          </cell>
          <cell r="AA32">
            <v>58.413514748835354</v>
          </cell>
          <cell r="AB32">
            <v>59.724343403685864</v>
          </cell>
        </row>
        <row r="33">
          <cell r="H33" t="str">
            <v>CWANA</v>
          </cell>
          <cell r="I33">
            <v>31.03291200000001</v>
          </cell>
          <cell r="J33">
            <v>31.709348821269604</v>
          </cell>
          <cell r="K33">
            <v>32.406088147050994</v>
          </cell>
          <cell r="L33">
            <v>33.123866405635468</v>
          </cell>
          <cell r="M33">
            <v>33.863451417728342</v>
          </cell>
          <cell r="N33">
            <v>34.625643929093428</v>
          </cell>
          <cell r="O33">
            <v>35.411279226363988</v>
          </cell>
          <cell r="P33">
            <v>36.22122884087721</v>
          </cell>
          <cell r="Q33">
            <v>37.05640234568655</v>
          </cell>
          <cell r="R33">
            <v>37.917749251222475</v>
          </cell>
          <cell r="S33">
            <v>38.806261005408075</v>
          </cell>
          <cell r="T33">
            <v>39.72297310439285</v>
          </cell>
          <cell r="U33">
            <v>40.668967320448246</v>
          </cell>
          <cell r="V33">
            <v>41.645374053971722</v>
          </cell>
          <cell r="W33">
            <v>42.653374816975607</v>
          </cell>
          <cell r="X33">
            <v>43.694204855893609</v>
          </cell>
          <cell r="Y33">
            <v>44.769155922022804</v>
          </cell>
          <cell r="Z33">
            <v>45.879579198435607</v>
          </cell>
          <cell r="AA33">
            <v>47.026888392744873</v>
          </cell>
          <cell r="AB33">
            <v>48.212563005689191</v>
          </cell>
        </row>
        <row r="34">
          <cell r="H34" t="str">
            <v>WCA</v>
          </cell>
          <cell r="I34">
            <v>87.403205999999997</v>
          </cell>
          <cell r="J34">
            <v>90.400130383897917</v>
          </cell>
          <cell r="K34">
            <v>93.517092686331551</v>
          </cell>
          <cell r="L34">
            <v>96.759261708818272</v>
          </cell>
          <cell r="M34">
            <v>100.13203897262046</v>
          </cell>
          <cell r="N34">
            <v>103.64106954836053</v>
          </cell>
          <cell r="O34">
            <v>107.29225340401825</v>
          </cell>
          <cell r="P34">
            <v>111.09175729677888</v>
          </cell>
          <cell r="Q34">
            <v>115.04602723548342</v>
          </cell>
          <cell r="R34">
            <v>119.16180154178005</v>
          </cell>
          <cell r="S34">
            <v>123.44612453949483</v>
          </cell>
          <cell r="T34">
            <v>127.90636090323059</v>
          </cell>
          <cell r="U34">
            <v>132.55021069877162</v>
          </cell>
          <cell r="V34">
            <v>137.38572514952074</v>
          </cell>
          <cell r="W34">
            <v>142.42132316493215</v>
          </cell>
          <cell r="X34">
            <v>147.6658086687253</v>
          </cell>
          <cell r="Y34">
            <v>153.12838876658907</v>
          </cell>
          <cell r="Z34">
            <v>158.81869279510084</v>
          </cell>
          <cell r="AA34">
            <v>164.7467922957124</v>
          </cell>
          <cell r="AB34">
            <v>170.92322195988925</v>
          </cell>
        </row>
        <row r="35">
          <cell r="H35" t="str">
            <v>ESA</v>
          </cell>
          <cell r="I35">
            <v>130.63965000000002</v>
          </cell>
          <cell r="J35">
            <v>135.56090294639233</v>
          </cell>
          <cell r="K35">
            <v>140.70479192716564</v>
          </cell>
          <cell r="L35">
            <v>146.0827013878534</v>
          </cell>
          <cell r="M35">
            <v>151.70665485199987</v>
          </cell>
          <cell r="N35">
            <v>157.58935370353618</v>
          </cell>
          <cell r="O35">
            <v>163.74421848429319</v>
          </cell>
          <cell r="P35">
            <v>170.18543287906712</v>
          </cell>
          <cell r="Q35">
            <v>176.9279905730165</v>
          </cell>
          <cell r="R35">
            <v>183.98774517944975</v>
          </cell>
          <cell r="S35">
            <v>191.38146345033073</v>
          </cell>
          <cell r="T35">
            <v>199.12688199716456</v>
          </cell>
          <cell r="U35">
            <v>207.24276776640357</v>
          </cell>
          <cell r="V35">
            <v>215.74898253122643</v>
          </cell>
          <cell r="W35">
            <v>224.66655168058401</v>
          </cell>
          <cell r="X35">
            <v>234.01773760687746</v>
          </cell>
          <cell r="Y35">
            <v>243.82611801564533</v>
          </cell>
          <cell r="Z35">
            <v>254.11666950430984</v>
          </cell>
          <cell r="AA35">
            <v>264.91585678249055</v>
          </cell>
          <cell r="AB35">
            <v>276.25172793378215</v>
          </cell>
        </row>
        <row r="36">
          <cell r="H36" t="str">
            <v>SA</v>
          </cell>
          <cell r="I36">
            <v>269.06188000000009</v>
          </cell>
          <cell r="J36">
            <v>277.53215123503298</v>
          </cell>
          <cell r="K36">
            <v>286.33924949284307</v>
          </cell>
          <cell r="L36">
            <v>295.49967788818657</v>
          </cell>
          <cell r="M36">
            <v>305.03090442068083</v>
          </cell>
          <cell r="N36">
            <v>314.95142596809416</v>
          </cell>
          <cell r="O36">
            <v>325.2808368659571</v>
          </cell>
          <cell r="P36">
            <v>336.03990241698204</v>
          </cell>
          <cell r="Q36">
            <v>347.25063770014003</v>
          </cell>
          <cell r="R36">
            <v>358.93639207765807</v>
          </cell>
          <cell r="S36">
            <v>371.12193982883178</v>
          </cell>
          <cell r="T36">
            <v>383.83357737255687</v>
          </cell>
          <cell r="U36">
            <v>397.09922757607637</v>
          </cell>
          <cell r="V36">
            <v>410.94855168580307</v>
          </cell>
          <cell r="W36">
            <v>425.4130694574352</v>
          </cell>
          <cell r="X36">
            <v>440.52628810717351</v>
          </cell>
          <cell r="Y36">
            <v>456.32384075392099</v>
          </cell>
          <cell r="Z36">
            <v>472.84363507417561</v>
          </cell>
          <cell r="AA36">
            <v>490.12601294721367</v>
          </cell>
          <cell r="AB36">
            <v>508.21392192841813</v>
          </cell>
        </row>
        <row r="37">
          <cell r="H37" t="str">
            <v>SEA</v>
          </cell>
          <cell r="I37">
            <v>284.72257000000002</v>
          </cell>
          <cell r="J37">
            <v>290.55100621801699</v>
          </cell>
          <cell r="K37">
            <v>296.53637305480339</v>
          </cell>
          <cell r="L37">
            <v>302.68343357350676</v>
          </cell>
          <cell r="M37">
            <v>308.99710737288541</v>
          </cell>
          <cell r="N37">
            <v>315.48247604810399</v>
          </cell>
          <cell r="O37">
            <v>322.14478885089454</v>
          </cell>
          <cell r="P37">
            <v>328.98946855662052</v>
          </cell>
          <cell r="Q37">
            <v>336.02211754607043</v>
          </cell>
          <cell r="R37">
            <v>343.24852411011312</v>
          </cell>
          <cell r="S37">
            <v>350.67466898566175</v>
          </cell>
          <cell r="T37">
            <v>358.30673213172389</v>
          </cell>
          <cell r="U37">
            <v>366.15109975465475</v>
          </cell>
          <cell r="V37">
            <v>374.21437159208631</v>
          </cell>
          <cell r="W37">
            <v>382.50336846537647</v>
          </cell>
          <cell r="X37">
            <v>391.02514011080206</v>
          </cell>
          <cell r="Y37">
            <v>399.78697330012341</v>
          </cell>
          <cell r="Z37">
            <v>408.79640026155965</v>
          </cell>
          <cell r="AA37">
            <v>418.06120741264795</v>
          </cell>
          <cell r="AB37">
            <v>427.58944441690699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M7" t="str">
            <v>LAC</v>
          </cell>
          <cell r="N7">
            <v>1062.1580331999901</v>
          </cell>
          <cell r="O7">
            <v>1066.28860098679</v>
          </cell>
          <cell r="P7">
            <v>1070.46887931063</v>
          </cell>
          <cell r="Q7">
            <v>1074.6999178165199</v>
          </cell>
          <cell r="R7">
            <v>1078.9827968055399</v>
          </cell>
          <cell r="S7">
            <v>1083.3186281891701</v>
          </cell>
          <cell r="T7">
            <v>1087.7085564742599</v>
          </cell>
          <cell r="U7">
            <v>1092.1537597798399</v>
          </cell>
          <cell r="V7">
            <v>1096.6554508865599</v>
          </cell>
          <cell r="W7">
            <v>1101.2148783201701</v>
          </cell>
          <cell r="X7">
            <v>1105.83332746976</v>
          </cell>
          <cell r="Y7">
            <v>1110.51212174227</v>
          </cell>
          <cell r="Z7">
            <v>1115.2526237541599</v>
          </cell>
          <cell r="AA7">
            <v>1120.05623656168</v>
          </cell>
          <cell r="AB7">
            <v>1124.9244049309</v>
          </cell>
          <cell r="AC7">
            <v>1129.8586166487501</v>
          </cell>
          <cell r="AD7">
            <v>1134.86040387663</v>
          </cell>
          <cell r="AE7">
            <v>1139.9313445477201</v>
          </cell>
          <cell r="AF7">
            <v>1145.07306380962</v>
          </cell>
          <cell r="AG7">
            <v>1150.2872355137299</v>
          </cell>
        </row>
        <row r="8">
          <cell r="M8" t="str">
            <v>CWANA</v>
          </cell>
          <cell r="N8">
            <v>267.73907960000003</v>
          </cell>
          <cell r="O8">
            <v>273.34463420968098</v>
          </cell>
          <cell r="P8">
            <v>279.09723013930602</v>
          </cell>
          <cell r="Q8">
            <v>285.00085062601102</v>
          </cell>
          <cell r="R8">
            <v>291.05959129262402</v>
          </cell>
          <cell r="S8">
            <v>297.27766337903603</v>
          </cell>
          <cell r="T8">
            <v>303.65939706781103</v>
          </cell>
          <cell r="U8">
            <v>310.20924490681602</v>
          </cell>
          <cell r="V8">
            <v>316.93178533171903</v>
          </cell>
          <cell r="W8">
            <v>323.83172629131099</v>
          </cell>
          <cell r="X8">
            <v>330.91390897866398</v>
          </cell>
          <cell r="Y8">
            <v>338.18331167126303</v>
          </cell>
          <cell r="Z8">
            <v>345.64505368330299</v>
          </cell>
          <cell r="AA8">
            <v>353.30439943348</v>
          </cell>
          <cell r="AB8">
            <v>361.16676263165903</v>
          </cell>
          <cell r="AC8">
            <v>369.23771058794301</v>
          </cell>
          <cell r="AD8">
            <v>377.52296864774598</v>
          </cell>
          <cell r="AE8">
            <v>386.028424756589</v>
          </cell>
          <cell r="AF8">
            <v>394.76013415844199</v>
          </cell>
          <cell r="AG8">
            <v>403.72432423157198</v>
          </cell>
        </row>
        <row r="9">
          <cell r="M9" t="str">
            <v>WCA</v>
          </cell>
          <cell r="N9">
            <v>354.39023769999898</v>
          </cell>
          <cell r="O9">
            <v>363.35389500703599</v>
          </cell>
          <cell r="P9">
            <v>372.57065881653199</v>
          </cell>
          <cell r="Q9">
            <v>382.04803712420397</v>
          </cell>
          <cell r="R9">
            <v>391.79377206257402</v>
          </cell>
          <cell r="S9">
            <v>401.81584761893498</v>
          </cell>
          <cell r="T9">
            <v>412.12249762273399</v>
          </cell>
          <cell r="U9">
            <v>422.72221401228501</v>
          </cell>
          <cell r="V9">
            <v>433.62375539113401</v>
          </cell>
          <cell r="W9">
            <v>444.83615588478801</v>
          </cell>
          <cell r="X9">
            <v>456.36873430891598</v>
          </cell>
          <cell r="Y9">
            <v>468.23110366059802</v>
          </cell>
          <cell r="Z9">
            <v>480.43318094461603</v>
          </cell>
          <cell r="AA9">
            <v>492.98519734726</v>
          </cell>
          <cell r="AB9">
            <v>505.89770877060801</v>
          </cell>
          <cell r="AC9">
            <v>519.18160674074397</v>
          </cell>
          <cell r="AD9">
            <v>532.84812970390499</v>
          </cell>
          <cell r="AE9">
            <v>546.90887472508905</v>
          </cell>
          <cell r="AF9">
            <v>561.37580960423804</v>
          </cell>
          <cell r="AG9">
            <v>576.26128542568199</v>
          </cell>
        </row>
        <row r="10">
          <cell r="M10" t="str">
            <v>ESA</v>
          </cell>
          <cell r="N10">
            <v>505.23433779999903</v>
          </cell>
          <cell r="O10">
            <v>525.74193172002697</v>
          </cell>
          <cell r="P10">
            <v>547.25019877286104</v>
          </cell>
          <cell r="Q10">
            <v>569.81421939826498</v>
          </cell>
          <cell r="R10">
            <v>593.49231856741903</v>
          </cell>
          <cell r="S10">
            <v>618.34626353935198</v>
          </cell>
          <cell r="T10">
            <v>644.441473877102</v>
          </cell>
          <cell r="U10">
            <v>671.847244490614</v>
          </cell>
          <cell r="V10">
            <v>700.63698252167205</v>
          </cell>
          <cell r="W10">
            <v>730.88845893742098</v>
          </cell>
          <cell r="X10">
            <v>762.684075753667</v>
          </cell>
          <cell r="Y10">
            <v>796.11114986711004</v>
          </cell>
          <cell r="Z10">
            <v>831.262214537354</v>
          </cell>
          <cell r="AA10">
            <v>868.23533962514296</v>
          </cell>
          <cell r="AB10">
            <v>907.13447176298496</v>
          </cell>
          <cell r="AC10">
            <v>948.06979570850694</v>
          </cell>
          <cell r="AD10">
            <v>991.158118209696</v>
          </cell>
          <cell r="AE10">
            <v>1036.52327579506</v>
          </cell>
          <cell r="AF10">
            <v>1084.29656799091</v>
          </cell>
          <cell r="AG10">
            <v>1134.61721756263</v>
          </cell>
        </row>
        <row r="11">
          <cell r="M11" t="str">
            <v>SA</v>
          </cell>
          <cell r="N11">
            <v>1147.9064971</v>
          </cell>
          <cell r="O11">
            <v>1173.4687375036799</v>
          </cell>
          <cell r="P11">
            <v>1199.89171130677</v>
          </cell>
          <cell r="Q11">
            <v>1227.21236255293</v>
          </cell>
          <cell r="R11">
            <v>1255.4694063147499</v>
          </cell>
          <cell r="S11">
            <v>1284.70341765221</v>
          </cell>
          <cell r="T11">
            <v>1314.9569251303001</v>
          </cell>
          <cell r="U11">
            <v>1346.2745091316999</v>
          </cell>
          <cell r="V11">
            <v>1378.7029052123901</v>
          </cell>
          <cell r="W11">
            <v>1412.2911127612499</v>
          </cell>
          <cell r="X11">
            <v>1447.0905092381299</v>
          </cell>
          <cell r="Y11">
            <v>1483.1549702790701</v>
          </cell>
          <cell r="Z11">
            <v>1520.54099597247</v>
          </cell>
          <cell r="AA11">
            <v>1559.3078436257399</v>
          </cell>
          <cell r="AB11">
            <v>1599.5176673585499</v>
          </cell>
          <cell r="AC11">
            <v>1641.23566487639</v>
          </cell>
          <cell r="AD11">
            <v>1684.5302317963201</v>
          </cell>
          <cell r="AE11">
            <v>1729.47312391631</v>
          </cell>
          <cell r="AF11">
            <v>1776.13962783989</v>
          </cell>
          <cell r="AG11">
            <v>1824.60874038919</v>
          </cell>
        </row>
        <row r="12">
          <cell r="M12" t="str">
            <v>SEA</v>
          </cell>
          <cell r="N12">
            <v>1143.6131478</v>
          </cell>
          <cell r="O12">
            <v>1149.66145638643</v>
          </cell>
          <cell r="P12">
            <v>1155.8696368969599</v>
          </cell>
          <cell r="Q12">
            <v>1162.2410301637799</v>
          </cell>
          <cell r="R12">
            <v>1168.7790565616399</v>
          </cell>
          <cell r="S12">
            <v>1175.4872179783199</v>
          </cell>
          <cell r="T12">
            <v>1182.36909983552</v>
          </cell>
          <cell r="U12">
            <v>1189.42837316143</v>
          </cell>
          <cell r="V12">
            <v>1196.66879671641</v>
          </cell>
          <cell r="W12">
            <v>1204.0942191730101</v>
          </cell>
          <cell r="X12">
            <v>1211.7085813518399</v>
          </cell>
          <cell r="Y12">
            <v>1219.51591851483</v>
          </cell>
          <cell r="Z12">
            <v>1227.52036271717</v>
          </cell>
          <cell r="AA12">
            <v>1235.7261452196201</v>
          </cell>
          <cell r="AB12">
            <v>1244.13759896277</v>
          </cell>
          <cell r="AC12">
            <v>1252.7591611047401</v>
          </cell>
          <cell r="AD12">
            <v>1261.5953756240999</v>
          </cell>
          <cell r="AE12">
            <v>1270.6508959896801</v>
          </cell>
          <cell r="AF12">
            <v>1279.9304878989201</v>
          </cell>
          <cell r="AG12">
            <v>1289.4390320867899</v>
          </cell>
        </row>
      </sheetData>
      <sheetData sheetId="22" refreshError="1"/>
      <sheetData sheetId="23" refreshError="1"/>
    </sheetDataSet>
  </externalBook>
</externalLink>
</file>

<file path=xl/persons/person.xml><?xml version="1.0" encoding="utf-8"?>
<personList xmlns="http://schemas.microsoft.com/office/spreadsheetml/2018/threadedcomments" xmlns:x="http://schemas.openxmlformats.org/spreadsheetml/2006/main">
  <person displayName="CHAMBERLIN, Jordan (CIMMYT-Kenya)" id="{C67CF68B-20E5-40EF-990A-B72AC2610383}" userId="S::J.CHAMBERLIN@CIMMYT.ORG::f4f9a125-f573-4037-b1ad-bfe611df78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8" dT="2025-03-20T13:30:13.91" personId="{C67CF68B-20E5-40EF-990A-B72AC2610383}" id="{E01DBFE4-C931-426F-9B35-547B91B273EC}">
    <text>Weights computed as the share of total</text>
  </threadedComment>
</ThreadedComments>
</file>

<file path=xl/threadedComments/threadedComment2.xml><?xml version="1.0" encoding="utf-8"?>
<ThreadedComments xmlns="http://schemas.microsoft.com/office/spreadsheetml/2018/threadedcomments" xmlns:x="http://schemas.openxmlformats.org/spreadsheetml/2006/main">
  <threadedComment ref="C18" dT="2025-03-20T13:07:01.34" personId="{C67CF68B-20E5-40EF-990A-B72AC2610383}" id="{E7EB608B-D90F-4875-B6B0-92AE1F251684}">
    <text>Here I’ve rescaled to 0-1 range, based on my understand of the original index range, and inverted indices where low scores were better, so that now high scores are always better</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rajasekharan/AppData/Local/:x:/s/CGIARTransitionandInception-Generaldocsandinfo/ETnpiehVTehIjdyZIkBurDwBODBycMqYo7hEEWMxAXmtEQ" TargetMode="External"/><Relationship Id="rId1" Type="http://schemas.openxmlformats.org/officeDocument/2006/relationships/hyperlink" Target="../../mrajasekharan/AppData/Local/:x:/s/CGIARTransitionandInception-Generaldocsandinfo/EXRY4n8IhcJGhPc3loGDU_QBGSYErfropFSc_8ZBwxqOfg"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rajasekharan/AppData/:x:/s/CGIARTransitionandInception-Generaldocsandinfo/ES0wPZ9b6VFBpOBI6M1voBwBTuh_RNQ1Iu8iQhUceODEjA" TargetMode="External"/><Relationship Id="rId1" Type="http://schemas.openxmlformats.org/officeDocument/2006/relationships/hyperlink" Target="../../mrajasekharan/AppData/:x:/r/sites/CGIARTransitionandInception-Generaldocsandinfo/Shared%20Documents/Inception%20Phase%20templates/Prioritisation%20template%20and%20resources/Projected%20Benefits%20Data%20(Nov%202024)%20-%20With%20Analysis.xls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mrajasekharan/AppData/:x:/s/CGIARTransitionandInception-Generaldocsandinfo/EUrrNnmcbpxJp6h1nzB3aVoB2rjCi2V55kl0yLoR5PVrqA" TargetMode="External"/><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7201-318D-46DD-96B4-A3ECF46B5B59}">
  <dimension ref="A1:F13"/>
  <sheetViews>
    <sheetView tabSelected="1" workbookViewId="0">
      <selection activeCell="A14" sqref="A14"/>
    </sheetView>
  </sheetViews>
  <sheetFormatPr defaultColWidth="8.85546875" defaultRowHeight="14.45"/>
  <cols>
    <col min="1" max="1" width="30.42578125" customWidth="1"/>
    <col min="2" max="6" width="27.42578125" customWidth="1"/>
  </cols>
  <sheetData>
    <row r="1" spans="1:6">
      <c r="A1" s="25" t="s">
        <v>0</v>
      </c>
      <c r="B1" s="24"/>
      <c r="C1" s="24"/>
      <c r="D1" s="24"/>
      <c r="E1" s="24"/>
      <c r="F1" s="24"/>
    </row>
    <row r="2" spans="1:6">
      <c r="A2" s="26" t="s">
        <v>1</v>
      </c>
      <c r="B2" t="s">
        <v>2</v>
      </c>
    </row>
    <row r="3" spans="1:6" ht="15" thickBot="1">
      <c r="A3" s="26" t="s">
        <v>3</v>
      </c>
      <c r="B3" t="s">
        <v>4</v>
      </c>
    </row>
    <row r="4" spans="1:6" ht="15" thickBot="1">
      <c r="A4" s="6" t="s">
        <v>5</v>
      </c>
      <c r="B4" s="7" t="s">
        <v>6</v>
      </c>
      <c r="C4" s="7" t="s">
        <v>7</v>
      </c>
      <c r="D4" s="7" t="s">
        <v>8</v>
      </c>
      <c r="E4" s="7" t="s">
        <v>9</v>
      </c>
      <c r="F4" s="8" t="s">
        <v>10</v>
      </c>
    </row>
    <row r="5" spans="1:6" ht="15">
      <c r="A5" s="117" t="s">
        <v>11</v>
      </c>
      <c r="B5" s="118" t="s">
        <v>12</v>
      </c>
      <c r="C5" s="124" t="s">
        <v>13</v>
      </c>
      <c r="D5" s="118" t="s">
        <v>14</v>
      </c>
      <c r="E5" s="118" t="s">
        <v>15</v>
      </c>
      <c r="F5" s="119" t="s">
        <v>16</v>
      </c>
    </row>
    <row r="6" spans="1:6" ht="15">
      <c r="A6" s="117" t="s">
        <v>17</v>
      </c>
      <c r="B6" s="118" t="s">
        <v>18</v>
      </c>
      <c r="C6" s="118" t="s">
        <v>19</v>
      </c>
      <c r="D6" s="118" t="s">
        <v>20</v>
      </c>
      <c r="E6" s="118" t="s">
        <v>21</v>
      </c>
      <c r="F6" s="125" t="s">
        <v>22</v>
      </c>
    </row>
    <row r="7" spans="1:6" ht="15">
      <c r="A7" s="122" t="s">
        <v>23</v>
      </c>
      <c r="B7" s="124" t="s">
        <v>24</v>
      </c>
      <c r="C7" s="118" t="s">
        <v>25</v>
      </c>
      <c r="D7" s="116" t="s">
        <v>26</v>
      </c>
      <c r="E7" s="118" t="s">
        <v>27</v>
      </c>
      <c r="F7" s="125" t="s">
        <v>28</v>
      </c>
    </row>
    <row r="8" spans="1:6" ht="15">
      <c r="A8" s="117" t="s">
        <v>29</v>
      </c>
      <c r="B8" s="118" t="s">
        <v>30</v>
      </c>
      <c r="C8" s="118" t="s">
        <v>31</v>
      </c>
      <c r="D8" s="116" t="s">
        <v>32</v>
      </c>
      <c r="E8" s="124" t="s">
        <v>33</v>
      </c>
      <c r="F8" s="125" t="s">
        <v>34</v>
      </c>
    </row>
    <row r="9" spans="1:6" ht="15">
      <c r="A9" s="123" t="s">
        <v>35</v>
      </c>
      <c r="C9" s="124" t="s">
        <v>36</v>
      </c>
      <c r="D9" s="124" t="s">
        <v>37</v>
      </c>
      <c r="E9" s="124" t="s">
        <v>38</v>
      </c>
      <c r="F9" s="119" t="s">
        <v>39</v>
      </c>
    </row>
    <row r="10" spans="1:6" ht="15">
      <c r="C10" s="124" t="s">
        <v>40</v>
      </c>
      <c r="D10" s="119" t="s">
        <v>41</v>
      </c>
    </row>
    <row r="11" spans="1:6" ht="15">
      <c r="D11" s="125" t="s">
        <v>42</v>
      </c>
    </row>
    <row r="12" spans="1:6" ht="15.75">
      <c r="A12" s="120" t="s">
        <v>43</v>
      </c>
    </row>
    <row r="13" spans="1:6" ht="15.75">
      <c r="A13" s="121" t="s">
        <v>44</v>
      </c>
    </row>
  </sheetData>
  <hyperlinks>
    <hyperlink ref="A2" r:id="rId1" display="../../../../../:x:/s/CGIARTransitionandInception-Generaldocsandinfo/EXRY4n8IhcJGhPc3loGDU_QBGSYErfropFSc_8ZBwxqOfg?e=UsfKlF" xr:uid="{6E0E5D7A-F6BE-4233-9F96-607E3556250F}"/>
    <hyperlink ref="A3" r:id="rId2" display="../../../../../:x:/s/CGIARTransitionandInception-Generaldocsandinfo/ETnpiehVTehIjdyZIkBurDwBODBycMqYo7hEEWMxAXmtEQ?e=go9kns" xr:uid="{410B08CA-0672-4646-9CF6-5662F4F9E0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A1ED-9423-4927-9BCA-89EFFFA584F4}">
  <dimension ref="A1:E22"/>
  <sheetViews>
    <sheetView workbookViewId="0">
      <selection activeCell="A23" sqref="A23:XFD55"/>
    </sheetView>
  </sheetViews>
  <sheetFormatPr defaultColWidth="8.85546875" defaultRowHeight="14.45"/>
  <cols>
    <col min="1" max="1" width="10" bestFit="1" customWidth="1"/>
    <col min="4" max="4" width="87.7109375" customWidth="1"/>
    <col min="5" max="5" width="154.28515625" customWidth="1"/>
  </cols>
  <sheetData>
    <row r="1" spans="1:5" ht="15" thickBot="1"/>
    <row r="2" spans="1:5">
      <c r="A2" s="9" t="s">
        <v>45</v>
      </c>
      <c r="B2" s="2">
        <v>5</v>
      </c>
      <c r="C2" s="14"/>
    </row>
    <row r="3" spans="1:5">
      <c r="A3" s="10" t="s">
        <v>46</v>
      </c>
      <c r="B3" s="3">
        <v>4</v>
      </c>
      <c r="C3" s="14"/>
    </row>
    <row r="4" spans="1:5">
      <c r="A4" s="11" t="s">
        <v>47</v>
      </c>
      <c r="B4" s="3">
        <v>3</v>
      </c>
      <c r="C4" s="14"/>
    </row>
    <row r="5" spans="1:5">
      <c r="A5" s="12" t="s">
        <v>48</v>
      </c>
      <c r="B5" s="3">
        <v>2</v>
      </c>
      <c r="C5" s="14"/>
    </row>
    <row r="6" spans="1:5" ht="15" thickBot="1">
      <c r="A6" s="13" t="s">
        <v>49</v>
      </c>
      <c r="B6" s="4">
        <v>1</v>
      </c>
      <c r="C6" s="14"/>
    </row>
    <row r="7" spans="1:5">
      <c r="C7" s="100" t="s">
        <v>50</v>
      </c>
      <c r="D7" s="101" t="s">
        <v>51</v>
      </c>
      <c r="E7" s="101" t="s">
        <v>52</v>
      </c>
    </row>
    <row r="8" spans="1:5" ht="29.1">
      <c r="A8" t="s">
        <v>53</v>
      </c>
      <c r="B8" s="1">
        <f>COUNTA(D8:D23)</f>
        <v>15</v>
      </c>
      <c r="C8" s="55">
        <v>1</v>
      </c>
      <c r="D8" s="91" t="s">
        <v>54</v>
      </c>
      <c r="E8" s="99" t="s">
        <v>55</v>
      </c>
    </row>
    <row r="9" spans="1:5">
      <c r="A9" t="s">
        <v>56</v>
      </c>
      <c r="B9">
        <f>_xlfn.FLOOR.MATH(B8/5)</f>
        <v>3</v>
      </c>
      <c r="C9" s="55">
        <v>2</v>
      </c>
      <c r="D9" s="91" t="s">
        <v>57</v>
      </c>
      <c r="E9" s="99" t="s">
        <v>58</v>
      </c>
    </row>
    <row r="10" spans="1:5">
      <c r="A10" t="s">
        <v>59</v>
      </c>
      <c r="B10">
        <f>MOD(B8,5)</f>
        <v>0</v>
      </c>
      <c r="C10" s="55">
        <v>3</v>
      </c>
      <c r="D10" s="91" t="s">
        <v>60</v>
      </c>
      <c r="E10" s="99" t="s">
        <v>61</v>
      </c>
    </row>
    <row r="11" spans="1:5">
      <c r="A11" t="s">
        <v>62</v>
      </c>
      <c r="B11" s="1">
        <f ca="1">(B9*SUM($B$2:$B$6))+IF(B8=0,0,SUM(B2:INDEX(B:B,$B$10+1)))</f>
        <v>50</v>
      </c>
      <c r="C11" s="55">
        <v>4</v>
      </c>
      <c r="D11" s="91" t="s">
        <v>63</v>
      </c>
      <c r="E11" s="99" t="s">
        <v>64</v>
      </c>
    </row>
    <row r="12" spans="1:5">
      <c r="C12" s="55">
        <v>5</v>
      </c>
      <c r="D12" s="91" t="s">
        <v>65</v>
      </c>
      <c r="E12" s="99" t="s">
        <v>66</v>
      </c>
    </row>
    <row r="13" spans="1:5">
      <c r="C13" s="55">
        <v>6</v>
      </c>
      <c r="D13" s="91" t="s">
        <v>67</v>
      </c>
      <c r="E13" s="99" t="s">
        <v>68</v>
      </c>
    </row>
    <row r="14" spans="1:5" ht="29.1">
      <c r="C14" s="55">
        <v>7</v>
      </c>
      <c r="D14" s="91" t="s">
        <v>69</v>
      </c>
      <c r="E14" s="99" t="s">
        <v>70</v>
      </c>
    </row>
    <row r="15" spans="1:5" ht="29.1">
      <c r="C15" s="55">
        <v>8</v>
      </c>
      <c r="D15" s="91" t="s">
        <v>71</v>
      </c>
      <c r="E15" s="99" t="s">
        <v>72</v>
      </c>
    </row>
    <row r="16" spans="1:5" ht="29.1">
      <c r="C16" s="55">
        <v>9</v>
      </c>
      <c r="D16" s="91" t="s">
        <v>73</v>
      </c>
      <c r="E16" s="99" t="s">
        <v>74</v>
      </c>
    </row>
    <row r="17" spans="3:5" ht="29.1">
      <c r="C17" s="55">
        <v>10</v>
      </c>
      <c r="D17" s="91" t="s">
        <v>75</v>
      </c>
      <c r="E17" s="99" t="s">
        <v>76</v>
      </c>
    </row>
    <row r="18" spans="3:5" ht="29.1">
      <c r="C18" s="55">
        <v>11</v>
      </c>
      <c r="D18" s="91" t="s">
        <v>77</v>
      </c>
      <c r="E18" s="99" t="s">
        <v>78</v>
      </c>
    </row>
    <row r="19" spans="3:5" ht="29.1">
      <c r="C19" s="55">
        <v>12</v>
      </c>
      <c r="D19" s="91" t="s">
        <v>79</v>
      </c>
      <c r="E19" s="99" t="s">
        <v>80</v>
      </c>
    </row>
    <row r="20" spans="3:5">
      <c r="C20" s="55">
        <v>13</v>
      </c>
      <c r="D20" s="91" t="s">
        <v>81</v>
      </c>
      <c r="E20" s="99" t="s">
        <v>82</v>
      </c>
    </row>
    <row r="21" spans="3:5" ht="29.1">
      <c r="C21" s="55">
        <v>14</v>
      </c>
      <c r="D21" s="91" t="s">
        <v>83</v>
      </c>
      <c r="E21" s="99" t="s">
        <v>84</v>
      </c>
    </row>
    <row r="22" spans="3:5" ht="29.1">
      <c r="C22" s="55">
        <v>15</v>
      </c>
      <c r="D22" s="91" t="s">
        <v>85</v>
      </c>
      <c r="E22" s="99" t="s">
        <v>86</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3F55-06AD-475A-8350-2C428B8B863B}">
  <dimension ref="A1:DS154"/>
  <sheetViews>
    <sheetView workbookViewId="0">
      <selection activeCell="C17" sqref="C17"/>
    </sheetView>
  </sheetViews>
  <sheetFormatPr defaultColWidth="13.42578125" defaultRowHeight="14.45"/>
  <cols>
    <col min="1" max="1" width="12.42578125" customWidth="1"/>
    <col min="2" max="2" width="33.42578125" bestFit="1" customWidth="1"/>
    <col min="3" max="3" width="65.42578125" customWidth="1"/>
    <col min="4" max="9" width="7.42578125" customWidth="1"/>
    <col min="10" max="10" width="6.42578125" customWidth="1"/>
    <col min="11" max="11" width="8.28515625" customWidth="1"/>
    <col min="12" max="12" width="8.85546875" customWidth="1"/>
    <col min="13" max="18" width="8.42578125" customWidth="1"/>
    <col min="19" max="23" width="6.42578125" customWidth="1"/>
    <col min="24" max="29" width="7.42578125" customWidth="1"/>
    <col min="30" max="43" width="6.42578125" customWidth="1"/>
    <col min="44" max="49" width="7.42578125" customWidth="1"/>
    <col min="50" max="67" width="6.42578125" customWidth="1"/>
    <col min="68" max="83" width="6" customWidth="1"/>
    <col min="84" max="89" width="7.42578125" customWidth="1"/>
    <col min="90" max="107" width="6.42578125" customWidth="1"/>
    <col min="108" max="123" width="6" customWidth="1"/>
  </cols>
  <sheetData>
    <row r="1" spans="1:123">
      <c r="A1" s="26" t="s">
        <v>87</v>
      </c>
      <c r="C1" t="s">
        <v>88</v>
      </c>
    </row>
    <row r="2" spans="1:123" ht="15" thickBot="1">
      <c r="A2" s="26" t="s">
        <v>89</v>
      </c>
      <c r="C2" t="s">
        <v>90</v>
      </c>
    </row>
    <row r="3" spans="1:123" s="39" customFormat="1" ht="32.450000000000003" customHeight="1">
      <c r="A3" s="138" t="s">
        <v>91</v>
      </c>
      <c r="B3" s="138" t="s">
        <v>92</v>
      </c>
      <c r="C3" s="138" t="s">
        <v>93</v>
      </c>
      <c r="D3" s="129" t="s">
        <v>94</v>
      </c>
      <c r="E3" s="131" t="s">
        <v>95</v>
      </c>
      <c r="F3" s="133" t="s">
        <v>96</v>
      </c>
      <c r="G3" s="131" t="s">
        <v>97</v>
      </c>
      <c r="H3" s="133" t="s">
        <v>98</v>
      </c>
      <c r="I3" s="131" t="s">
        <v>99</v>
      </c>
      <c r="J3"/>
      <c r="K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row>
    <row r="4" spans="1:123" s="39" customFormat="1" ht="15.95">
      <c r="A4" s="138"/>
      <c r="B4" s="138"/>
      <c r="C4" s="138"/>
      <c r="D4" s="130"/>
      <c r="E4" s="132"/>
      <c r="F4" s="134"/>
      <c r="G4" s="132"/>
      <c r="H4" s="134"/>
      <c r="I4" s="132"/>
      <c r="J4"/>
      <c r="K4" s="63" t="s">
        <v>100</v>
      </c>
      <c r="L4" s="63" t="s">
        <v>101</v>
      </c>
      <c r="M4" s="72" t="s">
        <v>94</v>
      </c>
      <c r="N4" s="72" t="s">
        <v>95</v>
      </c>
      <c r="O4" s="72" t="s">
        <v>96</v>
      </c>
      <c r="P4" s="72" t="s">
        <v>97</v>
      </c>
      <c r="Q4" s="72" t="s">
        <v>98</v>
      </c>
      <c r="R4" s="72" t="s">
        <v>99</v>
      </c>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row>
    <row r="5" spans="1:123" s="42" customFormat="1" ht="21">
      <c r="A5" s="40" t="s">
        <v>102</v>
      </c>
      <c r="B5" s="40" t="s">
        <v>103</v>
      </c>
      <c r="C5" s="41" t="s">
        <v>104</v>
      </c>
      <c r="D5" s="73">
        <v>11.679145130367321</v>
      </c>
      <c r="E5" s="73">
        <v>17.238146899020261</v>
      </c>
      <c r="F5" s="73">
        <v>31.59762786349928</v>
      </c>
      <c r="G5" s="73">
        <v>30.49479294065123</v>
      </c>
      <c r="H5" s="73">
        <v>34.286344441108433</v>
      </c>
      <c r="I5" s="73">
        <v>11.083749440694159</v>
      </c>
      <c r="J5" s="40"/>
      <c r="K5" s="74">
        <v>0.22670000000000001</v>
      </c>
      <c r="L5" s="75">
        <v>0.1144</v>
      </c>
      <c r="M5" s="76">
        <f>D5*5/$H5</f>
        <v>1.7031773612418606</v>
      </c>
      <c r="N5" s="76">
        <f t="shared" ref="N5:P5" si="0">E5*5/$H5</f>
        <v>2.5138502193824102</v>
      </c>
      <c r="O5" s="76">
        <f t="shared" si="0"/>
        <v>4.6079027056635624</v>
      </c>
      <c r="P5" s="76">
        <f t="shared" si="0"/>
        <v>4.4470755686757855</v>
      </c>
      <c r="Q5" s="76">
        <f>H5*5/$H5</f>
        <v>5</v>
      </c>
      <c r="R5" s="76">
        <f>I5*5/$H5</f>
        <v>1.6163504190031168</v>
      </c>
      <c r="X5"/>
      <c r="Y5" s="72" t="s">
        <v>94</v>
      </c>
      <c r="Z5" s="72" t="s">
        <v>95</v>
      </c>
      <c r="AA5" s="72" t="s">
        <v>96</v>
      </c>
      <c r="AB5" s="72" t="s">
        <v>97</v>
      </c>
      <c r="AC5" s="72" t="s">
        <v>98</v>
      </c>
      <c r="AD5" s="72" t="s">
        <v>99</v>
      </c>
    </row>
    <row r="6" spans="1:123" s="42" customFormat="1" ht="21">
      <c r="A6" s="40" t="s">
        <v>102</v>
      </c>
      <c r="B6" s="40" t="s">
        <v>103</v>
      </c>
      <c r="C6" s="41" t="s">
        <v>105</v>
      </c>
      <c r="D6" s="73">
        <v>2.2309084699414949</v>
      </c>
      <c r="E6" s="73">
        <v>5.8629685805296567</v>
      </c>
      <c r="F6" s="73">
        <v>6.7930740700348258</v>
      </c>
      <c r="G6" s="73">
        <v>5.4676809171221654</v>
      </c>
      <c r="H6" s="73">
        <v>16.318465234707059</v>
      </c>
      <c r="I6" s="73">
        <v>3.683678180503478</v>
      </c>
      <c r="J6" s="40"/>
      <c r="K6" s="77">
        <v>6.6699999999999995E-2</v>
      </c>
      <c r="L6" s="78">
        <v>4.7600000000000003E-2</v>
      </c>
      <c r="M6" s="76">
        <f t="shared" ref="M6" si="1">D6*5/$H6</f>
        <v>0.68355339728783726</v>
      </c>
      <c r="N6" s="76">
        <f t="shared" ref="N6" si="2">E6*5/$H6</f>
        <v>1.7964215678996438</v>
      </c>
      <c r="O6" s="76">
        <f t="shared" ref="O6" si="3">F6*5/$H6</f>
        <v>2.0814071581887865</v>
      </c>
      <c r="P6" s="76">
        <f t="shared" ref="P6" si="4">G6*5/$H6</f>
        <v>1.6753048888118425</v>
      </c>
      <c r="Q6" s="76">
        <f>H6*5/$H6</f>
        <v>5</v>
      </c>
      <c r="R6" s="82">
        <f>I6*5/$H6</f>
        <v>1.1286840176209763</v>
      </c>
      <c r="S6" s="81">
        <f>AVERAGE(M5:M8)</f>
        <v>2.069744264917762</v>
      </c>
      <c r="T6" s="81">
        <f t="shared" ref="T6:X6" si="5">AVERAGE(N5:N8)</f>
        <v>2.7161100190665364</v>
      </c>
      <c r="U6" s="81">
        <f t="shared" si="5"/>
        <v>3.6288644636208471</v>
      </c>
      <c r="V6" s="81">
        <f t="shared" si="5"/>
        <v>3.4480648635737023</v>
      </c>
      <c r="W6" s="81">
        <f t="shared" si="5"/>
        <v>4.2468544855606831</v>
      </c>
      <c r="X6" s="83">
        <f t="shared" si="5"/>
        <v>2.297690633558414</v>
      </c>
      <c r="Y6" s="76">
        <f>S6*1.1</f>
        <v>2.2767186914095383</v>
      </c>
      <c r="Z6" s="76">
        <f t="shared" ref="Z6:AC6" si="6">T6*1.1</f>
        <v>2.9877210209731904</v>
      </c>
      <c r="AA6" s="76">
        <f t="shared" si="6"/>
        <v>3.9917509099829322</v>
      </c>
      <c r="AB6" s="76">
        <f t="shared" si="6"/>
        <v>3.7928713499310729</v>
      </c>
      <c r="AC6" s="76">
        <f t="shared" si="6"/>
        <v>4.6715399341167521</v>
      </c>
      <c r="AD6" s="76">
        <f>X6*1.1</f>
        <v>2.5274596969142555</v>
      </c>
    </row>
    <row r="7" spans="1:123" s="42" customFormat="1">
      <c r="A7" s="40" t="s">
        <v>102</v>
      </c>
      <c r="B7" s="40" t="s">
        <v>103</v>
      </c>
      <c r="C7" s="44" t="s">
        <v>106</v>
      </c>
      <c r="D7" s="73">
        <v>22.261331539021661</v>
      </c>
      <c r="E7" s="73">
        <v>37.375529019889854</v>
      </c>
      <c r="F7" s="73">
        <v>84.37295684119951</v>
      </c>
      <c r="G7" s="73">
        <v>82.105348612943047</v>
      </c>
      <c r="H7" s="73">
        <v>73.246664445150103</v>
      </c>
      <c r="I7" s="73">
        <v>24.396070876744211</v>
      </c>
      <c r="J7" s="40"/>
      <c r="K7" s="77">
        <v>0.53669999999999995</v>
      </c>
      <c r="L7" s="78">
        <v>0.28120000000000001</v>
      </c>
      <c r="M7" s="76">
        <f t="shared" ref="M7:N7" si="7">D7*5/$F7</f>
        <v>1.319221962371206</v>
      </c>
      <c r="N7" s="76">
        <f t="shared" si="7"/>
        <v>2.2148997984173584</v>
      </c>
      <c r="O7" s="76">
        <f>F7*5/$F7</f>
        <v>5</v>
      </c>
      <c r="P7" s="76">
        <f t="shared" ref="P7:R7" si="8">G7*5/$F7</f>
        <v>4.8656199620617544</v>
      </c>
      <c r="Q7" s="76">
        <f t="shared" si="8"/>
        <v>4.3406481879620218</v>
      </c>
      <c r="R7" s="76">
        <f t="shared" si="8"/>
        <v>1.4457280976095621</v>
      </c>
    </row>
    <row r="8" spans="1:123" s="42" customFormat="1">
      <c r="A8" s="40" t="s">
        <v>102</v>
      </c>
      <c r="B8" s="40" t="s">
        <v>103</v>
      </c>
      <c r="C8" s="41" t="s">
        <v>107</v>
      </c>
      <c r="D8" s="79">
        <v>77.386889272083323</v>
      </c>
      <c r="E8" s="79">
        <v>73.431161814379863</v>
      </c>
      <c r="F8" s="79">
        <v>47.825418238710569</v>
      </c>
      <c r="G8" s="79">
        <v>47.455002933670457</v>
      </c>
      <c r="H8" s="79">
        <v>44.789894548933383</v>
      </c>
      <c r="I8" s="79">
        <v>84.612374152479944</v>
      </c>
      <c r="J8" s="80" t="s">
        <v>108</v>
      </c>
      <c r="K8" s="77">
        <v>0.625</v>
      </c>
      <c r="L8" s="78">
        <v>0.1764</v>
      </c>
      <c r="M8" s="76">
        <f t="shared" ref="M8:Q8" si="9">D8*5/$I8</f>
        <v>4.5730243387701437</v>
      </c>
      <c r="N8" s="76">
        <f t="shared" si="9"/>
        <v>4.3392684905667327</v>
      </c>
      <c r="O8" s="76">
        <f t="shared" si="9"/>
        <v>2.8261479906310387</v>
      </c>
      <c r="P8" s="76">
        <f t="shared" si="9"/>
        <v>2.8042590347454266</v>
      </c>
      <c r="Q8" s="76">
        <f t="shared" si="9"/>
        <v>2.6467697542807107</v>
      </c>
      <c r="R8" s="76">
        <f>I8*5/$I8</f>
        <v>5</v>
      </c>
    </row>
    <row r="9" spans="1:123" s="42" customFormat="1">
      <c r="A9" s="46" t="s">
        <v>109</v>
      </c>
      <c r="B9" s="42" t="s">
        <v>103</v>
      </c>
      <c r="C9" s="45" t="s">
        <v>110</v>
      </c>
      <c r="D9" s="56">
        <v>20.35394769581173</v>
      </c>
      <c r="E9" s="56">
        <v>28.808683370397141</v>
      </c>
      <c r="F9" s="56">
        <v>22.2240302012085</v>
      </c>
      <c r="G9" s="56">
        <v>22.03294550097068</v>
      </c>
      <c r="H9" s="56">
        <v>25.579269109843551</v>
      </c>
      <c r="I9" s="56">
        <v>13.90033288537601</v>
      </c>
      <c r="K9" s="62">
        <v>0.22170000000000001</v>
      </c>
      <c r="L9" s="66">
        <v>5.3100000000000001E-2</v>
      </c>
      <c r="M9" s="58"/>
      <c r="N9" s="58"/>
      <c r="O9" s="58"/>
      <c r="P9" s="58"/>
      <c r="Q9" s="58"/>
      <c r="R9" s="58"/>
    </row>
    <row r="10" spans="1:123" s="42" customFormat="1">
      <c r="A10" s="46" t="s">
        <v>109</v>
      </c>
      <c r="B10" s="42" t="s">
        <v>103</v>
      </c>
      <c r="C10" s="45" t="s">
        <v>111</v>
      </c>
      <c r="D10" s="56">
        <v>0.98711806647872646</v>
      </c>
      <c r="E10" s="56">
        <v>0.86109471502110724</v>
      </c>
      <c r="F10" s="56">
        <v>0.88128823389289301</v>
      </c>
      <c r="G10" s="56">
        <v>0.92987576185004284</v>
      </c>
      <c r="H10" s="56">
        <v>0.85713094085731778</v>
      </c>
      <c r="I10" s="56">
        <v>0.96249075977031706</v>
      </c>
      <c r="J10" s="52" t="s">
        <v>112</v>
      </c>
      <c r="K10" s="58">
        <v>1</v>
      </c>
      <c r="L10" s="67">
        <v>0</v>
      </c>
      <c r="M10" s="58"/>
      <c r="N10" s="58"/>
      <c r="O10" s="58"/>
      <c r="P10" s="58"/>
      <c r="Q10" s="58"/>
      <c r="R10" s="58"/>
    </row>
    <row r="11" spans="1:123" s="45" customFormat="1">
      <c r="A11" s="46" t="s">
        <v>109</v>
      </c>
      <c r="B11" s="42" t="s">
        <v>103</v>
      </c>
      <c r="C11" s="45" t="s">
        <v>113</v>
      </c>
      <c r="D11" s="56">
        <v>0.37859999999999999</v>
      </c>
      <c r="E11" s="56">
        <v>0.42020000000000002</v>
      </c>
      <c r="F11" s="56">
        <v>0.61539999999999995</v>
      </c>
      <c r="G11" s="56">
        <v>0.51</v>
      </c>
      <c r="H11" s="56">
        <v>0.45419999999999999</v>
      </c>
      <c r="I11" s="56">
        <v>0.24260000000000001</v>
      </c>
      <c r="J11" s="52" t="s">
        <v>114</v>
      </c>
      <c r="K11" s="58">
        <v>0.33</v>
      </c>
      <c r="L11" s="68">
        <v>0.47</v>
      </c>
      <c r="M11" s="59"/>
      <c r="N11" s="59"/>
      <c r="O11" s="59"/>
      <c r="P11" s="59"/>
      <c r="Q11" s="59"/>
      <c r="R11" s="58"/>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row>
    <row r="12" spans="1:123" s="42" customFormat="1">
      <c r="A12" s="43" t="s">
        <v>115</v>
      </c>
      <c r="B12" s="40" t="s">
        <v>103</v>
      </c>
      <c r="C12" s="44" t="s">
        <v>116</v>
      </c>
      <c r="D12" s="56">
        <v>46.830762792228413</v>
      </c>
      <c r="E12" s="56">
        <v>34.609243859249872</v>
      </c>
      <c r="F12" s="56">
        <v>64.335137619563966</v>
      </c>
      <c r="G12" s="56">
        <v>71.949092400422344</v>
      </c>
      <c r="H12" s="56">
        <v>56.611142489463951</v>
      </c>
      <c r="I12" s="56">
        <v>44.992877357112249</v>
      </c>
      <c r="K12" s="62">
        <v>0.5333</v>
      </c>
      <c r="L12" s="66">
        <v>0.1376</v>
      </c>
      <c r="M12" s="58"/>
      <c r="N12" s="58"/>
      <c r="O12" s="58"/>
      <c r="P12" s="58"/>
      <c r="Q12" s="58"/>
      <c r="R12" s="58"/>
    </row>
    <row r="13" spans="1:123" s="42" customFormat="1" ht="35.25" customHeight="1">
      <c r="A13" s="46" t="s">
        <v>117</v>
      </c>
      <c r="B13" s="42" t="s">
        <v>103</v>
      </c>
      <c r="C13" s="45" t="s">
        <v>118</v>
      </c>
      <c r="D13" s="56">
        <v>0.38522853545193342</v>
      </c>
      <c r="E13" s="56">
        <v>0.41856096236058471</v>
      </c>
      <c r="F13" s="56">
        <v>0.52689312432372137</v>
      </c>
      <c r="G13" s="56">
        <v>0.51707456124776285</v>
      </c>
      <c r="H13" s="56">
        <v>0.50168330779738879</v>
      </c>
      <c r="I13" s="56">
        <v>0.40802056865530029</v>
      </c>
      <c r="J13" s="50"/>
      <c r="K13" s="58">
        <v>0.5</v>
      </c>
      <c r="L13" s="67">
        <v>0.5</v>
      </c>
      <c r="M13" s="58"/>
      <c r="N13" s="58"/>
      <c r="O13" s="58"/>
      <c r="P13" s="58"/>
      <c r="Q13" s="58"/>
      <c r="R13" s="6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row>
    <row r="14" spans="1:123" s="42" customFormat="1" ht="37.5" customHeight="1">
      <c r="A14" s="46" t="s">
        <v>117</v>
      </c>
      <c r="B14" s="42" t="s">
        <v>103</v>
      </c>
      <c r="C14" s="45" t="s">
        <v>119</v>
      </c>
      <c r="D14" s="57">
        <v>386</v>
      </c>
      <c r="E14" s="57">
        <v>444</v>
      </c>
      <c r="F14" s="57">
        <v>312</v>
      </c>
      <c r="G14" s="57">
        <v>531</v>
      </c>
      <c r="H14" s="57">
        <v>2090</v>
      </c>
      <c r="I14" s="57">
        <v>3326</v>
      </c>
      <c r="J14" s="50"/>
      <c r="K14" s="58">
        <v>1181.5</v>
      </c>
      <c r="L14" s="67">
        <v>1335.13</v>
      </c>
      <c r="M14" s="56"/>
      <c r="N14" s="56"/>
      <c r="O14" s="56"/>
      <c r="P14" s="56"/>
      <c r="Q14" s="65"/>
      <c r="R14" s="65"/>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50"/>
      <c r="DJ14" s="50"/>
      <c r="DK14" s="50"/>
      <c r="DL14" s="50"/>
      <c r="DM14" s="50"/>
      <c r="DN14" s="50"/>
      <c r="DO14" s="50"/>
      <c r="DP14" s="50"/>
      <c r="DQ14" s="50"/>
      <c r="DR14" s="50"/>
      <c r="DS14" s="50"/>
    </row>
    <row r="15" spans="1:123" s="42" customFormat="1" ht="21">
      <c r="A15" s="46" t="s">
        <v>117</v>
      </c>
      <c r="B15" s="42" t="s">
        <v>103</v>
      </c>
      <c r="C15" s="45" t="s">
        <v>120</v>
      </c>
      <c r="D15" s="56">
        <v>46.593083048059853</v>
      </c>
      <c r="E15" s="56">
        <v>71.631579697710791</v>
      </c>
      <c r="F15" s="56">
        <v>73.530172079418691</v>
      </c>
      <c r="G15" s="56">
        <v>45.434031956788807</v>
      </c>
      <c r="H15" s="56">
        <v>18.19433771905631</v>
      </c>
      <c r="I15" s="56">
        <v>40.1602798664902</v>
      </c>
      <c r="J15" s="50"/>
      <c r="K15" s="55">
        <v>49.33</v>
      </c>
      <c r="L15" s="69">
        <v>19.89</v>
      </c>
      <c r="M15" s="58"/>
      <c r="N15" s="58"/>
      <c r="O15" s="58"/>
      <c r="P15" s="58"/>
      <c r="Q15" s="58"/>
      <c r="R15" s="58"/>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row>
    <row r="16" spans="1:123" s="42" customFormat="1">
      <c r="A16" s="43" t="s">
        <v>121</v>
      </c>
      <c r="B16" s="40" t="s">
        <v>103</v>
      </c>
      <c r="C16" s="41" t="s">
        <v>122</v>
      </c>
      <c r="D16" s="57">
        <v>5008.9819498518746</v>
      </c>
      <c r="E16" s="57">
        <v>3795.1861644968758</v>
      </c>
      <c r="F16" s="57">
        <v>4064.7898054552711</v>
      </c>
      <c r="G16" s="57">
        <v>4368.5844320635761</v>
      </c>
      <c r="H16" s="57">
        <v>5065.8423045866748</v>
      </c>
      <c r="I16" s="57">
        <v>6113.5583206815936</v>
      </c>
      <c r="J16" s="48"/>
      <c r="K16" s="55">
        <v>4736.33</v>
      </c>
      <c r="L16" s="70">
        <v>834.12</v>
      </c>
      <c r="M16" s="61"/>
      <c r="N16" s="61"/>
      <c r="O16" s="61"/>
      <c r="P16" s="61"/>
      <c r="Q16" s="61"/>
      <c r="R16" s="61"/>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row>
    <row r="17" spans="1:123" s="42" customFormat="1">
      <c r="A17" s="43" t="s">
        <v>121</v>
      </c>
      <c r="B17" s="40" t="s">
        <v>103</v>
      </c>
      <c r="C17" s="41" t="s">
        <v>123</v>
      </c>
      <c r="D17" s="56">
        <v>4480.255812728934</v>
      </c>
      <c r="E17" s="56">
        <v>2629.3874292651558</v>
      </c>
      <c r="F17" s="56">
        <v>5858.9939385452653</v>
      </c>
      <c r="G17" s="56">
        <v>7924.0506676475916</v>
      </c>
      <c r="H17" s="56">
        <v>10121.160310304251</v>
      </c>
      <c r="I17" s="56">
        <v>7076.2489311067156</v>
      </c>
      <c r="J17" s="48"/>
      <c r="K17" s="55">
        <v>6348.17</v>
      </c>
      <c r="L17" s="70">
        <v>2682.76</v>
      </c>
      <c r="M17" s="61"/>
      <c r="N17" s="61"/>
      <c r="O17" s="61"/>
      <c r="P17" s="61"/>
      <c r="Q17" s="61"/>
      <c r="R17" s="61"/>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row>
    <row r="18" spans="1:123" s="42" customFormat="1">
      <c r="A18" s="43" t="s">
        <v>121</v>
      </c>
      <c r="B18" s="40" t="s">
        <v>103</v>
      </c>
      <c r="C18" s="41" t="s">
        <v>124</v>
      </c>
      <c r="D18" s="56">
        <v>4.0133292474652951</v>
      </c>
      <c r="E18" s="56">
        <v>3.0328341851888059</v>
      </c>
      <c r="F18" s="56">
        <v>8.7366049545016651</v>
      </c>
      <c r="G18" s="56">
        <v>6.4758874434600093</v>
      </c>
      <c r="H18" s="56">
        <v>0.80036497390239159</v>
      </c>
      <c r="I18" s="56">
        <v>1.9236631701251781</v>
      </c>
      <c r="J18" s="48"/>
      <c r="K18" s="64">
        <v>4.1700000000000001E-2</v>
      </c>
      <c r="L18" s="71">
        <v>2.86E-2</v>
      </c>
      <c r="M18" s="61"/>
      <c r="N18" s="61"/>
      <c r="O18" s="61"/>
      <c r="P18" s="61"/>
      <c r="Q18" s="61"/>
      <c r="R18" s="61"/>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row>
    <row r="19" spans="1:123" s="42" customFormat="1" ht="21">
      <c r="A19" s="43" t="s">
        <v>121</v>
      </c>
      <c r="B19" s="40" t="s">
        <v>103</v>
      </c>
      <c r="C19" s="41" t="s">
        <v>125</v>
      </c>
      <c r="D19" s="57">
        <v>362.31193220154381</v>
      </c>
      <c r="E19" s="57">
        <v>80.081948014880325</v>
      </c>
      <c r="F19" s="57">
        <v>116.1879781080616</v>
      </c>
      <c r="G19" s="57">
        <v>156.28684364830369</v>
      </c>
      <c r="H19" s="57">
        <v>264.30093382455908</v>
      </c>
      <c r="I19" s="57">
        <v>324.04394898739412</v>
      </c>
      <c r="J19" s="48"/>
      <c r="K19" s="55">
        <v>217</v>
      </c>
      <c r="L19" s="70">
        <v>118.76</v>
      </c>
      <c r="M19" s="61"/>
      <c r="N19" s="61"/>
      <c r="O19" s="61"/>
      <c r="P19" s="61"/>
      <c r="Q19" s="61"/>
      <c r="R19" s="61"/>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row>
    <row r="20" spans="1:123" s="42" customFormat="1" ht="21">
      <c r="A20" s="43" t="s">
        <v>121</v>
      </c>
      <c r="B20" s="40" t="s">
        <v>103</v>
      </c>
      <c r="C20" s="41" t="s">
        <v>126</v>
      </c>
      <c r="D20" s="57">
        <v>3.7142925987200339</v>
      </c>
      <c r="E20" s="57">
        <v>3.091550455391824</v>
      </c>
      <c r="F20" s="57">
        <v>3.2533234134966031</v>
      </c>
      <c r="G20" s="57">
        <v>2.8150792532362181</v>
      </c>
      <c r="H20" s="57">
        <v>2.5514288298575312</v>
      </c>
      <c r="I20" s="57">
        <v>3.9867322117686679</v>
      </c>
      <c r="J20" s="48"/>
      <c r="K20" s="55">
        <v>3.33</v>
      </c>
      <c r="L20" s="70">
        <v>0.47</v>
      </c>
      <c r="M20" s="61"/>
      <c r="N20" s="61"/>
      <c r="O20" s="61"/>
      <c r="P20" s="61"/>
      <c r="Q20" s="61"/>
      <c r="R20" s="61"/>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row>
    <row r="21" spans="1:123" ht="15" thickBot="1"/>
    <row r="22" spans="1:123" ht="15" thickBot="1">
      <c r="A22" s="138" t="s">
        <v>91</v>
      </c>
      <c r="B22" s="138" t="s">
        <v>127</v>
      </c>
      <c r="C22" s="138" t="s">
        <v>93</v>
      </c>
      <c r="D22" s="135" t="s">
        <v>94</v>
      </c>
      <c r="E22" s="136"/>
      <c r="F22" s="136"/>
      <c r="G22" s="136"/>
      <c r="H22" s="136"/>
      <c r="I22" s="136"/>
      <c r="J22" s="136"/>
      <c r="K22" s="136"/>
      <c r="L22" s="136"/>
      <c r="M22" s="136"/>
      <c r="N22" s="136"/>
      <c r="O22" s="136"/>
      <c r="P22" s="136"/>
      <c r="Q22" s="136"/>
      <c r="R22" s="136"/>
      <c r="S22" s="136"/>
      <c r="T22" s="136"/>
      <c r="U22" s="136"/>
      <c r="V22" s="136"/>
      <c r="W22" s="137"/>
      <c r="X22" s="126" t="s">
        <v>95</v>
      </c>
      <c r="Y22" s="127"/>
      <c r="Z22" s="127"/>
      <c r="AA22" s="127"/>
      <c r="AB22" s="127"/>
      <c r="AC22" s="127"/>
      <c r="AD22" s="127"/>
      <c r="AE22" s="127"/>
      <c r="AF22" s="127"/>
      <c r="AG22" s="127"/>
      <c r="AH22" s="127"/>
      <c r="AI22" s="127"/>
      <c r="AJ22" s="127"/>
      <c r="AK22" s="127"/>
      <c r="AL22" s="127"/>
      <c r="AM22" s="127"/>
      <c r="AN22" s="127"/>
      <c r="AO22" s="127"/>
      <c r="AP22" s="127"/>
      <c r="AQ22" s="128"/>
      <c r="AR22" s="135" t="s">
        <v>96</v>
      </c>
      <c r="AS22" s="136"/>
      <c r="AT22" s="136"/>
      <c r="AU22" s="136"/>
      <c r="AV22" s="136"/>
      <c r="AW22" s="136"/>
      <c r="AX22" s="136"/>
      <c r="AY22" s="136"/>
      <c r="AZ22" s="136"/>
      <c r="BA22" s="136"/>
      <c r="BB22" s="136"/>
      <c r="BC22" s="136"/>
      <c r="BD22" s="136"/>
      <c r="BE22" s="136"/>
      <c r="BF22" s="136"/>
      <c r="BG22" s="136"/>
      <c r="BH22" s="136"/>
      <c r="BI22" s="136"/>
      <c r="BJ22" s="136"/>
      <c r="BK22" s="137"/>
      <c r="BL22" s="126" t="s">
        <v>97</v>
      </c>
      <c r="BM22" s="127"/>
      <c r="BN22" s="127"/>
      <c r="BO22" s="127"/>
      <c r="BP22" s="127"/>
      <c r="BQ22" s="127"/>
      <c r="BR22" s="127"/>
      <c r="BS22" s="127"/>
      <c r="BT22" s="127"/>
      <c r="BU22" s="127"/>
      <c r="BV22" s="127"/>
      <c r="BW22" s="127"/>
      <c r="BX22" s="127"/>
      <c r="BY22" s="127"/>
      <c r="BZ22" s="127"/>
      <c r="CA22" s="127"/>
      <c r="CB22" s="127"/>
      <c r="CC22" s="127"/>
      <c r="CD22" s="127"/>
      <c r="CE22" s="128"/>
      <c r="CF22" s="135" t="s">
        <v>98</v>
      </c>
      <c r="CG22" s="136"/>
      <c r="CH22" s="136"/>
      <c r="CI22" s="136"/>
      <c r="CJ22" s="136"/>
      <c r="CK22" s="136"/>
      <c r="CL22" s="136"/>
      <c r="CM22" s="136"/>
      <c r="CN22" s="136"/>
      <c r="CO22" s="136"/>
      <c r="CP22" s="136"/>
      <c r="CQ22" s="136"/>
      <c r="CR22" s="136"/>
      <c r="CS22" s="136"/>
      <c r="CT22" s="136"/>
      <c r="CU22" s="136"/>
      <c r="CV22" s="136"/>
      <c r="CW22" s="136"/>
      <c r="CX22" s="136"/>
      <c r="CY22" s="137"/>
      <c r="CZ22" s="126" t="s">
        <v>99</v>
      </c>
      <c r="DA22" s="127"/>
      <c r="DB22" s="127"/>
      <c r="DC22" s="127"/>
      <c r="DD22" s="127"/>
      <c r="DE22" s="127"/>
      <c r="DF22" s="127"/>
      <c r="DG22" s="127"/>
      <c r="DH22" s="127"/>
      <c r="DI22" s="127"/>
      <c r="DJ22" s="127"/>
      <c r="DK22" s="127"/>
      <c r="DL22" s="127"/>
      <c r="DM22" s="127"/>
      <c r="DN22" s="127"/>
      <c r="DO22" s="127"/>
      <c r="DP22" s="127"/>
      <c r="DQ22" s="127"/>
      <c r="DR22" s="127"/>
      <c r="DS22" s="128"/>
    </row>
    <row r="23" spans="1:123">
      <c r="A23" s="138"/>
      <c r="B23" s="138"/>
      <c r="C23" s="138"/>
      <c r="D23">
        <v>2021</v>
      </c>
      <c r="E23">
        <v>2022</v>
      </c>
      <c r="F23">
        <v>2023</v>
      </c>
      <c r="G23">
        <v>2024</v>
      </c>
      <c r="H23">
        <v>2025</v>
      </c>
      <c r="I23">
        <v>2026</v>
      </c>
      <c r="J23">
        <v>2027</v>
      </c>
      <c r="K23">
        <v>2028</v>
      </c>
      <c r="L23">
        <v>2029</v>
      </c>
      <c r="M23">
        <v>2030</v>
      </c>
      <c r="N23">
        <v>2031</v>
      </c>
      <c r="O23">
        <v>2032</v>
      </c>
      <c r="P23">
        <v>2033</v>
      </c>
      <c r="Q23">
        <v>2034</v>
      </c>
      <c r="R23">
        <v>2035</v>
      </c>
      <c r="S23">
        <v>2036</v>
      </c>
      <c r="T23">
        <v>2037</v>
      </c>
      <c r="U23">
        <v>2038</v>
      </c>
      <c r="V23">
        <v>2039</v>
      </c>
      <c r="W23">
        <v>2040</v>
      </c>
      <c r="X23">
        <v>2021</v>
      </c>
      <c r="Y23">
        <v>2022</v>
      </c>
      <c r="Z23">
        <v>2023</v>
      </c>
      <c r="AA23">
        <v>2024</v>
      </c>
      <c r="AB23">
        <v>2025</v>
      </c>
      <c r="AC23">
        <v>2026</v>
      </c>
      <c r="AD23">
        <v>2027</v>
      </c>
      <c r="AE23">
        <v>2028</v>
      </c>
      <c r="AF23">
        <v>2029</v>
      </c>
      <c r="AG23">
        <v>2030</v>
      </c>
      <c r="AH23">
        <v>2031</v>
      </c>
      <c r="AI23">
        <v>2032</v>
      </c>
      <c r="AJ23">
        <v>2033</v>
      </c>
      <c r="AK23">
        <v>2034</v>
      </c>
      <c r="AL23">
        <v>2035</v>
      </c>
      <c r="AM23">
        <v>2036</v>
      </c>
      <c r="AN23">
        <v>2037</v>
      </c>
      <c r="AO23">
        <v>2038</v>
      </c>
      <c r="AP23">
        <v>2039</v>
      </c>
      <c r="AQ23">
        <v>2040</v>
      </c>
      <c r="AR23">
        <v>2021</v>
      </c>
      <c r="AS23">
        <v>2022</v>
      </c>
      <c r="AT23">
        <v>2023</v>
      </c>
      <c r="AU23">
        <v>2024</v>
      </c>
      <c r="AV23">
        <v>2025</v>
      </c>
      <c r="AW23">
        <v>2026</v>
      </c>
      <c r="AX23">
        <v>2027</v>
      </c>
      <c r="AY23">
        <v>2028</v>
      </c>
      <c r="AZ23">
        <v>2029</v>
      </c>
      <c r="BA23">
        <v>2030</v>
      </c>
      <c r="BB23">
        <v>2031</v>
      </c>
      <c r="BC23">
        <v>2032</v>
      </c>
      <c r="BD23">
        <v>2033</v>
      </c>
      <c r="BE23">
        <v>2034</v>
      </c>
      <c r="BF23">
        <v>2035</v>
      </c>
      <c r="BG23">
        <v>2036</v>
      </c>
      <c r="BH23">
        <v>2037</v>
      </c>
      <c r="BI23">
        <v>2038</v>
      </c>
      <c r="BJ23">
        <v>2039</v>
      </c>
      <c r="BK23">
        <v>2040</v>
      </c>
      <c r="BL23">
        <v>2021</v>
      </c>
      <c r="BM23">
        <v>2022</v>
      </c>
      <c r="BN23">
        <v>2023</v>
      </c>
      <c r="BO23">
        <v>2024</v>
      </c>
      <c r="BP23">
        <v>2025</v>
      </c>
      <c r="BQ23">
        <v>2026</v>
      </c>
      <c r="BR23">
        <v>2027</v>
      </c>
      <c r="BS23">
        <v>2028</v>
      </c>
      <c r="BT23">
        <v>2029</v>
      </c>
      <c r="BU23">
        <v>2030</v>
      </c>
      <c r="BV23">
        <v>2031</v>
      </c>
      <c r="BW23">
        <v>2032</v>
      </c>
      <c r="BX23">
        <v>2033</v>
      </c>
      <c r="BY23">
        <v>2034</v>
      </c>
      <c r="BZ23">
        <v>2035</v>
      </c>
      <c r="CA23">
        <v>2036</v>
      </c>
      <c r="CB23">
        <v>2037</v>
      </c>
      <c r="CC23">
        <v>2038</v>
      </c>
      <c r="CD23">
        <v>2039</v>
      </c>
      <c r="CE23">
        <v>2040</v>
      </c>
      <c r="CF23">
        <v>2021</v>
      </c>
      <c r="CG23">
        <v>2022</v>
      </c>
      <c r="CH23">
        <v>2023</v>
      </c>
      <c r="CI23">
        <v>2024</v>
      </c>
      <c r="CJ23">
        <v>2025</v>
      </c>
      <c r="CK23">
        <v>2026</v>
      </c>
      <c r="CL23">
        <v>2027</v>
      </c>
      <c r="CM23">
        <v>2028</v>
      </c>
      <c r="CN23">
        <v>2029</v>
      </c>
      <c r="CO23">
        <v>2030</v>
      </c>
      <c r="CP23">
        <v>2031</v>
      </c>
      <c r="CQ23">
        <v>2032</v>
      </c>
      <c r="CR23">
        <v>2033</v>
      </c>
      <c r="CS23">
        <v>2034</v>
      </c>
      <c r="CT23">
        <v>2035</v>
      </c>
      <c r="CU23">
        <v>2036</v>
      </c>
      <c r="CV23">
        <v>2037</v>
      </c>
      <c r="CW23">
        <v>2038</v>
      </c>
      <c r="CX23">
        <v>2039</v>
      </c>
      <c r="CY23">
        <v>2040</v>
      </c>
      <c r="CZ23">
        <v>2021</v>
      </c>
      <c r="DA23">
        <v>2022</v>
      </c>
      <c r="DB23">
        <v>2023</v>
      </c>
      <c r="DC23">
        <v>2024</v>
      </c>
      <c r="DD23">
        <v>2025</v>
      </c>
      <c r="DE23">
        <v>2026</v>
      </c>
      <c r="DF23">
        <v>2027</v>
      </c>
      <c r="DG23">
        <v>2028</v>
      </c>
      <c r="DH23">
        <v>2029</v>
      </c>
      <c r="DI23">
        <v>2030</v>
      </c>
      <c r="DJ23">
        <v>2031</v>
      </c>
      <c r="DK23">
        <v>2032</v>
      </c>
      <c r="DL23">
        <v>2033</v>
      </c>
      <c r="DM23">
        <v>2034</v>
      </c>
      <c r="DN23">
        <v>2035</v>
      </c>
      <c r="DO23">
        <v>2036</v>
      </c>
      <c r="DP23">
        <v>2037</v>
      </c>
      <c r="DQ23">
        <v>2038</v>
      </c>
      <c r="DR23">
        <v>2039</v>
      </c>
      <c r="DS23">
        <v>2040</v>
      </c>
    </row>
    <row r="24" spans="1:123" ht="21">
      <c r="A24" s="40" t="s">
        <v>102</v>
      </c>
      <c r="B24" s="40" t="s">
        <v>128</v>
      </c>
      <c r="C24" s="41" t="s">
        <v>129</v>
      </c>
      <c r="D24" s="30">
        <v>7.189257788334638</v>
      </c>
      <c r="E24" s="30">
        <v>6.6888900090578529</v>
      </c>
      <c r="F24" s="30">
        <v>6.2115265699456517</v>
      </c>
      <c r="G24" s="30">
        <v>5.7570393132760787</v>
      </c>
      <c r="H24" s="30">
        <v>5.3252328623979217</v>
      </c>
      <c r="I24" s="30">
        <v>4.9158465695392302</v>
      </c>
      <c r="J24" s="30">
        <v>4.5285569141175683</v>
      </c>
      <c r="K24" s="30">
        <v>4.1629803307848743</v>
      </c>
      <c r="L24" s="30">
        <v>3.8186764411297989</v>
      </c>
      <c r="M24" s="30">
        <v>3.4951516579235795</v>
      </c>
      <c r="N24" s="30">
        <v>3.1918631261166714</v>
      </c>
      <c r="O24" s="30">
        <v>2.9082229605679584</v>
      </c>
      <c r="P24" s="30">
        <v>2.6436027367981096</v>
      </c>
      <c r="Q24" s="30">
        <v>2.3973381879769171</v>
      </c>
      <c r="R24" s="30">
        <v>2.1687340589486959</v>
      </c>
      <c r="S24" s="30">
        <v>1.9570690664207298</v>
      </c>
      <c r="T24" s="30">
        <v>1.7616009135263369</v>
      </c>
      <c r="U24" s="30">
        <v>1.5815713068497841</v>
      </c>
      <c r="V24" s="30">
        <v>1.4162109246734949</v>
      </c>
      <c r="W24" s="30">
        <v>1.2647442866674197</v>
      </c>
      <c r="X24" s="30">
        <v>9.1504665426194762</v>
      </c>
      <c r="Y24" s="30">
        <v>8.9091661920724032</v>
      </c>
      <c r="Z24" s="30">
        <v>8.6634743137498393</v>
      </c>
      <c r="AA24" s="30">
        <v>8.4138443636594769</v>
      </c>
      <c r="AB24" s="30">
        <v>8.1607439588173118</v>
      </c>
      <c r="AC24" s="30">
        <v>7.9046538351315139</v>
      </c>
      <c r="AD24" s="30">
        <v>7.6460666835901776</v>
      </c>
      <c r="AE24" s="30">
        <v>7.3854858614569636</v>
      </c>
      <c r="AF24" s="30">
        <v>7.1234239761188629</v>
      </c>
      <c r="AG24" s="30">
        <v>6.8604013403224053</v>
      </c>
      <c r="AH24" s="30">
        <v>6.5969442987835443</v>
      </c>
      <c r="AI24" s="30">
        <v>6.3335834275678575</v>
      </c>
      <c r="AJ24" s="30">
        <v>6.0708516092056524</v>
      </c>
      <c r="AK24" s="30">
        <v>5.8092819882333009</v>
      </c>
      <c r="AL24" s="30">
        <v>5.5494058137252917</v>
      </c>
      <c r="AM24" s="30">
        <v>5.2917501773899751</v>
      </c>
      <c r="AN24" s="30">
        <v>5.0368356579348825</v>
      </c>
      <c r="AO24" s="30">
        <v>4.7851738846317344</v>
      </c>
      <c r="AP24" s="30">
        <v>4.5372650353113508</v>
      </c>
      <c r="AQ24" s="30">
        <v>4.2935952863534101</v>
      </c>
      <c r="AR24" s="30">
        <v>18.912089683887856</v>
      </c>
      <c r="AS24" s="30">
        <v>18.415277888436794</v>
      </c>
      <c r="AT24" s="30">
        <v>17.911491722528627</v>
      </c>
      <c r="AU24" s="30">
        <v>17.401678259623136</v>
      </c>
      <c r="AV24" s="30">
        <v>16.886799251922032</v>
      </c>
      <c r="AW24" s="30">
        <v>16.36782839254515</v>
      </c>
      <c r="AX24" s="30">
        <v>15.845748387132751</v>
      </c>
      <c r="AY24" s="30">
        <v>15.321547845073056</v>
      </c>
      <c r="AZ24" s="30">
        <v>14.796218003356879</v>
      </c>
      <c r="BA24" s="30">
        <v>14.27074929887241</v>
      </c>
      <c r="BB24" s="30">
        <v>13.746127807744482</v>
      </c>
      <c r="BC24" s="30">
        <v>13.223331573040289</v>
      </c>
      <c r="BD24" s="30">
        <v>12.703326844768068</v>
      </c>
      <c r="BE24" s="30">
        <v>12.187064258535749</v>
      </c>
      <c r="BF24" s="30">
        <v>11.675474981459661</v>
      </c>
      <c r="BG24" s="30">
        <v>11.169466855884162</v>
      </c>
      <c r="BH24" s="30">
        <v>10.669920573122553</v>
      </c>
      <c r="BI24" s="30">
        <v>10.177685910737454</v>
      </c>
      <c r="BJ24" s="30">
        <v>9.6935780677783807</v>
      </c>
      <c r="BK24" s="30">
        <v>9.2183741328716717</v>
      </c>
      <c r="BL24" s="30">
        <v>22.510157496840979</v>
      </c>
      <c r="BM24" s="30">
        <v>21.490211492056954</v>
      </c>
      <c r="BN24" s="30">
        <v>20.474437042882101</v>
      </c>
      <c r="BO24" s="30">
        <v>19.465188117849685</v>
      </c>
      <c r="BP24" s="30">
        <v>18.464847171557157</v>
      </c>
      <c r="BQ24" s="30">
        <v>17.475809348313582</v>
      </c>
      <c r="BR24" s="30">
        <v>16.500465433353796</v>
      </c>
      <c r="BS24" s="30">
        <v>15.541183702193953</v>
      </c>
      <c r="BT24" s="30">
        <v>14.600290855487543</v>
      </c>
      <c r="BU24" s="30">
        <v>13.680052263338485</v>
      </c>
      <c r="BV24" s="30">
        <v>12.782651778335</v>
      </c>
      <c r="BW24" s="30">
        <v>11.910171409380119</v>
      </c>
      <c r="BX24" s="30">
        <v>11.064571177408093</v>
      </c>
      <c r="BY24" s="30">
        <v>10.247669497936165</v>
      </c>
      <c r="BZ24" s="30">
        <v>9.4611244527665903</v>
      </c>
      <c r="CA24" s="30">
        <v>8.7064163227104494</v>
      </c>
      <c r="CB24" s="30">
        <v>7.984831753787816</v>
      </c>
      <c r="CC24" s="30">
        <v>7.2974499199613074</v>
      </c>
      <c r="CD24" s="30">
        <v>6.6451310253487019</v>
      </c>
      <c r="CE24" s="30">
        <v>6.0285074576144186</v>
      </c>
      <c r="CF24" s="30">
        <v>15.036351706564599</v>
      </c>
      <c r="CG24" s="30">
        <v>13.50078028350624</v>
      </c>
      <c r="CH24" s="30">
        <v>12.058387451156024</v>
      </c>
      <c r="CI24" s="30">
        <v>10.711231438637608</v>
      </c>
      <c r="CJ24" s="30">
        <v>9.4604490055199957</v>
      </c>
      <c r="CK24" s="30">
        <v>8.3062510498973001</v>
      </c>
      <c r="CL24" s="30">
        <v>7.2479363934633128</v>
      </c>
      <c r="CM24" s="30">
        <v>6.2839237762965849</v>
      </c>
      <c r="CN24" s="30">
        <v>5.4118015147620984</v>
      </c>
      <c r="CO24" s="30">
        <v>4.6283936844518321</v>
      </c>
      <c r="CP24" s="30">
        <v>3.9298411127183539</v>
      </c>
      <c r="CQ24" s="30">
        <v>3.3116949301689957</v>
      </c>
      <c r="CR24" s="30">
        <v>2.7690199658027206</v>
      </c>
      <c r="CS24" s="30">
        <v>2.2965049030586702</v>
      </c>
      <c r="CT24" s="30">
        <v>1.8885758672476678</v>
      </c>
      <c r="CU24" s="30">
        <v>1.5395100066642857</v>
      </c>
      <c r="CV24" s="30">
        <v>1.2435456711002535</v>
      </c>
      <c r="CW24" s="30">
        <v>0.99498598508124447</v>
      </c>
      <c r="CX24" s="30">
        <v>0.78829295226696738</v>
      </c>
      <c r="CY24" s="30">
        <v>0.61816969602436267</v>
      </c>
      <c r="CZ24" s="30">
        <v>2.9870488021794319</v>
      </c>
      <c r="DA24" s="30">
        <v>2.5739841419947318</v>
      </c>
      <c r="DB24" s="30">
        <v>2.2066180562943205</v>
      </c>
      <c r="DC24" s="30">
        <v>1.8817104779205431</v>
      </c>
      <c r="DD24" s="30">
        <v>1.5959853639845589</v>
      </c>
      <c r="DE24" s="30">
        <v>1.3461738848994111</v>
      </c>
      <c r="DF24" s="30">
        <v>1.1290543172610685</v>
      </c>
      <c r="DG24" s="30">
        <v>0.94148796652725741</v>
      </c>
      <c r="DH24" s="30">
        <v>0.78045059448429044</v>
      </c>
      <c r="DI24" s="30">
        <v>0.6430589856502672</v>
      </c>
      <c r="DJ24" s="30">
        <v>0.52659244931612259</v>
      </c>
      <c r="DK24" s="30">
        <v>0.42850921323508429</v>
      </c>
      <c r="DL24" s="30">
        <v>0.34645781483056198</v>
      </c>
      <c r="DM24" s="30">
        <v>0.27828373073763568</v>
      </c>
      <c r="DN24" s="30">
        <v>0.2220316010631268</v>
      </c>
      <c r="DO24" s="30">
        <v>0.17594349766851256</v>
      </c>
      <c r="DP24" s="30">
        <v>0.13845375407476354</v>
      </c>
      <c r="DQ24" s="30">
        <v>0.10818091760600577</v>
      </c>
      <c r="DR24" s="30">
        <v>8.3917402743392017E-2</v>
      </c>
      <c r="DS24" s="30">
        <v>6.4617420100914896E-2</v>
      </c>
    </row>
    <row r="25" spans="1:123">
      <c r="A25" s="46" t="s">
        <v>109</v>
      </c>
      <c r="B25" s="54" t="s">
        <v>130</v>
      </c>
      <c r="C25" s="45"/>
      <c r="D25" s="42"/>
      <c r="E25" s="42"/>
      <c r="F25" s="42"/>
      <c r="G25" s="42"/>
      <c r="H25" s="30"/>
      <c r="I25" s="30"/>
      <c r="J25" s="30"/>
      <c r="K25" s="30"/>
      <c r="L25" s="30"/>
      <c r="M25" s="30"/>
      <c r="N25" s="30"/>
      <c r="O25" s="30"/>
      <c r="P25" s="30"/>
      <c r="Q25" s="30"/>
      <c r="R25" s="30"/>
      <c r="S25" s="30"/>
      <c r="T25" s="30"/>
      <c r="U25" s="30"/>
      <c r="V25" s="30"/>
      <c r="W25" s="30"/>
      <c r="X25" s="42"/>
      <c r="Y25" s="42"/>
      <c r="Z25" s="42"/>
      <c r="AA25" s="42"/>
      <c r="AB25" s="30"/>
      <c r="AC25" s="30"/>
      <c r="AD25" s="30"/>
      <c r="AE25" s="30"/>
      <c r="AF25" s="30"/>
      <c r="AG25" s="30"/>
      <c r="AH25" s="30"/>
      <c r="AI25" s="30"/>
      <c r="AJ25" s="30"/>
      <c r="AK25" s="30"/>
      <c r="AL25" s="30"/>
      <c r="AM25" s="30"/>
      <c r="AN25" s="30"/>
      <c r="AO25" s="30"/>
      <c r="AP25" s="30"/>
      <c r="AQ25" s="30"/>
      <c r="AR25" s="42"/>
      <c r="AS25" s="42"/>
      <c r="AT25" s="42"/>
      <c r="AU25" s="42"/>
      <c r="AV25" s="30"/>
      <c r="AW25" s="30"/>
      <c r="AX25" s="30"/>
      <c r="AY25" s="30"/>
      <c r="AZ25" s="30"/>
      <c r="BA25" s="30"/>
      <c r="BB25" s="30"/>
      <c r="BC25" s="30"/>
      <c r="BD25" s="30"/>
      <c r="BE25" s="30"/>
      <c r="BF25" s="30"/>
      <c r="BG25" s="30"/>
      <c r="BH25" s="30"/>
      <c r="BI25" s="30"/>
      <c r="BJ25" s="30"/>
      <c r="BK25" s="30"/>
      <c r="BL25" s="42"/>
      <c r="BM25" s="42"/>
      <c r="BN25" s="42"/>
      <c r="BO25" s="42"/>
      <c r="BP25" s="30"/>
      <c r="BQ25" s="30"/>
      <c r="BR25" s="30"/>
      <c r="BS25" s="30"/>
      <c r="BT25" s="30"/>
      <c r="BU25" s="30"/>
      <c r="BV25" s="30"/>
      <c r="BW25" s="30"/>
      <c r="BX25" s="30"/>
      <c r="BY25" s="30"/>
      <c r="BZ25" s="30"/>
      <c r="CA25" s="30"/>
      <c r="CB25" s="30"/>
      <c r="CC25" s="30"/>
      <c r="CD25" s="30"/>
      <c r="CE25" s="30"/>
      <c r="CF25" s="42"/>
      <c r="CG25" s="42"/>
      <c r="CH25" s="42"/>
      <c r="CI25" s="42"/>
      <c r="CJ25" s="30"/>
      <c r="CK25" s="30"/>
      <c r="CL25" s="30"/>
      <c r="CM25" s="30"/>
      <c r="CN25" s="30"/>
      <c r="CO25" s="30"/>
      <c r="CP25" s="30"/>
      <c r="CQ25" s="30"/>
      <c r="CR25" s="30"/>
      <c r="CS25" s="30"/>
      <c r="CT25" s="30"/>
      <c r="CU25" s="30"/>
      <c r="CV25" s="30"/>
      <c r="CW25" s="30"/>
      <c r="CX25" s="30"/>
      <c r="CY25" s="30"/>
      <c r="CZ25" s="42"/>
      <c r="DA25" s="42"/>
      <c r="DB25" s="42"/>
      <c r="DC25" s="42"/>
      <c r="DD25" s="42"/>
      <c r="DE25" s="42"/>
      <c r="DF25" s="42"/>
      <c r="DG25" s="42"/>
      <c r="DH25" s="42"/>
      <c r="DI25" s="42"/>
      <c r="DJ25" s="42"/>
      <c r="DK25" s="42"/>
      <c r="DL25" s="42"/>
      <c r="DM25" s="42"/>
      <c r="DN25" s="42"/>
      <c r="DO25" s="42"/>
      <c r="DP25" s="42"/>
      <c r="DQ25" s="42"/>
      <c r="DR25" s="42"/>
      <c r="DS25" s="42"/>
    </row>
    <row r="26" spans="1:123">
      <c r="A26" s="43" t="s">
        <v>115</v>
      </c>
      <c r="B26" s="40" t="s">
        <v>128</v>
      </c>
      <c r="C26" s="44" t="s">
        <v>131</v>
      </c>
      <c r="D26" s="30">
        <v>4.9855700000000001</v>
      </c>
      <c r="E26" s="30">
        <v>5.0242558249487326</v>
      </c>
      <c r="F26" s="30">
        <v>5.062117154095195</v>
      </c>
      <c r="G26" s="30">
        <v>5.0991221524061769</v>
      </c>
      <c r="H26" s="30">
        <v>5.1352386432570594</v>
      </c>
      <c r="I26" s="30">
        <v>5.1704341135176257</v>
      </c>
      <c r="J26" s="30">
        <v>5.2046757190976036</v>
      </c>
      <c r="K26" s="30">
        <v>5.2379302909876833</v>
      </c>
      <c r="L26" s="30">
        <v>5.2701643418338628</v>
      </c>
      <c r="M26" s="30">
        <v>5.3013440730862023</v>
      </c>
      <c r="N26" s="30">
        <v>5.3314353827658323</v>
      </c>
      <c r="O26" s="30">
        <v>5.3604038738972362</v>
      </c>
      <c r="P26" s="30">
        <v>5.3882148636566836</v>
      </c>
      <c r="Q26" s="30">
        <v>5.4148333932908708</v>
      </c>
      <c r="R26" s="30">
        <v>5.440224238864193</v>
      </c>
      <c r="S26" s="30">
        <v>5.4643519228972357</v>
      </c>
      <c r="T26" s="30">
        <v>5.4871807269634791</v>
      </c>
      <c r="U26" s="30">
        <v>5.5086747053163601</v>
      </c>
      <c r="V26" s="30">
        <v>5.5287976996237669</v>
      </c>
      <c r="W26" s="30">
        <v>5.5475133548929874</v>
      </c>
      <c r="X26" s="30">
        <v>4.5991800000000005</v>
      </c>
      <c r="Y26" s="30">
        <v>4.4042124111186176</v>
      </c>
      <c r="Z26" s="30">
        <v>4.2131090946072494</v>
      </c>
      <c r="AA26" s="30">
        <v>4.0259800445895442</v>
      </c>
      <c r="AB26" s="30">
        <v>3.8429300331731717</v>
      </c>
      <c r="AC26" s="30">
        <v>3.6640582478081392</v>
      </c>
      <c r="AD26" s="30">
        <v>3.4894579332820426</v>
      </c>
      <c r="AE26" s="30">
        <v>3.3192160404052045</v>
      </c>
      <c r="AF26" s="30">
        <v>3.1534128835435875</v>
      </c>
      <c r="AG26" s="30">
        <v>2.9921218092536246</v>
      </c>
      <c r="AH26" s="30">
        <v>2.8354088783588502</v>
      </c>
      <c r="AI26" s="30">
        <v>2.6833325638814145</v>
      </c>
      <c r="AJ26" s="30">
        <v>2.5359434673004513</v>
      </c>
      <c r="AK26" s="30">
        <v>2.3932840556515869</v>
      </c>
      <c r="AL26" s="30">
        <v>2.2553884220052036</v>
      </c>
      <c r="AM26" s="30">
        <v>2.1222820718637156</v>
      </c>
      <c r="AN26" s="30">
        <v>1.9939817379979106</v>
      </c>
      <c r="AO26" s="30">
        <v>1.8704952261966068</v>
      </c>
      <c r="AP26" s="30">
        <v>1.7518212943315459</v>
      </c>
      <c r="AQ26" s="30">
        <v>1.637949567038026</v>
      </c>
      <c r="AR26" s="30">
        <v>36.308069999999994</v>
      </c>
      <c r="AS26" s="30">
        <v>36.185861896128479</v>
      </c>
      <c r="AT26" s="30">
        <v>36.06170110049667</v>
      </c>
      <c r="AU26" s="30">
        <v>35.93557699720413</v>
      </c>
      <c r="AV26" s="30">
        <v>35.807478695050726</v>
      </c>
      <c r="AW26" s="30">
        <v>35.677395033949246</v>
      </c>
      <c r="AX26" s="30">
        <v>35.545314591576144</v>
      </c>
      <c r="AY26" s="30">
        <v>35.411225690279473</v>
      </c>
      <c r="AZ26" s="30">
        <v>35.2751164042635</v>
      </c>
      <c r="BA26" s="30">
        <v>35.136974567070602</v>
      </c>
      <c r="BB26" s="30">
        <v>34.99678777938167</v>
      </c>
      <c r="BC26" s="30">
        <v>34.854543417157117</v>
      </c>
      <c r="BD26" s="30">
        <v>34.710228640141892</v>
      </c>
      <c r="BE26" s="30">
        <v>34.563830400758199</v>
      </c>
      <c r="BF26" s="30">
        <v>34.415335453411203</v>
      </c>
      <c r="BG26" s="30">
        <v>34.264730364233813</v>
      </c>
      <c r="BH26" s="30">
        <v>34.112001521297493</v>
      </c>
      <c r="BI26" s="30">
        <v>33.957135145317729</v>
      </c>
      <c r="BJ26" s="30">
        <v>33.800117300883173</v>
      </c>
      <c r="BK26" s="30">
        <v>33.64093390823939</v>
      </c>
      <c r="BL26" s="30">
        <v>38.895679999999999</v>
      </c>
      <c r="BM26" s="30">
        <v>38.854339595759434</v>
      </c>
      <c r="BN26" s="30">
        <v>38.811608056121294</v>
      </c>
      <c r="BO26" s="30">
        <v>38.76744471582041</v>
      </c>
      <c r="BP26" s="30">
        <v>38.721807292463673</v>
      </c>
      <c r="BQ26" s="30">
        <v>38.674651820200459</v>
      </c>
      <c r="BR26" s="30">
        <v>38.625932580548529</v>
      </c>
      <c r="BS26" s="30">
        <v>38.575602030264164</v>
      </c>
      <c r="BT26" s="30">
        <v>38.523610726142337</v>
      </c>
      <c r="BU26" s="30">
        <v>38.469907246630569</v>
      </c>
      <c r="BV26" s="30">
        <v>38.414438110137155</v>
      </c>
      <c r="BW26" s="30">
        <v>38.357147689913063</v>
      </c>
      <c r="BX26" s="30">
        <v>38.297978125384574</v>
      </c>
      <c r="BY26" s="30">
        <v>38.23686922981279</v>
      </c>
      <c r="BZ26" s="30">
        <v>38.173758394154838</v>
      </c>
      <c r="CA26" s="30">
        <v>38.108580487001923</v>
      </c>
      <c r="CB26" s="30">
        <v>38.041267750469046</v>
      </c>
      <c r="CC26" s="30">
        <v>37.971749691912898</v>
      </c>
      <c r="CD26" s="30">
        <v>37.899952971356136</v>
      </c>
      <c r="CE26" s="30">
        <v>37.825801284499441</v>
      </c>
      <c r="CF26" s="30">
        <v>11.48274</v>
      </c>
      <c r="CG26" s="30">
        <v>10.469357809197607</v>
      </c>
      <c r="CH26" s="30">
        <v>9.4825202525357888</v>
      </c>
      <c r="CI26" s="30">
        <v>8.5274756835821197</v>
      </c>
      <c r="CJ26" s="30">
        <v>7.609438644494297</v>
      </c>
      <c r="CK26" s="30">
        <v>6.7334754098511684</v>
      </c>
      <c r="CL26" s="30">
        <v>5.9043760153954095</v>
      </c>
      <c r="CM26" s="30">
        <v>5.1265159997613008</v>
      </c>
      <c r="CN26" s="30">
        <v>4.403712587839661</v>
      </c>
      <c r="CO26" s="30">
        <v>3.7390816146864139</v>
      </c>
      <c r="CP26" s="30">
        <v>3.1349029870807015</v>
      </c>
      <c r="CQ26" s="30">
        <v>2.5925037146786232</v>
      </c>
      <c r="CR26" s="30">
        <v>2.1121682806009399</v>
      </c>
      <c r="CS26" s="30">
        <v>1.6930861056307471</v>
      </c>
      <c r="CT26" s="30">
        <v>1.3333448452239742</v>
      </c>
      <c r="CU26" s="30">
        <v>1.0299760582613207</v>
      </c>
      <c r="CV26" s="30">
        <v>0.77905633517437689</v>
      </c>
      <c r="CW26" s="30">
        <v>0.57586238850067506</v>
      </c>
      <c r="CX26" s="30">
        <v>0.41507324294913156</v>
      </c>
      <c r="CY26" s="30">
        <v>0.29100711854202421</v>
      </c>
      <c r="CZ26" s="30">
        <v>1.2305900000000001</v>
      </c>
      <c r="DA26" s="30">
        <v>0.88984792607461782</v>
      </c>
      <c r="DB26" s="30">
        <v>0.62218910416093209</v>
      </c>
      <c r="DC26" s="30">
        <v>0.41911724971107478</v>
      </c>
      <c r="DD26" s="30">
        <v>0.270923361548147</v>
      </c>
      <c r="DE26" s="30">
        <v>0.16738356079844036</v>
      </c>
      <c r="DF26" s="30">
        <v>9.8482931750122821E-2</v>
      </c>
      <c r="DG26" s="30">
        <v>5.5066945120441337E-2</v>
      </c>
      <c r="DH26" s="30">
        <v>2.933006825426852E-2</v>
      </c>
      <c r="DI26" s="30">
        <v>1.5081471112341481E-2</v>
      </c>
      <c r="DJ26" s="30">
        <v>7.7742847378548009E-3</v>
      </c>
      <c r="DK26" s="30">
        <v>4.3346014113000283E-3</v>
      </c>
      <c r="DL26" s="30">
        <v>2.8635351881714315E-3</v>
      </c>
      <c r="DM26" s="30">
        <v>2.2984444591170991E-3</v>
      </c>
      <c r="DN26" s="30">
        <v>2.1059524967167432E-3</v>
      </c>
      <c r="DO26" s="30">
        <v>2.0486343388181824E-3</v>
      </c>
      <c r="DP26" s="30">
        <v>2.0339519388458591E-3</v>
      </c>
      <c r="DQ26" s="30">
        <v>2.0307740131728204E-3</v>
      </c>
      <c r="DR26" s="30">
        <v>2.0302043368214243E-3</v>
      </c>
      <c r="DS26" s="30">
        <v>2.0301216349139263E-3</v>
      </c>
    </row>
    <row r="27" spans="1:123">
      <c r="A27" s="43" t="s">
        <v>115</v>
      </c>
      <c r="B27" s="40" t="s">
        <v>128</v>
      </c>
      <c r="C27" s="44" t="s">
        <v>132</v>
      </c>
      <c r="D27" s="42">
        <v>12.326178476819264</v>
      </c>
      <c r="E27" s="42">
        <v>12.381889163349326</v>
      </c>
      <c r="F27" s="42">
        <v>12.436251628916459</v>
      </c>
      <c r="G27" s="42">
        <v>12.489232445082679</v>
      </c>
      <c r="H27" s="42">
        <v>12.540797718585354</v>
      </c>
      <c r="I27" s="42">
        <v>12.590913081668123</v>
      </c>
      <c r="J27" s="42">
        <v>12.639543682250387</v>
      </c>
      <c r="K27" s="42">
        <v>12.686654173942228</v>
      </c>
      <c r="L27" s="42">
        <v>12.732208705912404</v>
      </c>
      <c r="M27" s="42">
        <v>12.77617091261866</v>
      </c>
      <c r="N27" s="42">
        <v>12.818503903410948</v>
      </c>
      <c r="O27" s="42">
        <v>12.859170252019601</v>
      </c>
      <c r="P27" s="42">
        <v>12.898131985942833</v>
      </c>
      <c r="Q27" s="42">
        <v>12.93535057574935</v>
      </c>
      <c r="R27" s="42">
        <v>12.970786924314398</v>
      </c>
      <c r="S27" s="42">
        <v>13.004401356010282</v>
      </c>
      <c r="T27" s="42">
        <v>13.036153605874441</v>
      </c>
      <c r="U27" s="42">
        <v>13.066002808782224</v>
      </c>
      <c r="V27" s="42">
        <v>13.093907488653745</v>
      </c>
      <c r="W27" s="42">
        <v>13.119825547729045</v>
      </c>
      <c r="X27" s="42">
        <v>14.288422822098919</v>
      </c>
      <c r="Y27" s="42">
        <v>13.982702549201973</v>
      </c>
      <c r="Z27" s="42">
        <v>13.67683968914368</v>
      </c>
      <c r="AA27" s="42">
        <v>13.370966999763937</v>
      </c>
      <c r="AB27" s="42">
        <v>13.065220507316768</v>
      </c>
      <c r="AC27" s="42">
        <v>12.75973944689008</v>
      </c>
      <c r="AD27" s="42">
        <v>12.45466619149396</v>
      </c>
      <c r="AE27" s="42">
        <v>12.150146169228629</v>
      </c>
      <c r="AF27" s="42">
        <v>11.846327767942952</v>
      </c>
      <c r="AG27" s="42">
        <v>11.543362226797486</v>
      </c>
      <c r="AH27" s="42">
        <v>11.241403514153248</v>
      </c>
      <c r="AI27" s="42">
        <v>10.940608191217761</v>
      </c>
      <c r="AJ27" s="42">
        <v>10.641135260895059</v>
      </c>
      <c r="AK27" s="42">
        <v>10.343146001306888</v>
      </c>
      <c r="AL27" s="42">
        <v>10.046803783476943</v>
      </c>
      <c r="AM27" s="42">
        <v>9.7522738727010143</v>
      </c>
      <c r="AN27" s="42">
        <v>9.4597232131634286</v>
      </c>
      <c r="AO27" s="42">
        <v>9.169320195402916</v>
      </c>
      <c r="AP27" s="42">
        <v>8.8812344062825215</v>
      </c>
      <c r="AQ27" s="42">
        <v>8.5956363611760942</v>
      </c>
      <c r="AR27" s="42">
        <v>64.127509059426401</v>
      </c>
      <c r="AS27" s="42">
        <v>64.124548141671539</v>
      </c>
      <c r="AT27" s="42">
        <v>64.121536417731221</v>
      </c>
      <c r="AU27" s="42">
        <v>64.11847342100998</v>
      </c>
      <c r="AV27" s="42">
        <v>64.115358669989774</v>
      </c>
      <c r="AW27" s="42">
        <v>64.112191668041959</v>
      </c>
      <c r="AX27" s="42">
        <v>64.108971903230866</v>
      </c>
      <c r="AY27" s="42">
        <v>64.10569884810873</v>
      </c>
      <c r="AZ27" s="42">
        <v>64.102371959502051</v>
      </c>
      <c r="BA27" s="42">
        <v>64.098990678288956</v>
      </c>
      <c r="BB27" s="42">
        <v>64.095554429167606</v>
      </c>
      <c r="BC27" s="42">
        <v>64.092062620415476</v>
      </c>
      <c r="BD27" s="42">
        <v>64.08851464363913</v>
      </c>
      <c r="BE27" s="42">
        <v>64.084909873514761</v>
      </c>
      <c r="BF27" s="42">
        <v>64.081247667518738</v>
      </c>
      <c r="BG27" s="42">
        <v>64.077527365648464</v>
      </c>
      <c r="BH27" s="42">
        <v>64.073748290133068</v>
      </c>
      <c r="BI27" s="42">
        <v>64.069909745133799</v>
      </c>
      <c r="BJ27" s="42">
        <v>64.066011016434032</v>
      </c>
      <c r="BK27" s="42">
        <v>64.0620513711184</v>
      </c>
      <c r="BL27" s="42">
        <v>65.5165687371194</v>
      </c>
      <c r="BM27" s="42">
        <v>65.515304931460904</v>
      </c>
      <c r="BN27" s="42">
        <v>65.513998192389707</v>
      </c>
      <c r="BO27" s="42">
        <v>65.51264723352152</v>
      </c>
      <c r="BP27" s="42">
        <v>65.511250715585177</v>
      </c>
      <c r="BQ27" s="42">
        <v>65.509807244115564</v>
      </c>
      <c r="BR27" s="42">
        <v>65.508315367035863</v>
      </c>
      <c r="BS27" s="42">
        <v>65.506773572123265</v>
      </c>
      <c r="BT27" s="42">
        <v>65.505180284352662</v>
      </c>
      <c r="BU27" s="42">
        <v>65.503533863111798</v>
      </c>
      <c r="BV27" s="42">
        <v>65.501832599281641</v>
      </c>
      <c r="BW27" s="42">
        <v>65.500074712175063</v>
      </c>
      <c r="BX27" s="42">
        <v>65.49825834632675</v>
      </c>
      <c r="BY27" s="42">
        <v>65.496381568126708</v>
      </c>
      <c r="BZ27" s="42">
        <v>65.494442362289362</v>
      </c>
      <c r="CA27" s="42">
        <v>65.492438628150126</v>
      </c>
      <c r="CB27" s="42">
        <v>65.490368175780418</v>
      </c>
      <c r="CC27" s="42">
        <v>65.48822872191198</v>
      </c>
      <c r="CD27" s="42">
        <v>65.486017885660644</v>
      </c>
      <c r="CE27" s="42">
        <v>65.483733184039494</v>
      </c>
      <c r="CF27" s="42">
        <v>43.134169730216684</v>
      </c>
      <c r="CG27" s="42">
        <v>42.785936062727707</v>
      </c>
      <c r="CH27" s="42">
        <v>42.423103240684</v>
      </c>
      <c r="CI27" s="42">
        <v>42.045095756720556</v>
      </c>
      <c r="CJ27" s="42">
        <v>41.65132322262177</v>
      </c>
      <c r="CK27" s="42">
        <v>41.241181256264561</v>
      </c>
      <c r="CL27" s="42">
        <v>40.814052617892735</v>
      </c>
      <c r="CM27" s="42">
        <v>40.369308632944382</v>
      </c>
      <c r="CN27" s="42">
        <v>39.906310943056774</v>
      </c>
      <c r="CO27" s="42">
        <v>39.424413631627587</v>
      </c>
      <c r="CP27" s="42">
        <v>38.922965775403092</v>
      </c>
      <c r="CQ27" s="42">
        <v>38.401314478959492</v>
      </c>
      <c r="CR27" s="42">
        <v>37.858808454588946</v>
      </c>
      <c r="CS27" s="42">
        <v>37.29480221591367</v>
      </c>
      <c r="CT27" s="42">
        <v>36.708660959410587</v>
      </c>
      <c r="CU27" s="42">
        <v>36.099766213769868</v>
      </c>
      <c r="CV27" s="42">
        <v>35.46752234241179</v>
      </c>
      <c r="CW27" s="42">
        <v>34.811363989254396</v>
      </c>
      <c r="CX27" s="42">
        <v>34.130764561582758</v>
      </c>
      <c r="CY27" s="42">
        <v>33.425245846137834</v>
      </c>
      <c r="CZ27" s="42">
        <v>6.6233528939511919</v>
      </c>
      <c r="DA27" s="42">
        <v>5.5934125729499016</v>
      </c>
      <c r="DB27" s="42">
        <v>4.6450586257173407</v>
      </c>
      <c r="DC27" s="42">
        <v>3.786173914837176</v>
      </c>
      <c r="DD27" s="42">
        <v>3.0226307406783413</v>
      </c>
      <c r="DE27" s="42">
        <v>2.357833528713984</v>
      </c>
      <c r="DF27" s="42">
        <v>1.7923686946310629</v>
      </c>
      <c r="DG27" s="42">
        <v>1.3238210051222614</v>
      </c>
      <c r="DH27" s="42">
        <v>0.94680860843435022</v>
      </c>
      <c r="DI27" s="42">
        <v>0.65326964308088331</v>
      </c>
      <c r="DJ27" s="42">
        <v>0.43300161114111568</v>
      </c>
      <c r="DK27" s="42">
        <v>0.27441370348333582</v>
      </c>
      <c r="DL27" s="42">
        <v>0.16540941087168839</v>
      </c>
      <c r="DM27" s="42">
        <v>9.4283044263614654E-2</v>
      </c>
      <c r="DN27" s="42">
        <v>5.0501137911965505E-2</v>
      </c>
      <c r="DO27" s="42">
        <v>2.5256506789093403E-2</v>
      </c>
      <c r="DP27" s="42">
        <v>1.172900824802448E-2</v>
      </c>
      <c r="DQ27" s="42">
        <v>5.0518673078637812E-3</v>
      </c>
      <c r="DR27" s="42">
        <v>2.045953654585674E-3</v>
      </c>
      <c r="DS27" s="42">
        <v>8.2542744513886197E-4</v>
      </c>
    </row>
    <row r="28" spans="1:123">
      <c r="A28" s="43" t="s">
        <v>115</v>
      </c>
      <c r="B28" s="40" t="s">
        <v>128</v>
      </c>
      <c r="C28" s="44" t="s">
        <v>133</v>
      </c>
      <c r="D28" s="47">
        <v>31.997969993346203</v>
      </c>
      <c r="E28" s="47">
        <v>32.039062810175608</v>
      </c>
      <c r="F28" s="47">
        <v>32.079057725043626</v>
      </c>
      <c r="G28" s="47">
        <v>32.117938611160028</v>
      </c>
      <c r="H28" s="47">
        <v>32.15568892393707</v>
      </c>
      <c r="I28" s="47">
        <v>32.192291687299296</v>
      </c>
      <c r="J28" s="47">
        <v>32.227729479466248</v>
      </c>
      <c r="K28" s="47">
        <v>32.261984418183793</v>
      </c>
      <c r="L28" s="47">
        <v>32.295038145378363</v>
      </c>
      <c r="M28" s="47">
        <v>32.326871811207042</v>
      </c>
      <c r="N28" s="47">
        <v>32.35746605747552</v>
      </c>
      <c r="O28" s="47">
        <v>32.386801000393902</v>
      </c>
      <c r="P28" s="47">
        <v>32.414856212639791</v>
      </c>
      <c r="Q28" s="47">
        <v>32.441610704695691</v>
      </c>
      <c r="R28" s="47">
        <v>32.467042905426887</v>
      </c>
      <c r="S28" s="47">
        <v>32.491130641864018</v>
      </c>
      <c r="T28" s="47">
        <v>32.513851118152751</v>
      </c>
      <c r="U28" s="47">
        <v>32.53518089363169</v>
      </c>
      <c r="V28" s="47">
        <v>32.555095859997088</v>
      </c>
      <c r="W28" s="47">
        <v>32.573571217511805</v>
      </c>
      <c r="X28" s="47">
        <v>39.779016636555149</v>
      </c>
      <c r="Y28" s="47">
        <v>39.643680609114753</v>
      </c>
      <c r="Z28" s="47">
        <v>39.506380908463292</v>
      </c>
      <c r="AA28" s="47">
        <v>39.367094354850529</v>
      </c>
      <c r="AB28" s="47">
        <v>39.225797452353419</v>
      </c>
      <c r="AC28" s="47">
        <v>39.082466386812591</v>
      </c>
      <c r="AD28" s="47">
        <v>38.937077023844417</v>
      </c>
      <c r="AE28" s="47">
        <v>38.789604906939594</v>
      </c>
      <c r="AF28" s="47">
        <v>38.640025255660525</v>
      </c>
      <c r="AG28" s="47">
        <v>38.488312963950222</v>
      </c>
      <c r="AH28" s="47">
        <v>38.334442598567406</v>
      </c>
      <c r="AI28" s="47">
        <v>38.178388397663184</v>
      </c>
      <c r="AJ28" s="47">
        <v>38.020124269516145</v>
      </c>
      <c r="AK28" s="47">
        <v>37.859623791444534</v>
      </c>
      <c r="AL28" s="47">
        <v>37.69686020891541</v>
      </c>
      <c r="AM28" s="47">
        <v>37.531806434872571</v>
      </c>
      <c r="AN28" s="47">
        <v>37.364435049306998</v>
      </c>
      <c r="AO28" s="47">
        <v>37.194718299095641</v>
      </c>
      <c r="AP28" s="47">
        <v>37.022628098136288</v>
      </c>
      <c r="AQ28" s="47">
        <v>36.848136027809275</v>
      </c>
      <c r="AR28" s="47">
        <v>88.509866853767235</v>
      </c>
      <c r="AS28" s="47">
        <v>88.506905907516682</v>
      </c>
      <c r="AT28" s="47">
        <v>88.503894154216354</v>
      </c>
      <c r="AU28" s="47">
        <v>88.500831127247025</v>
      </c>
      <c r="AV28" s="47">
        <v>88.49771634506611</v>
      </c>
      <c r="AW28" s="47">
        <v>88.494549311019711</v>
      </c>
      <c r="AX28" s="47">
        <v>88.491329513146155</v>
      </c>
      <c r="AY28" s="47">
        <v>88.488056423970917</v>
      </c>
      <c r="AZ28" s="47">
        <v>88.484729500292858</v>
      </c>
      <c r="BA28" s="47">
        <v>88.481348182961682</v>
      </c>
      <c r="BB28" s="47">
        <v>88.477911896646276</v>
      </c>
      <c r="BC28" s="47">
        <v>88.47442004959386</v>
      </c>
      <c r="BD28" s="47">
        <v>88.470872033379976</v>
      </c>
      <c r="BE28" s="47">
        <v>88.467267222648758</v>
      </c>
      <c r="BF28" s="47">
        <v>88.463604974843548</v>
      </c>
      <c r="BG28" s="47">
        <v>88.459884629927714</v>
      </c>
      <c r="BH28" s="47">
        <v>88.456105510095327</v>
      </c>
      <c r="BI28" s="47">
        <v>88.452266919471526</v>
      </c>
      <c r="BJ28" s="47">
        <v>88.44836814380244</v>
      </c>
      <c r="BK28" s="47">
        <v>88.444408450134276</v>
      </c>
      <c r="BL28" s="47">
        <v>87.439470089502706</v>
      </c>
      <c r="BM28" s="47">
        <v>87.438206272418199</v>
      </c>
      <c r="BN28" s="47">
        <v>87.43689952147345</v>
      </c>
      <c r="BO28" s="47">
        <v>87.435548550266446</v>
      </c>
      <c r="BP28" s="47">
        <v>87.434152019507337</v>
      </c>
      <c r="BQ28" s="47">
        <v>87.432708534711367</v>
      </c>
      <c r="BR28" s="47">
        <v>87.431216643780985</v>
      </c>
      <c r="BS28" s="47">
        <v>87.429674834471584</v>
      </c>
      <c r="BT28" s="47">
        <v>87.428081531735046</v>
      </c>
      <c r="BU28" s="47">
        <v>87.426435094934845</v>
      </c>
      <c r="BV28" s="47">
        <v>87.424733814926384</v>
      </c>
      <c r="BW28" s="47">
        <v>87.422975910995547</v>
      </c>
      <c r="BX28" s="47">
        <v>87.421159527648513</v>
      </c>
      <c r="BY28" s="47">
        <v>87.41928273124519</v>
      </c>
      <c r="BZ28" s="47">
        <v>87.417343506468242</v>
      </c>
      <c r="CA28" s="47">
        <v>87.415339752619502</v>
      </c>
      <c r="CB28" s="47">
        <v>87.413269279734905</v>
      </c>
      <c r="CC28" s="47">
        <v>87.411129804508619</v>
      </c>
      <c r="CD28" s="47">
        <v>87.408918946016826</v>
      </c>
      <c r="CE28" s="47">
        <v>87.406634221230576</v>
      </c>
      <c r="CF28" s="47">
        <v>80.974434595048464</v>
      </c>
      <c r="CG28" s="47">
        <v>80.959242803092351</v>
      </c>
      <c r="CH28" s="47">
        <v>80.943388042141493</v>
      </c>
      <c r="CI28" s="47">
        <v>80.926840343727847</v>
      </c>
      <c r="CJ28" s="47">
        <v>80.909568355452805</v>
      </c>
      <c r="CK28" s="47">
        <v>80.891539276056207</v>
      </c>
      <c r="CL28" s="47">
        <v>80.87271878739547</v>
      </c>
      <c r="CM28" s="47">
        <v>80.853070983186115</v>
      </c>
      <c r="CN28" s="47">
        <v>80.832558294348132</v>
      </c>
      <c r="CO28" s="47">
        <v>80.811141410795415</v>
      </c>
      <c r="CP28" s="47">
        <v>80.788779199497441</v>
      </c>
      <c r="CQ28" s="47">
        <v>80.765428618634701</v>
      </c>
      <c r="CR28" s="47">
        <v>80.741044627660742</v>
      </c>
      <c r="CS28" s="47">
        <v>80.715580093075289</v>
      </c>
      <c r="CT28" s="47">
        <v>80.688985689703458</v>
      </c>
      <c r="CU28" s="47">
        <v>80.661209797267162</v>
      </c>
      <c r="CV28" s="47">
        <v>80.632198392024776</v>
      </c>
      <c r="CW28" s="47">
        <v>80.601894933245035</v>
      </c>
      <c r="CX28" s="47">
        <v>80.570240244270892</v>
      </c>
      <c r="CY28" s="47">
        <v>80.537172387918261</v>
      </c>
      <c r="CZ28" s="47">
        <v>29.552820007379527</v>
      </c>
      <c r="DA28" s="47">
        <v>28.453080931793412</v>
      </c>
      <c r="DB28" s="47">
        <v>27.310321404829729</v>
      </c>
      <c r="DC28" s="47">
        <v>26.12551348313033</v>
      </c>
      <c r="DD28" s="47">
        <v>24.900204498083639</v>
      </c>
      <c r="DE28" s="47">
        <v>23.63660480947399</v>
      </c>
      <c r="DF28" s="47">
        <v>22.337678810268585</v>
      </c>
      <c r="DG28" s="47">
        <v>21.007236195027286</v>
      </c>
      <c r="DH28" s="47">
        <v>19.65001929952161</v>
      </c>
      <c r="DI28" s="47">
        <v>18.271780897959644</v>
      </c>
      <c r="DJ28" s="47">
        <v>16.879345241730842</v>
      </c>
      <c r="DK28" s="47">
        <v>15.480643420645551</v>
      </c>
      <c r="DL28" s="47">
        <v>14.084712469190334</v>
      </c>
      <c r="DM28" s="47">
        <v>12.701646254863919</v>
      </c>
      <c r="DN28" s="47">
        <v>11.342485402175255</v>
      </c>
      <c r="DO28" s="47">
        <v>10.019033761655447</v>
      </c>
      <c r="DP28" s="47">
        <v>8.7435907626419773</v>
      </c>
      <c r="DQ28" s="47">
        <v>7.5285929792859632</v>
      </c>
      <c r="DR28" s="47">
        <v>6.3861649398990448</v>
      </c>
      <c r="DS28" s="47">
        <v>5.3275889751452086</v>
      </c>
    </row>
    <row r="29" spans="1:123">
      <c r="A29" s="43" t="s">
        <v>115</v>
      </c>
      <c r="B29" s="40" t="s">
        <v>128</v>
      </c>
      <c r="C29" s="44" t="s">
        <v>134</v>
      </c>
      <c r="D29" s="47">
        <v>79.453806000000029</v>
      </c>
      <c r="E29" s="47">
        <v>81.086566054723761</v>
      </c>
      <c r="F29" s="47">
        <v>82.761199563724261</v>
      </c>
      <c r="G29" s="47">
        <v>84.478933000031432</v>
      </c>
      <c r="H29" s="47">
        <v>86.241032775044218</v>
      </c>
      <c r="I29" s="47">
        <v>88.048806699008438</v>
      </c>
      <c r="J29" s="47">
        <v>89.903605503022717</v>
      </c>
      <c r="K29" s="47">
        <v>91.806824425594613</v>
      </c>
      <c r="L29" s="47">
        <v>93.75990486693928</v>
      </c>
      <c r="M29" s="47">
        <v>95.764336114393075</v>
      </c>
      <c r="N29" s="47">
        <v>97.821657142505401</v>
      </c>
      <c r="O29" s="47">
        <v>99.933458491576303</v>
      </c>
      <c r="P29" s="47">
        <v>102.10138422862239</v>
      </c>
      <c r="Q29" s="47">
        <v>104.32713399498354</v>
      </c>
      <c r="R29" s="47">
        <v>106.61246514502676</v>
      </c>
      <c r="S29" s="47">
        <v>108.95919498066223</v>
      </c>
      <c r="T29" s="47">
        <v>111.36920308666291</v>
      </c>
      <c r="U29" s="47">
        <v>113.8444337720708</v>
      </c>
      <c r="V29" s="47">
        <v>116.38689862328633</v>
      </c>
      <c r="W29" s="47">
        <v>118.9986791747661</v>
      </c>
      <c r="X29" s="47">
        <v>50.377779000000018</v>
      </c>
      <c r="Y29" s="47">
        <v>51.475883640949675</v>
      </c>
      <c r="Z29" s="47">
        <v>52.60694668056464</v>
      </c>
      <c r="AA29" s="47">
        <v>53.772163611607844</v>
      </c>
      <c r="AB29" s="47">
        <v>54.972780888224577</v>
      </c>
      <c r="AC29" s="47">
        <v>56.210098413985783</v>
      </c>
      <c r="AD29" s="47">
        <v>57.485472164940759</v>
      </c>
      <c r="AE29" s="47">
        <v>58.800316955564412</v>
      </c>
      <c r="AF29" s="47">
        <v>60.156109355966279</v>
      </c>
      <c r="AG29" s="47">
        <v>61.554390769242069</v>
      </c>
      <c r="AH29" s="47">
        <v>62.996770678393503</v>
      </c>
      <c r="AI29" s="47">
        <v>64.484930072822266</v>
      </c>
      <c r="AJ29" s="47">
        <v>66.020625065020141</v>
      </c>
      <c r="AK29" s="47">
        <v>67.605690708732766</v>
      </c>
      <c r="AL29" s="47">
        <v>69.242045030571489</v>
      </c>
      <c r="AM29" s="47">
        <v>70.931693287788633</v>
      </c>
      <c r="AN29" s="47">
        <v>72.676732465719184</v>
      </c>
      <c r="AO29" s="47">
        <v>74.479356029230715</v>
      </c>
      <c r="AP29" s="47">
        <v>76.341858943413598</v>
      </c>
      <c r="AQ29" s="47">
        <v>78.266642979691554</v>
      </c>
      <c r="AR29" s="47">
        <v>118.18600999999997</v>
      </c>
      <c r="AS29" s="47">
        <v>122.23843040211432</v>
      </c>
      <c r="AT29" s="47">
        <v>126.45316524656667</v>
      </c>
      <c r="AU29" s="47">
        <v>130.83720375098156</v>
      </c>
      <c r="AV29" s="47">
        <v>135.39784981501148</v>
      </c>
      <c r="AW29" s="47">
        <v>140.14273666406737</v>
      </c>
      <c r="AX29" s="47">
        <v>145.07984219400183</v>
      </c>
      <c r="AY29" s="47">
        <v>150.21750505118411</v>
      </c>
      <c r="AZ29" s="47">
        <v>155.56444148413863</v>
      </c>
      <c r="BA29" s="47">
        <v>161.12976300474412</v>
      </c>
      <c r="BB29" s="47">
        <v>166.92299489890539</v>
      </c>
      <c r="BC29" s="47">
        <v>172.95409562862969</v>
      </c>
      <c r="BD29" s="47">
        <v>179.23347716955743</v>
      </c>
      <c r="BE29" s="47">
        <v>185.77202633022995</v>
      </c>
      <c r="BF29" s="47">
        <v>192.58112710172094</v>
      </c>
      <c r="BG29" s="47">
        <v>199.67268408872843</v>
      </c>
      <c r="BH29" s="47">
        <v>207.05914707581761</v>
      </c>
      <c r="BI29" s="47">
        <v>214.75353678523783</v>
      </c>
      <c r="BJ29" s="47">
        <v>222.7694718856078</v>
      </c>
      <c r="BK29" s="47">
        <v>231.1211973137884</v>
      </c>
      <c r="BL29" s="47">
        <v>152.33566000000002</v>
      </c>
      <c r="BM29" s="47">
        <v>158.07421116433346</v>
      </c>
      <c r="BN29" s="47">
        <v>164.07237269379897</v>
      </c>
      <c r="BO29" s="47">
        <v>170.34341970834708</v>
      </c>
      <c r="BP29" s="47">
        <v>176.90137254096749</v>
      </c>
      <c r="BQ29" s="47">
        <v>183.76104196085666</v>
      </c>
      <c r="BR29" s="47">
        <v>190.93807732942491</v>
      </c>
      <c r="BS29" s="47">
        <v>198.44901789019178</v>
      </c>
      <c r="BT29" s="47">
        <v>206.31134740803611</v>
      </c>
      <c r="BU29" s="47">
        <v>214.54355238875252</v>
      </c>
      <c r="BV29" s="47">
        <v>223.16518412650379</v>
      </c>
      <c r="BW29" s="47">
        <v>232.19692484464082</v>
      </c>
      <c r="BX29" s="47">
        <v>241.6606582145759</v>
      </c>
      <c r="BY29" s="47">
        <v>251.57954455804838</v>
      </c>
      <c r="BZ29" s="47">
        <v>261.97810106032796</v>
      </c>
      <c r="CA29" s="47">
        <v>272.88228734576751</v>
      </c>
      <c r="CB29" s="47">
        <v>284.31959679279009</v>
      </c>
      <c r="CC29" s="47">
        <v>296.31915399299453</v>
      </c>
      <c r="CD29" s="47">
        <v>308.91181878875346</v>
      </c>
      <c r="CE29" s="47">
        <v>322.13029735561247</v>
      </c>
      <c r="CF29" s="47">
        <v>335.11902000000009</v>
      </c>
      <c r="CG29" s="47">
        <v>345.66881990260407</v>
      </c>
      <c r="CH29" s="47">
        <v>356.63814092719883</v>
      </c>
      <c r="CI29" s="47">
        <v>368.04753785339176</v>
      </c>
      <c r="CJ29" s="47">
        <v>379.91876723366477</v>
      </c>
      <c r="CK29" s="47">
        <v>392.27486709759944</v>
      </c>
      <c r="CL29" s="47">
        <v>405.1402423684076</v>
      </c>
      <c r="CM29" s="47">
        <v>418.54075641958144</v>
      </c>
      <c r="CN29" s="47">
        <v>432.50382923231621</v>
      </c>
      <c r="CO29" s="47">
        <v>447.05854264974494</v>
      </c>
      <c r="CP29" s="47">
        <v>462.23575326217548</v>
      </c>
      <c r="CQ29" s="47">
        <v>478.06821349863992</v>
      </c>
      <c r="CR29" s="47">
        <v>494.590701544387</v>
      </c>
      <c r="CS29" s="47">
        <v>511.84016075174111</v>
      </c>
      <c r="CT29" s="47">
        <v>529.85584926325362</v>
      </c>
      <c r="CU29" s="47">
        <v>548.67950062161788</v>
      </c>
      <c r="CV29" s="47">
        <v>568.35549620068832</v>
      </c>
      <c r="CW29" s="47">
        <v>588.93105035650285</v>
      </c>
      <c r="CX29" s="47">
        <v>610.45640926681085</v>
      </c>
      <c r="CY29" s="47">
        <v>632.98506450266382</v>
      </c>
      <c r="CZ29" s="47">
        <v>430.51747</v>
      </c>
      <c r="DA29" s="47">
        <v>439.33041241842869</v>
      </c>
      <c r="DB29" s="47">
        <v>448.38064327155428</v>
      </c>
      <c r="DC29" s="47">
        <v>457.67536459431091</v>
      </c>
      <c r="DD29" s="47">
        <v>467.22201511279206</v>
      </c>
      <c r="DE29" s="47">
        <v>477.02827850129813</v>
      </c>
      <c r="DF29" s="47">
        <v>487.10209194083677</v>
      </c>
      <c r="DG29" s="47">
        <v>497.45165499047306</v>
      </c>
      <c r="DH29" s="47">
        <v>508.08543878336332</v>
      </c>
      <c r="DI29" s="47">
        <v>519.01219555976866</v>
      </c>
      <c r="DJ29" s="47">
        <v>530.24096854982224</v>
      </c>
      <c r="DK29" s="47">
        <v>541.78110221932002</v>
      </c>
      <c r="DL29" s="47">
        <v>553.64225289232104</v>
      </c>
      <c r="DM29" s="47">
        <v>565.83439976488307</v>
      </c>
      <c r="DN29" s="47">
        <v>578.36785632481349</v>
      </c>
      <c r="DO29" s="47">
        <v>591.25328219290111</v>
      </c>
      <c r="DP29" s="47">
        <v>604.50169540169111</v>
      </c>
      <c r="DQ29" s="47">
        <v>618.12448512850256</v>
      </c>
      <c r="DR29" s="47">
        <v>632.13342490002969</v>
      </c>
      <c r="DS29" s="47">
        <v>646.5406862865575</v>
      </c>
    </row>
    <row r="30" spans="1:123">
      <c r="A30" s="43" t="s">
        <v>115</v>
      </c>
      <c r="B30" s="40" t="s">
        <v>128</v>
      </c>
      <c r="C30" s="44" t="s">
        <v>135</v>
      </c>
      <c r="D30" s="47">
        <v>9757.9382163266037</v>
      </c>
      <c r="E30" s="47">
        <v>9757.9382163266018</v>
      </c>
      <c r="F30" s="47">
        <v>9757.9382163266037</v>
      </c>
      <c r="G30" s="47">
        <v>9757.9382163266037</v>
      </c>
      <c r="H30" s="47">
        <v>9757.9382163266018</v>
      </c>
      <c r="I30" s="47">
        <v>9757.9382163266037</v>
      </c>
      <c r="J30" s="49">
        <v>9757.9382163266037</v>
      </c>
      <c r="K30" s="49">
        <v>9757.9382163266018</v>
      </c>
      <c r="L30" s="49">
        <v>9757.9382163266037</v>
      </c>
      <c r="M30" s="49">
        <v>9757.9382163266037</v>
      </c>
      <c r="N30" s="49">
        <v>9757.9382163266037</v>
      </c>
      <c r="O30" s="49">
        <v>9757.9382163266037</v>
      </c>
      <c r="P30" s="49">
        <v>9757.9382163266037</v>
      </c>
      <c r="Q30" s="49">
        <v>9757.9382163266037</v>
      </c>
      <c r="R30" s="49">
        <v>9757.9382163266037</v>
      </c>
      <c r="S30" s="49">
        <v>9757.9382163266037</v>
      </c>
      <c r="T30" s="49">
        <v>9757.9382163266037</v>
      </c>
      <c r="U30" s="49">
        <v>9757.9382163266037</v>
      </c>
      <c r="V30" s="49">
        <v>9757.9382163266037</v>
      </c>
      <c r="W30" s="49">
        <v>9757.9382163266037</v>
      </c>
      <c r="X30" s="49">
        <v>11320.811701524199</v>
      </c>
      <c r="Y30" s="49">
        <v>11320.811701524199</v>
      </c>
      <c r="Z30" s="49">
        <v>11320.811701524199</v>
      </c>
      <c r="AA30" s="49">
        <v>11320.811701524199</v>
      </c>
      <c r="AB30" s="49">
        <v>11320.811701524199</v>
      </c>
      <c r="AC30" s="49">
        <v>11320.811701524199</v>
      </c>
      <c r="AD30" s="49">
        <v>11320.811701524199</v>
      </c>
      <c r="AE30" s="49">
        <v>11320.811701524199</v>
      </c>
      <c r="AF30" s="49">
        <v>11320.811701524199</v>
      </c>
      <c r="AG30" s="49">
        <v>11320.811701524199</v>
      </c>
      <c r="AH30" s="49">
        <v>11320.811701524199</v>
      </c>
      <c r="AI30" s="49">
        <v>11320.811701524199</v>
      </c>
      <c r="AJ30" s="49">
        <v>11320.811701524197</v>
      </c>
      <c r="AK30" s="49">
        <v>11320.811701524197</v>
      </c>
      <c r="AL30" s="49">
        <v>11320.811701524199</v>
      </c>
      <c r="AM30" s="49">
        <v>11320.811701524199</v>
      </c>
      <c r="AN30" s="49">
        <v>11320.811701524199</v>
      </c>
      <c r="AO30" s="49">
        <v>11320.811701524199</v>
      </c>
      <c r="AP30" s="49">
        <v>11320.811701524197</v>
      </c>
      <c r="AQ30" s="49">
        <v>11320.811701524199</v>
      </c>
      <c r="AR30" s="49">
        <v>2860.2434416730034</v>
      </c>
      <c r="AS30" s="49">
        <v>2860.2434416730034</v>
      </c>
      <c r="AT30" s="49">
        <v>2860.2434416730034</v>
      </c>
      <c r="AU30" s="49">
        <v>2860.2434416730034</v>
      </c>
      <c r="AV30" s="49">
        <v>2860.2434416730034</v>
      </c>
      <c r="AW30" s="49">
        <v>2860.2434416730034</v>
      </c>
      <c r="AX30" s="49">
        <v>2860.2434416730034</v>
      </c>
      <c r="AY30" s="49">
        <v>2860.243441673003</v>
      </c>
      <c r="AZ30" s="49">
        <v>2860.243441673003</v>
      </c>
      <c r="BA30" s="49">
        <v>2860.2434416730034</v>
      </c>
      <c r="BB30" s="49">
        <v>2860.2434416730034</v>
      </c>
      <c r="BC30" s="49">
        <v>2860.2434416730034</v>
      </c>
      <c r="BD30" s="49">
        <v>2860.2434416730034</v>
      </c>
      <c r="BE30" s="49">
        <v>2860.243441673003</v>
      </c>
      <c r="BF30" s="49">
        <v>2860.2434416730034</v>
      </c>
      <c r="BG30" s="49">
        <v>2860.2434416730034</v>
      </c>
      <c r="BH30" s="49">
        <v>2860.2434416730034</v>
      </c>
      <c r="BI30" s="49">
        <v>2860.2434416730034</v>
      </c>
      <c r="BJ30" s="49">
        <v>2860.2434416730034</v>
      </c>
      <c r="BK30" s="49">
        <v>2860.2434416730034</v>
      </c>
      <c r="BL30" s="49">
        <v>1686.5691854422005</v>
      </c>
      <c r="BM30" s="49">
        <v>1686.5691854422007</v>
      </c>
      <c r="BN30" s="49">
        <v>1686.5691854422005</v>
      </c>
      <c r="BO30" s="49">
        <v>1686.5691854422005</v>
      </c>
      <c r="BP30" s="49">
        <v>1686.5691854422005</v>
      </c>
      <c r="BQ30" s="49">
        <v>1686.5691854422005</v>
      </c>
      <c r="BR30" s="49">
        <v>1686.5691854422005</v>
      </c>
      <c r="BS30" s="49">
        <v>1686.5691854422003</v>
      </c>
      <c r="BT30" s="49">
        <v>1686.5691854422005</v>
      </c>
      <c r="BU30" s="49">
        <v>1686.5691854422005</v>
      </c>
      <c r="BV30" s="49">
        <v>1686.5691854422005</v>
      </c>
      <c r="BW30" s="49">
        <v>1686.5691854422005</v>
      </c>
      <c r="BX30" s="49">
        <v>1686.5691854422003</v>
      </c>
      <c r="BY30" s="49">
        <v>1686.5691854422005</v>
      </c>
      <c r="BZ30" s="49">
        <v>1686.5691854422005</v>
      </c>
      <c r="CA30" s="49">
        <v>1686.5691854422005</v>
      </c>
      <c r="CB30" s="49">
        <v>1686.5691854422005</v>
      </c>
      <c r="CC30" s="49">
        <v>1686.5691854422005</v>
      </c>
      <c r="CD30" s="49">
        <v>1686.5691854422005</v>
      </c>
      <c r="CE30" s="49">
        <v>1686.5691854422003</v>
      </c>
      <c r="CF30" s="49">
        <v>2772.7336693691695</v>
      </c>
      <c r="CG30" s="49">
        <v>2772.7336693691695</v>
      </c>
      <c r="CH30" s="49">
        <v>2772.7336693691695</v>
      </c>
      <c r="CI30" s="49">
        <v>2772.7336693691695</v>
      </c>
      <c r="CJ30" s="49">
        <v>2772.7336693691695</v>
      </c>
      <c r="CK30" s="49">
        <v>2772.7336693691695</v>
      </c>
      <c r="CL30" s="49">
        <v>2772.7336693691695</v>
      </c>
      <c r="CM30" s="49">
        <v>2772.7336693691695</v>
      </c>
      <c r="CN30" s="49">
        <v>2772.7336693691695</v>
      </c>
      <c r="CO30" s="49">
        <v>2772.7336693691695</v>
      </c>
      <c r="CP30" s="49">
        <v>2772.7336693691695</v>
      </c>
      <c r="CQ30" s="49">
        <v>2772.7336693691695</v>
      </c>
      <c r="CR30" s="49">
        <v>2772.7336693691695</v>
      </c>
      <c r="CS30" s="49">
        <v>2772.7336693691695</v>
      </c>
      <c r="CT30" s="49">
        <v>2772.7336693691695</v>
      </c>
      <c r="CU30" s="49">
        <v>2772.7336693691695</v>
      </c>
      <c r="CV30" s="49">
        <v>2772.7336693691695</v>
      </c>
      <c r="CW30" s="49">
        <v>2772.7336693691695</v>
      </c>
      <c r="CX30" s="49">
        <v>2772.73366936917</v>
      </c>
      <c r="CY30" s="49">
        <v>2772.7336693691691</v>
      </c>
      <c r="CZ30" s="49">
        <v>8556.8620478978464</v>
      </c>
      <c r="DA30" s="49">
        <v>8556.8620478978464</v>
      </c>
      <c r="DB30" s="49">
        <v>8556.8620478978464</v>
      </c>
      <c r="DC30" s="49">
        <v>8556.8620478978464</v>
      </c>
      <c r="DD30" s="49">
        <v>8556.8620478978464</v>
      </c>
      <c r="DE30" s="49">
        <v>8556.8620478978464</v>
      </c>
      <c r="DF30" s="49">
        <v>8556.8620478978464</v>
      </c>
      <c r="DG30" s="49">
        <v>8556.8620478978464</v>
      </c>
      <c r="DH30" s="49">
        <v>8556.8620478978464</v>
      </c>
      <c r="DI30" s="49">
        <v>8556.8620478978464</v>
      </c>
      <c r="DJ30" s="49">
        <v>8556.8620478978464</v>
      </c>
      <c r="DK30" s="49">
        <v>8556.8620478978464</v>
      </c>
      <c r="DL30" s="49">
        <v>8556.8620478978482</v>
      </c>
      <c r="DM30" s="49">
        <v>8556.8620478978464</v>
      </c>
      <c r="DN30" s="49">
        <v>8556.8620478978482</v>
      </c>
      <c r="DO30" s="49">
        <v>8556.8620478978464</v>
      </c>
      <c r="DP30" s="49">
        <v>8556.8620478978482</v>
      </c>
      <c r="DQ30" s="49">
        <v>8556.8620478978464</v>
      </c>
      <c r="DR30" s="49">
        <v>8556.8620478978464</v>
      </c>
      <c r="DS30" s="49">
        <v>8556.8620478978482</v>
      </c>
    </row>
    <row r="31" spans="1:123">
      <c r="A31" s="46" t="s">
        <v>117</v>
      </c>
      <c r="B31" s="42" t="s">
        <v>128</v>
      </c>
      <c r="C31" s="45" t="s">
        <v>136</v>
      </c>
      <c r="D31" s="47">
        <v>1290.6349332</v>
      </c>
      <c r="E31" s="47">
        <v>1299.4606562540901</v>
      </c>
      <c r="F31" s="47">
        <v>1308.45650090552</v>
      </c>
      <c r="G31" s="47">
        <v>1317.62704363797</v>
      </c>
      <c r="H31" s="47">
        <v>1326.9770064377501</v>
      </c>
      <c r="I31" s="47">
        <v>1336.51126194782</v>
      </c>
      <c r="J31" s="49">
        <v>1346.2348388294999</v>
      </c>
      <c r="K31" s="49">
        <v>1356.1529273414801</v>
      </c>
      <c r="L31" s="49">
        <v>1366.2708851464799</v>
      </c>
      <c r="M31" s="49">
        <v>1376.59424335619</v>
      </c>
      <c r="N31" s="49">
        <v>1387.12871282591</v>
      </c>
      <c r="O31" s="49">
        <v>1397.8801907109801</v>
      </c>
      <c r="P31" s="49">
        <v>1408.85476729735</v>
      </c>
      <c r="Q31" s="49">
        <v>1420.0587331199799</v>
      </c>
      <c r="R31" s="49">
        <v>1431.4985863828699</v>
      </c>
      <c r="S31" s="49">
        <v>1443.18104069572</v>
      </c>
      <c r="T31" s="49">
        <v>1455.1130331428999</v>
      </c>
      <c r="U31" s="49">
        <v>1467.3017327012899</v>
      </c>
      <c r="V31" s="49">
        <v>1479.7545490246</v>
      </c>
      <c r="W31" s="49">
        <v>1492.4791416125399</v>
      </c>
      <c r="X31" s="49">
        <v>521.24597960000006</v>
      </c>
      <c r="Y31" s="49">
        <v>532.37732571793299</v>
      </c>
      <c r="Z31" s="49">
        <v>543.821563688335</v>
      </c>
      <c r="AA31" s="49">
        <v>555.58869260831705</v>
      </c>
      <c r="AB31" s="49">
        <v>567.68908040434303</v>
      </c>
      <c r="AC31" s="49">
        <v>580.13347958372594</v>
      </c>
      <c r="AD31" s="49">
        <v>592.93304375974799</v>
      </c>
      <c r="AE31" s="49">
        <v>606.09934499285998</v>
      </c>
      <c r="AF31" s="49">
        <v>619.64439199292303</v>
      </c>
      <c r="AG31" s="49">
        <v>633.58064923011705</v>
      </c>
      <c r="AH31" s="49">
        <v>647.92105700498803</v>
      </c>
      <c r="AI31" s="49">
        <v>662.67905253109598</v>
      </c>
      <c r="AJ31" s="49">
        <v>677.86859208692294</v>
      </c>
      <c r="AK31" s="49">
        <v>693.50417429711001</v>
      </c>
      <c r="AL31" s="49">
        <v>709.60086460667105</v>
      </c>
      <c r="AM31" s="49">
        <v>726.17432101569</v>
      </c>
      <c r="AN31" s="49">
        <v>743.24082114604403</v>
      </c>
      <c r="AO31" s="49">
        <v>760.81729071605503</v>
      </c>
      <c r="AP31" s="49">
        <v>778.92133350353595</v>
      </c>
      <c r="AQ31" s="49">
        <v>797.57126288260702</v>
      </c>
      <c r="AR31" s="49">
        <v>420.59140769999999</v>
      </c>
      <c r="AS31" s="49">
        <v>431.82500348750301</v>
      </c>
      <c r="AT31" s="49">
        <v>443.40262521869897</v>
      </c>
      <c r="AU31" s="49">
        <v>455.33569585676901</v>
      </c>
      <c r="AV31" s="49">
        <v>467.63604876891299</v>
      </c>
      <c r="AW31" s="49">
        <v>480.31594364691</v>
      </c>
      <c r="AX31" s="49">
        <v>493.38808308973103</v>
      </c>
      <c r="AY31" s="49">
        <v>506.86562987740598</v>
      </c>
      <c r="AZ31" s="49">
        <v>520.76222496673404</v>
      </c>
      <c r="BA31" s="49">
        <v>535.09200624082303</v>
      </c>
      <c r="BB31" s="49">
        <v>549.86962804592895</v>
      </c>
      <c r="BC31" s="49">
        <v>565.11028155066504</v>
      </c>
      <c r="BD31" s="49">
        <v>580.82971596422703</v>
      </c>
      <c r="BE31" s="49">
        <v>597.04426065206303</v>
      </c>
      <c r="BF31" s="49">
        <v>613.77084818916205</v>
      </c>
      <c r="BG31" s="49">
        <v>631.027038393054</v>
      </c>
      <c r="BH31" s="49">
        <v>648.83104338058502</v>
      </c>
      <c r="BI31" s="49">
        <v>667.20175369461299</v>
      </c>
      <c r="BJ31" s="49">
        <v>686.15876554893396</v>
      </c>
      <c r="BK31" s="49">
        <v>705.72240924206005</v>
      </c>
      <c r="BL31" s="49">
        <v>552.78647779999994</v>
      </c>
      <c r="BM31" s="49">
        <v>575.08538170196903</v>
      </c>
      <c r="BN31" s="49">
        <v>598.46599707293001</v>
      </c>
      <c r="BO31" s="49">
        <v>622.98754823046397</v>
      </c>
      <c r="BP31" s="49">
        <v>648.71273664458101</v>
      </c>
      <c r="BQ31" s="49">
        <v>675.70795281071901</v>
      </c>
      <c r="BR31" s="49">
        <v>704.043501297994</v>
      </c>
      <c r="BS31" s="49">
        <v>733.79383980242096</v>
      </c>
      <c r="BT31" s="49">
        <v>765.03783308769005</v>
      </c>
      <c r="BU31" s="49">
        <v>797.85902275214005</v>
      </c>
      <c r="BV31" s="49">
        <v>832.34591382040298</v>
      </c>
      <c r="BW31" s="49">
        <v>868.59227922173397</v>
      </c>
      <c r="BX31" s="49">
        <v>906.69748328474896</v>
      </c>
      <c r="BY31" s="49">
        <v>946.766825450331</v>
      </c>
      <c r="BZ31" s="49">
        <v>988.91190548109705</v>
      </c>
      <c r="CA31" s="49">
        <v>1033.2510115274799</v>
      </c>
      <c r="CB31" s="49">
        <v>1079.90953249729</v>
      </c>
      <c r="CC31" s="49">
        <v>1129.02039626808</v>
      </c>
      <c r="CD31" s="49">
        <v>1180.72453538015</v>
      </c>
      <c r="CE31" s="49">
        <v>1235.1713819526101</v>
      </c>
      <c r="CF31" s="49">
        <v>1337.1418971000001</v>
      </c>
      <c r="CG31" s="49">
        <v>1368.66141084642</v>
      </c>
      <c r="CH31" s="49">
        <v>1401.27855366987</v>
      </c>
      <c r="CI31" s="49">
        <v>1435.0418765110001</v>
      </c>
      <c r="CJ31" s="49">
        <v>1470.0023799578801</v>
      </c>
      <c r="CK31" s="49">
        <v>1506.2136482119699</v>
      </c>
      <c r="CL31" s="49">
        <v>1543.7319908388499</v>
      </c>
      <c r="CM31" s="49">
        <v>1582.6165927811601</v>
      </c>
      <c r="CN31" s="49">
        <v>1622.9296731419099</v>
      </c>
      <c r="CO31" s="49">
        <v>1664.73665327919</v>
      </c>
      <c r="CP31" s="49">
        <v>1708.1063347883201</v>
      </c>
      <c r="CQ31" s="49">
        <v>1753.1110879852599</v>
      </c>
      <c r="CR31" s="49">
        <v>1799.82705154471</v>
      </c>
      <c r="CS31" s="49">
        <v>1848.33434398946</v>
      </c>
      <c r="CT31" s="49">
        <v>1898.71728777303</v>
      </c>
      <c r="CU31" s="49">
        <v>1951.0646467465799</v>
      </c>
      <c r="CV31" s="49">
        <v>2005.4698778532299</v>
      </c>
      <c r="CW31" s="49">
        <v>2062.03139794872</v>
      </c>
      <c r="CX31" s="49">
        <v>2120.852866707</v>
      </c>
      <c r="CY31" s="49">
        <v>2182.0434866330402</v>
      </c>
      <c r="CZ31" s="49">
        <v>2408.5001477999999</v>
      </c>
      <c r="DA31" s="49">
        <v>2440.4414272264298</v>
      </c>
      <c r="DB31" s="49">
        <v>2473.2397466995299</v>
      </c>
      <c r="DC31" s="49">
        <v>2506.9196070763601</v>
      </c>
      <c r="DD31" s="49">
        <v>2541.5062841698</v>
      </c>
      <c r="DE31" s="49">
        <v>2577.02585497875</v>
      </c>
      <c r="DF31" s="49">
        <v>2613.5052248544898</v>
      </c>
      <c r="DG31" s="49">
        <v>2650.9721556377499</v>
      </c>
      <c r="DH31" s="49">
        <v>2689.45529480295</v>
      </c>
      <c r="DI31" s="49">
        <v>2728.9842056467501</v>
      </c>
      <c r="DJ31" s="49">
        <v>2769.5893985602102</v>
      </c>
      <c r="DK31" s="49">
        <v>2811.3023634247002</v>
      </c>
      <c r="DL31" s="49">
        <v>2854.15560317375</v>
      </c>
      <c r="DM31" s="49">
        <v>2898.1826685644301</v>
      </c>
      <c r="DN31" s="49">
        <v>2943.4181942034802</v>
      </c>
      <c r="DO31" s="49">
        <v>2989.8979358753299</v>
      </c>
      <c r="DP31" s="49">
        <v>3037.6588092207999</v>
      </c>
      <c r="DQ31" s="49">
        <v>3086.7389298172902</v>
      </c>
      <c r="DR31" s="49">
        <v>3137.1776547131399</v>
      </c>
      <c r="DS31" s="49">
        <v>3189.0156254709</v>
      </c>
    </row>
    <row r="34" spans="1:1" ht="18.600000000000001">
      <c r="A34" s="29" t="s">
        <v>137</v>
      </c>
    </row>
    <row r="52" spans="1:1" ht="18.600000000000001">
      <c r="A52" s="29" t="s">
        <v>138</v>
      </c>
    </row>
    <row r="69" spans="1:1" ht="18.600000000000001">
      <c r="A69" s="29" t="s">
        <v>139</v>
      </c>
    </row>
    <row r="85" spans="1:1" ht="18.600000000000001">
      <c r="A85" s="29" t="s">
        <v>140</v>
      </c>
    </row>
    <row r="102" spans="1:1" ht="18.600000000000001">
      <c r="A102" s="29" t="s">
        <v>141</v>
      </c>
    </row>
    <row r="119" spans="1:1" ht="18.600000000000001">
      <c r="A119" s="29" t="s">
        <v>142</v>
      </c>
    </row>
    <row r="137" spans="1:1" ht="18.600000000000001">
      <c r="A137" s="29" t="s">
        <v>143</v>
      </c>
    </row>
    <row r="154" spans="1:1" ht="18.600000000000001">
      <c r="A154" s="29" t="s">
        <v>144</v>
      </c>
    </row>
  </sheetData>
  <protectedRanges>
    <protectedRange algorithmName="SHA-512" hashValue="tJ07WnsgJyyGiJEBfxwI7d1pcgV+ZuMfIB9UYhTCZc0ENq8/viNCEdFfWwx30SyaeoBHdFg2pbga5+S7D3rYKA==" saltValue="BT7WbpsH4vhuWkptaEq9pA==" spinCount="100000" sqref="D5 X3:X4 AR3:AR4 BL3:BL4 CF3:CF4 CZ3:CZ4 D3:E3 D22:D23 X22:X23 AR22:AR23 BL22:BL23 CF22:CF23 CZ22:CZ23 B22:C24 B25:B31 B3:C8 B9:B20" name="Range1_1"/>
    <protectedRange algorithmName="SHA-512" hashValue="NmN9tiW5US+EDfCjnYkTgZBDD7I1s5NUh1F96KNwVdhFLIwl6AFq00z57smkVzYrUFltG9JznLfkAswzc7EPVw==" saltValue="7mOsyDnSZAAmoYChL3kvfQ==" spinCount="100000" sqref="C9:C10 C25" name="Range1_1_1"/>
    <protectedRange algorithmName="SHA-512" hashValue="qWEaPBMhAZIjvUsZEEFaqPbxbK/7dHzr++XHjlYsvCqqmfKvVM+CxRCEK/G9LuhjNYs5N2l4td1WuNiistWgQg==" saltValue="OOG5WURMhGg0Luxnq6CFBQ==" spinCount="100000" sqref="C31 C13:C15" name="Range1_2"/>
    <protectedRange algorithmName="SHA-512" hashValue="+rM9cOhDQIUCA/0wgEmkMyg8kgdMqBjfDdw0T4oS8aqmolN9KCspcf4dwzTDLTJDMnI231gcGZQy+R9dkeIZ3w==" saltValue="g9/SIj7GlndbIcIoQJPbyA==" spinCount="100000" sqref="C16:C20" name="Range1_3"/>
    <protectedRange algorithmName="SHA-512" hashValue="NmN9tiW5US+EDfCjnYkTgZBDD7I1s5NUh1F96KNwVdhFLIwl6AFq00z57smkVzYrUFltG9JznLfkAswzc7EPVw==" saltValue="7mOsyDnSZAAmoYChL3kvfQ==" spinCount="100000" sqref="AR24:BK24 C11 CF11:XFD11" name="Range1_1_2"/>
  </protectedRanges>
  <mergeCells count="18">
    <mergeCell ref="C3:C4"/>
    <mergeCell ref="B3:B4"/>
    <mergeCell ref="A3:A4"/>
    <mergeCell ref="A22:A23"/>
    <mergeCell ref="B22:B23"/>
    <mergeCell ref="C22:C23"/>
    <mergeCell ref="CZ22:DS22"/>
    <mergeCell ref="D3:D4"/>
    <mergeCell ref="E3:E4"/>
    <mergeCell ref="F3:F4"/>
    <mergeCell ref="G3:G4"/>
    <mergeCell ref="H3:H4"/>
    <mergeCell ref="I3:I4"/>
    <mergeCell ref="D22:W22"/>
    <mergeCell ref="X22:AQ22"/>
    <mergeCell ref="AR22:BK22"/>
    <mergeCell ref="BL22:CE22"/>
    <mergeCell ref="CF22:CY22"/>
  </mergeCells>
  <phoneticPr fontId="12" type="noConversion"/>
  <hyperlinks>
    <hyperlink ref="A2" r:id="rId1" display="../../../../../../:x:/r/sites/CGIARTransitionandInception-Generaldocsandinfo/Shared Documents/Inception Phase templates/Prioritisation template and resources/Projected Benefits Data (Nov 2024) - With Analysis.xlsx?d=w7936eb4a6e9c499ca7a8759f3077695a&amp;csf=1&amp;web=1&amp;e=OJdygz" xr:uid="{0B5A1B6B-F34D-47D8-B4E0-C4E7B12E83C2}"/>
    <hyperlink ref="A1" r:id="rId2" display="../../../../../../:x:/s/CGIARTransitionandInception-Generaldocsandinfo/ES0wPZ9b6VFBpOBI6M1voBwBTuh_RNQ1Iu8iQhUceODEjA?e=SmqxFU" xr:uid="{A42AA460-F778-46A6-AC0B-AF807EBC1245}"/>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2E4A-83D1-4AAD-B2BB-E2160EF2F3EB}">
  <dimension ref="A1:P76"/>
  <sheetViews>
    <sheetView workbookViewId="0">
      <pane ySplit="10" topLeftCell="C17" activePane="bottomLeft" state="frozen"/>
      <selection pane="bottomLeft" activeCell="C11" sqref="C11:C25"/>
      <selection activeCell="A11" sqref="A11"/>
    </sheetView>
  </sheetViews>
  <sheetFormatPr defaultColWidth="8.85546875" defaultRowHeight="14.45"/>
  <cols>
    <col min="1" max="1" width="10" style="18" bestFit="1" customWidth="1"/>
    <col min="2" max="2" width="8.85546875" style="18"/>
    <col min="3" max="3" width="79.28515625" style="18" customWidth="1"/>
    <col min="4" max="4" width="13.28515625" style="20" customWidth="1"/>
    <col min="5" max="9" width="8.85546875" style="20"/>
    <col min="10" max="10" width="6.5703125" style="18" customWidth="1"/>
    <col min="11" max="11" width="23.42578125" style="18" customWidth="1"/>
    <col min="12" max="12" width="27.85546875" style="18" customWidth="1"/>
    <col min="13" max="13" width="37" style="18" customWidth="1"/>
    <col min="14" max="14" width="23.42578125" style="18" customWidth="1"/>
    <col min="15" max="15" width="24.7109375" style="18" customWidth="1"/>
    <col min="16" max="16" width="28.85546875" style="18" customWidth="1"/>
    <col min="17" max="16384" width="8.85546875" style="18"/>
  </cols>
  <sheetData>
    <row r="1" spans="1:16" s="15" customFormat="1" ht="15" thickBot="1">
      <c r="C1" s="16" t="s">
        <v>145</v>
      </c>
    </row>
    <row r="2" spans="1:16" customFormat="1" ht="15" thickBot="1">
      <c r="A2" s="9" t="s">
        <v>45</v>
      </c>
      <c r="B2" s="2">
        <v>5</v>
      </c>
      <c r="D2" s="6" t="s">
        <v>5</v>
      </c>
      <c r="E2" s="7" t="s">
        <v>6</v>
      </c>
      <c r="F2" s="7" t="s">
        <v>7</v>
      </c>
      <c r="G2" s="7" t="s">
        <v>8</v>
      </c>
      <c r="H2" s="7" t="s">
        <v>9</v>
      </c>
      <c r="I2" s="8" t="s">
        <v>10</v>
      </c>
    </row>
    <row r="3" spans="1:16" customFormat="1">
      <c r="A3" s="10" t="s">
        <v>46</v>
      </c>
      <c r="B3" s="3">
        <v>4</v>
      </c>
      <c r="C3" t="s">
        <v>146</v>
      </c>
      <c r="D3">
        <f t="shared" ref="D3:I3" si="0">SUM(D11:D49)</f>
        <v>34</v>
      </c>
      <c r="E3">
        <f t="shared" si="0"/>
        <v>34</v>
      </c>
      <c r="F3">
        <f t="shared" si="0"/>
        <v>41</v>
      </c>
      <c r="G3">
        <f t="shared" si="0"/>
        <v>41</v>
      </c>
      <c r="H3">
        <f t="shared" si="0"/>
        <v>48</v>
      </c>
      <c r="I3">
        <f t="shared" si="0"/>
        <v>34</v>
      </c>
    </row>
    <row r="4" spans="1:16" customFormat="1">
      <c r="A4" s="11" t="s">
        <v>47</v>
      </c>
      <c r="B4" s="3">
        <v>3</v>
      </c>
      <c r="C4" t="s">
        <v>147</v>
      </c>
      <c r="D4">
        <f t="shared" ref="D4:I4" si="1">COUNTIF(D$11:D$49, 5)</f>
        <v>0</v>
      </c>
      <c r="E4">
        <f t="shared" si="1"/>
        <v>0</v>
      </c>
      <c r="F4">
        <f t="shared" si="1"/>
        <v>0</v>
      </c>
      <c r="G4">
        <f t="shared" si="1"/>
        <v>0</v>
      </c>
      <c r="H4">
        <f t="shared" si="1"/>
        <v>3</v>
      </c>
      <c r="I4">
        <f t="shared" si="1"/>
        <v>0</v>
      </c>
    </row>
    <row r="5" spans="1:16" customFormat="1">
      <c r="A5" s="12" t="s">
        <v>48</v>
      </c>
      <c r="B5" s="3">
        <v>2</v>
      </c>
      <c r="C5" t="s">
        <v>148</v>
      </c>
      <c r="D5">
        <f t="shared" ref="D5:I5" si="2">COUNTIF(D$11:D$49, 4)</f>
        <v>3</v>
      </c>
      <c r="E5">
        <f t="shared" si="2"/>
        <v>3</v>
      </c>
      <c r="F5">
        <f t="shared" si="2"/>
        <v>3</v>
      </c>
      <c r="G5">
        <f t="shared" si="2"/>
        <v>3</v>
      </c>
      <c r="H5">
        <f t="shared" si="2"/>
        <v>3</v>
      </c>
      <c r="I5">
        <f t="shared" si="2"/>
        <v>3</v>
      </c>
    </row>
    <row r="6" spans="1:16" customFormat="1" ht="15" thickBot="1">
      <c r="A6" s="13" t="s">
        <v>49</v>
      </c>
      <c r="B6" s="4">
        <v>1</v>
      </c>
      <c r="C6" t="s">
        <v>149</v>
      </c>
      <c r="D6">
        <f t="shared" ref="D6:I6" si="3">COUNTIF(D$11:D$49, 3)</f>
        <v>3</v>
      </c>
      <c r="E6">
        <f t="shared" si="3"/>
        <v>3</v>
      </c>
      <c r="F6">
        <f t="shared" si="3"/>
        <v>6</v>
      </c>
      <c r="G6">
        <f t="shared" si="3"/>
        <v>6</v>
      </c>
      <c r="H6">
        <f t="shared" si="3"/>
        <v>4</v>
      </c>
      <c r="I6">
        <f t="shared" si="3"/>
        <v>3</v>
      </c>
    </row>
    <row r="7" spans="1:16" customFormat="1">
      <c r="C7" t="s">
        <v>150</v>
      </c>
      <c r="D7">
        <f t="shared" ref="D7:I7" si="4">COUNTIF(D$11:D$49, 2)</f>
        <v>4</v>
      </c>
      <c r="E7">
        <f t="shared" si="4"/>
        <v>4</v>
      </c>
      <c r="F7">
        <f t="shared" si="4"/>
        <v>5</v>
      </c>
      <c r="G7">
        <f t="shared" si="4"/>
        <v>5</v>
      </c>
      <c r="H7">
        <f t="shared" si="4"/>
        <v>4</v>
      </c>
      <c r="I7">
        <f t="shared" si="4"/>
        <v>4</v>
      </c>
    </row>
    <row r="8" spans="1:16" customFormat="1">
      <c r="C8" t="s">
        <v>151</v>
      </c>
      <c r="D8">
        <f>COUNTIF(D$11:D$49, 1)</f>
        <v>5</v>
      </c>
      <c r="E8">
        <f t="shared" ref="E8:I8" si="5">COUNTIF(E$11:E$49, 1)</f>
        <v>5</v>
      </c>
      <c r="F8">
        <f t="shared" si="5"/>
        <v>1</v>
      </c>
      <c r="G8">
        <f t="shared" si="5"/>
        <v>1</v>
      </c>
      <c r="H8">
        <f t="shared" si="5"/>
        <v>1</v>
      </c>
      <c r="I8">
        <f t="shared" si="5"/>
        <v>5</v>
      </c>
      <c r="K8" s="139" t="s">
        <v>152</v>
      </c>
      <c r="L8" s="139" t="s">
        <v>153</v>
      </c>
      <c r="M8" s="139" t="s">
        <v>154</v>
      </c>
      <c r="N8" s="139" t="s">
        <v>155</v>
      </c>
      <c r="O8" s="139" t="s">
        <v>156</v>
      </c>
      <c r="P8" s="139" t="s">
        <v>157</v>
      </c>
    </row>
    <row r="9" spans="1:16" customFormat="1">
      <c r="K9" s="139"/>
      <c r="L9" s="139"/>
      <c r="M9" s="139"/>
      <c r="N9" s="139"/>
      <c r="O9" s="139"/>
      <c r="P9" s="139"/>
    </row>
    <row r="10" spans="1:16">
      <c r="C10" s="92" t="s">
        <v>158</v>
      </c>
      <c r="D10" s="93" t="s">
        <v>5</v>
      </c>
      <c r="E10" s="93" t="s">
        <v>6</v>
      </c>
      <c r="F10" s="93" t="s">
        <v>7</v>
      </c>
      <c r="G10" s="93" t="s">
        <v>8</v>
      </c>
      <c r="H10" s="93" t="s">
        <v>9</v>
      </c>
      <c r="I10" s="93" t="s">
        <v>10</v>
      </c>
      <c r="K10" s="139"/>
      <c r="L10" s="139"/>
      <c r="M10" s="139"/>
      <c r="N10" s="139"/>
      <c r="O10" s="139"/>
      <c r="P10" s="139"/>
    </row>
    <row r="11" spans="1:16" ht="147">
      <c r="A11" s="55" t="s">
        <v>53</v>
      </c>
      <c r="B11" s="86">
        <f>COUNTA(C11:C49)</f>
        <v>15</v>
      </c>
      <c r="C11" s="87" t="str">
        <f>HLOs!D8</f>
        <v xml:space="preserve">HLO 1.1.1: Demand signaling </v>
      </c>
      <c r="D11" s="88">
        <v>4</v>
      </c>
      <c r="E11" s="88">
        <v>4</v>
      </c>
      <c r="F11" s="88">
        <v>4</v>
      </c>
      <c r="G11" s="88">
        <v>4</v>
      </c>
      <c r="H11" s="88">
        <v>5</v>
      </c>
      <c r="I11" s="88">
        <v>4</v>
      </c>
      <c r="K11" s="84" t="s">
        <v>159</v>
      </c>
      <c r="L11" s="84" t="s">
        <v>160</v>
      </c>
      <c r="M11" s="84" t="s">
        <v>161</v>
      </c>
      <c r="N11" s="84" t="s">
        <v>162</v>
      </c>
      <c r="O11" s="84" t="s">
        <v>163</v>
      </c>
      <c r="P11" s="85" t="s">
        <v>164</v>
      </c>
    </row>
    <row r="12" spans="1:16" ht="178.5">
      <c r="A12" s="55" t="s">
        <v>56</v>
      </c>
      <c r="B12" s="89">
        <f>_xlfn.FLOOR.MATH(B11/5)</f>
        <v>3</v>
      </c>
      <c r="C12" s="87" t="str">
        <f>HLOs!D9</f>
        <v>HLO 1.1.2: Feedback and adaptive research and scaling prioritization</v>
      </c>
      <c r="D12" s="88">
        <v>3</v>
      </c>
      <c r="E12" s="88">
        <v>3</v>
      </c>
      <c r="F12" s="88">
        <v>3</v>
      </c>
      <c r="G12" s="88">
        <v>3</v>
      </c>
      <c r="H12" s="88">
        <v>4</v>
      </c>
      <c r="I12" s="88">
        <v>3</v>
      </c>
      <c r="K12" s="84" t="s">
        <v>165</v>
      </c>
      <c r="L12" s="84" t="s">
        <v>166</v>
      </c>
      <c r="M12" s="84" t="s">
        <v>167</v>
      </c>
      <c r="N12" s="84" t="s">
        <v>168</v>
      </c>
      <c r="O12" s="84" t="s">
        <v>169</v>
      </c>
      <c r="P12" s="85" t="s">
        <v>170</v>
      </c>
    </row>
    <row r="13" spans="1:16" ht="168">
      <c r="A13" s="55" t="s">
        <v>59</v>
      </c>
      <c r="B13" s="89">
        <f>MOD(B11,5)</f>
        <v>0</v>
      </c>
      <c r="C13" s="87" t="str">
        <f>HLOs!D10</f>
        <v>HLO 1.1.3: Enhance strategies and coordination</v>
      </c>
      <c r="D13" s="88">
        <v>2</v>
      </c>
      <c r="E13" s="88">
        <v>2</v>
      </c>
      <c r="F13" s="88">
        <v>3</v>
      </c>
      <c r="G13" s="88">
        <v>3</v>
      </c>
      <c r="H13" s="88">
        <v>3</v>
      </c>
      <c r="I13" s="88">
        <v>2</v>
      </c>
      <c r="K13" s="84" t="s">
        <v>171</v>
      </c>
      <c r="L13" s="84" t="s">
        <v>172</v>
      </c>
      <c r="M13" s="84" t="s">
        <v>173</v>
      </c>
      <c r="N13" s="84" t="s">
        <v>174</v>
      </c>
      <c r="O13" s="84" t="s">
        <v>175</v>
      </c>
      <c r="P13" s="85" t="s">
        <v>176</v>
      </c>
    </row>
    <row r="14" spans="1:16" ht="157.5">
      <c r="A14" s="55" t="s">
        <v>62</v>
      </c>
      <c r="B14" s="86">
        <f ca="1">(B12*SUM($B$2:$B$6))+IF(B11=0,0,SUM($B$2:INDEX(B:B,$B$13+1)))</f>
        <v>50</v>
      </c>
      <c r="C14" s="87" t="str">
        <f>HLOs!D11</f>
        <v xml:space="preserve">HLO 2.2.1: Innovation networks enhance agrifood system solution scaling </v>
      </c>
      <c r="D14" s="88">
        <v>1</v>
      </c>
      <c r="E14" s="88">
        <v>1</v>
      </c>
      <c r="F14" s="88">
        <v>1</v>
      </c>
      <c r="G14" s="88">
        <v>1</v>
      </c>
      <c r="H14" s="88">
        <v>1</v>
      </c>
      <c r="I14" s="88">
        <v>1</v>
      </c>
      <c r="K14" s="84" t="s">
        <v>177</v>
      </c>
      <c r="L14" s="84" t="s">
        <v>178</v>
      </c>
      <c r="M14" s="84" t="s">
        <v>179</v>
      </c>
      <c r="N14" s="84" t="s">
        <v>180</v>
      </c>
      <c r="O14" s="84" t="s">
        <v>181</v>
      </c>
      <c r="P14" s="85" t="s">
        <v>182</v>
      </c>
    </row>
    <row r="15" spans="1:16" ht="157.5">
      <c r="A15" s="90"/>
      <c r="B15" s="90"/>
      <c r="C15" s="87" t="str">
        <f>HLOs!D12</f>
        <v xml:space="preserve">HLO 2.2.2: Methods evaluating agrifood system solutions for scale </v>
      </c>
      <c r="D15" s="88">
        <v>1</v>
      </c>
      <c r="E15" s="88">
        <v>1</v>
      </c>
      <c r="F15" s="88">
        <v>2</v>
      </c>
      <c r="G15" s="88">
        <v>2</v>
      </c>
      <c r="H15" s="88">
        <v>2</v>
      </c>
      <c r="I15" s="88">
        <v>1</v>
      </c>
      <c r="K15" s="84" t="s">
        <v>183</v>
      </c>
      <c r="L15" s="84" t="s">
        <v>184</v>
      </c>
      <c r="M15" s="84" t="s">
        <v>185</v>
      </c>
      <c r="N15" s="84" t="s">
        <v>186</v>
      </c>
      <c r="O15" s="84" t="s">
        <v>187</v>
      </c>
      <c r="P15" s="84" t="s">
        <v>188</v>
      </c>
    </row>
    <row r="16" spans="1:16" ht="157.5">
      <c r="A16" s="90"/>
      <c r="B16" s="90"/>
      <c r="C16" s="87" t="str">
        <f>HLOs!D13</f>
        <v xml:space="preserve">HLO 2.2.3: Scale-ready agrifood system solution bundles and packages </v>
      </c>
      <c r="D16" s="88">
        <v>3</v>
      </c>
      <c r="E16" s="88">
        <v>3</v>
      </c>
      <c r="F16" s="88">
        <v>3</v>
      </c>
      <c r="G16" s="88">
        <v>3</v>
      </c>
      <c r="H16" s="88">
        <v>4</v>
      </c>
      <c r="I16" s="88">
        <v>3</v>
      </c>
      <c r="K16" s="84" t="s">
        <v>189</v>
      </c>
      <c r="L16" s="84" t="s">
        <v>190</v>
      </c>
      <c r="M16" s="84" t="s">
        <v>191</v>
      </c>
      <c r="N16" s="84" t="s">
        <v>192</v>
      </c>
      <c r="O16" s="84" t="s">
        <v>193</v>
      </c>
      <c r="P16" s="84" t="s">
        <v>194</v>
      </c>
    </row>
    <row r="17" spans="1:16" ht="147">
      <c r="A17" s="90"/>
      <c r="B17" s="90"/>
      <c r="C17" s="87" t="str">
        <f>HLOs!D14</f>
        <v xml:space="preserve">HLO 2.2.4: Agrifood system solution scaling strategies </v>
      </c>
      <c r="D17" s="88">
        <v>4</v>
      </c>
      <c r="E17" s="88">
        <v>4</v>
      </c>
      <c r="F17" s="88">
        <v>4</v>
      </c>
      <c r="G17" s="88">
        <v>4</v>
      </c>
      <c r="H17" s="88">
        <v>5</v>
      </c>
      <c r="I17" s="88">
        <v>4</v>
      </c>
      <c r="K17" s="84" t="s">
        <v>195</v>
      </c>
      <c r="L17" s="84" t="s">
        <v>196</v>
      </c>
      <c r="M17" s="84" t="s">
        <v>197</v>
      </c>
      <c r="N17" s="84" t="s">
        <v>198</v>
      </c>
      <c r="O17" s="84" t="s">
        <v>199</v>
      </c>
      <c r="P17" s="84" t="s">
        <v>200</v>
      </c>
    </row>
    <row r="18" spans="1:16" ht="136.5">
      <c r="A18" s="90"/>
      <c r="B18" s="90"/>
      <c r="C18" s="87" t="str">
        <f>HLOs!D15</f>
        <v xml:space="preserve">HLO 3.3.1: Enabling environment diagnostics </v>
      </c>
      <c r="D18" s="88">
        <v>2</v>
      </c>
      <c r="E18" s="88">
        <v>2</v>
      </c>
      <c r="F18" s="88">
        <v>3</v>
      </c>
      <c r="G18" s="88">
        <v>3</v>
      </c>
      <c r="H18" s="88">
        <v>3</v>
      </c>
      <c r="I18" s="88">
        <v>2</v>
      </c>
      <c r="K18" s="84" t="s">
        <v>201</v>
      </c>
      <c r="L18" s="84" t="s">
        <v>202</v>
      </c>
      <c r="M18" s="84" t="s">
        <v>203</v>
      </c>
      <c r="N18" s="84" t="s">
        <v>204</v>
      </c>
      <c r="O18" s="84" t="s">
        <v>205</v>
      </c>
      <c r="P18" s="84" t="s">
        <v>206</v>
      </c>
    </row>
    <row r="19" spans="1:16" ht="147">
      <c r="A19" s="90"/>
      <c r="B19" s="90"/>
      <c r="C19" s="87" t="str">
        <f>HLOs!D16</f>
        <v xml:space="preserve">HLO 3.3.2: Scaling support services for enabling 
environments and institutions </v>
      </c>
      <c r="D19" s="88">
        <v>3</v>
      </c>
      <c r="E19" s="88">
        <v>3</v>
      </c>
      <c r="F19" s="88">
        <v>3</v>
      </c>
      <c r="G19" s="88">
        <v>3</v>
      </c>
      <c r="H19" s="88">
        <v>4</v>
      </c>
      <c r="I19" s="88">
        <v>3</v>
      </c>
      <c r="K19" s="84" t="s">
        <v>207</v>
      </c>
      <c r="L19" s="84" t="s">
        <v>208</v>
      </c>
      <c r="M19" s="84" t="s">
        <v>209</v>
      </c>
      <c r="N19" s="84" t="s">
        <v>210</v>
      </c>
      <c r="O19" s="84" t="s">
        <v>211</v>
      </c>
      <c r="P19" s="84" t="s">
        <v>212</v>
      </c>
    </row>
    <row r="20" spans="1:16" ht="147">
      <c r="A20" s="90"/>
      <c r="B20" s="90"/>
      <c r="C20" s="87" t="str">
        <f>HLOs!D17</f>
        <v xml:space="preserve">HLO 3.3.3: Science-policy partnership interfaces for responsible scaling </v>
      </c>
      <c r="D20" s="88">
        <v>1</v>
      </c>
      <c r="E20" s="88">
        <v>1</v>
      </c>
      <c r="F20" s="88">
        <v>2</v>
      </c>
      <c r="G20" s="88">
        <v>2</v>
      </c>
      <c r="H20" s="88">
        <v>2</v>
      </c>
      <c r="I20" s="88">
        <v>1</v>
      </c>
      <c r="K20" s="84" t="s">
        <v>213</v>
      </c>
      <c r="L20" s="84" t="s">
        <v>214</v>
      </c>
      <c r="M20" s="84" t="s">
        <v>215</v>
      </c>
      <c r="N20" s="84" t="s">
        <v>216</v>
      </c>
      <c r="O20" s="84" t="s">
        <v>217</v>
      </c>
      <c r="P20" s="84" t="s">
        <v>218</v>
      </c>
    </row>
    <row r="21" spans="1:16" ht="37.5" customHeight="1">
      <c r="A21" s="90"/>
      <c r="B21" s="90"/>
      <c r="C21" s="87" t="str">
        <f>HLOs!D18</f>
        <v>HLO 4.4.1: CGIAR Expertise and Solutions Embedded in Development Investments and Partnerships</v>
      </c>
      <c r="D21" s="88">
        <v>4</v>
      </c>
      <c r="E21" s="88">
        <v>4</v>
      </c>
      <c r="F21" s="88">
        <v>4</v>
      </c>
      <c r="G21" s="88">
        <v>4</v>
      </c>
      <c r="H21" s="88">
        <v>5</v>
      </c>
      <c r="I21" s="88">
        <v>4</v>
      </c>
      <c r="K21" s="84" t="s">
        <v>219</v>
      </c>
      <c r="L21" s="84" t="s">
        <v>220</v>
      </c>
      <c r="M21" s="84" t="s">
        <v>221</v>
      </c>
      <c r="N21" s="84" t="s">
        <v>222</v>
      </c>
      <c r="O21" s="84" t="s">
        <v>223</v>
      </c>
      <c r="P21" s="84" t="s">
        <v>224</v>
      </c>
    </row>
    <row r="22" spans="1:16" ht="136.5">
      <c r="A22" s="90"/>
      <c r="B22" s="90"/>
      <c r="C22" s="87" t="str">
        <f>HLOs!D19</f>
        <v>HLO 4.4.2: Innovation portfolio management and scaling strategy support teams</v>
      </c>
      <c r="D22" s="88">
        <v>1</v>
      </c>
      <c r="E22" s="88">
        <v>1</v>
      </c>
      <c r="F22" s="88">
        <v>2</v>
      </c>
      <c r="G22" s="88">
        <v>2</v>
      </c>
      <c r="H22" s="88">
        <v>2</v>
      </c>
      <c r="I22" s="88">
        <v>1</v>
      </c>
      <c r="K22" s="84" t="s">
        <v>225</v>
      </c>
      <c r="L22" s="84" t="s">
        <v>226</v>
      </c>
      <c r="M22" s="84" t="s">
        <v>227</v>
      </c>
      <c r="N22" s="84" t="s">
        <v>228</v>
      </c>
      <c r="O22" s="84" t="s">
        <v>229</v>
      </c>
      <c r="P22" s="84" t="s">
        <v>230</v>
      </c>
    </row>
    <row r="23" spans="1:16" ht="157.5">
      <c r="A23" s="90"/>
      <c r="B23" s="90"/>
      <c r="C23" s="87" t="str">
        <f>HLOs!D20</f>
        <v xml:space="preserve">HLO 5.5.1: Enhancing scaling science for societal impact </v>
      </c>
      <c r="D23" s="88">
        <v>2</v>
      </c>
      <c r="E23" s="88">
        <v>2</v>
      </c>
      <c r="F23" s="88">
        <v>2</v>
      </c>
      <c r="G23" s="88">
        <v>2</v>
      </c>
      <c r="H23" s="88">
        <v>3</v>
      </c>
      <c r="I23" s="88">
        <v>2</v>
      </c>
      <c r="K23" s="84" t="s">
        <v>231</v>
      </c>
      <c r="L23" s="84" t="s">
        <v>232</v>
      </c>
      <c r="M23" s="84" t="s">
        <v>233</v>
      </c>
      <c r="N23" s="84" t="s">
        <v>234</v>
      </c>
      <c r="O23" s="84" t="s">
        <v>235</v>
      </c>
      <c r="P23" s="84" t="s">
        <v>236</v>
      </c>
    </row>
    <row r="24" spans="1:16" ht="136.5">
      <c r="A24" s="90"/>
      <c r="B24" s="90"/>
      <c r="C24" s="87" t="str">
        <f>HLOs!D21</f>
        <v>HLO 5.5.2: Insights for CGIAR scaling success through impact assessments</v>
      </c>
      <c r="D24" s="88">
        <v>2</v>
      </c>
      <c r="E24" s="88">
        <v>2</v>
      </c>
      <c r="F24" s="88">
        <v>3</v>
      </c>
      <c r="G24" s="88">
        <v>3</v>
      </c>
      <c r="H24" s="88">
        <v>3</v>
      </c>
      <c r="I24" s="88">
        <v>2</v>
      </c>
      <c r="K24" s="84" t="s">
        <v>237</v>
      </c>
      <c r="L24" s="84" t="s">
        <v>238</v>
      </c>
      <c r="M24" s="84" t="s">
        <v>239</v>
      </c>
      <c r="N24" s="84" t="s">
        <v>240</v>
      </c>
      <c r="O24" s="84" t="s">
        <v>241</v>
      </c>
      <c r="P24" s="84" t="s">
        <v>242</v>
      </c>
    </row>
    <row r="25" spans="1:16" ht="147">
      <c r="A25" s="90"/>
      <c r="B25" s="90"/>
      <c r="C25" s="87" t="str">
        <f>HLOs!D22</f>
        <v>HLO 5.5.3: Custom analytics for managing innovation portfolios and decision-making</v>
      </c>
      <c r="D25" s="88">
        <v>1</v>
      </c>
      <c r="E25" s="88">
        <v>1</v>
      </c>
      <c r="F25" s="88">
        <v>2</v>
      </c>
      <c r="G25" s="88">
        <v>2</v>
      </c>
      <c r="H25" s="88">
        <v>2</v>
      </c>
      <c r="I25" s="88">
        <v>1</v>
      </c>
      <c r="K25" s="84" t="s">
        <v>243</v>
      </c>
      <c r="L25" s="84" t="s">
        <v>244</v>
      </c>
      <c r="M25" s="84" t="s">
        <v>245</v>
      </c>
      <c r="N25" s="84" t="s">
        <v>246</v>
      </c>
      <c r="O25" s="84" t="s">
        <v>247</v>
      </c>
      <c r="P25" s="84" t="s">
        <v>248</v>
      </c>
    </row>
    <row r="26" spans="1:16">
      <c r="C26" s="22"/>
    </row>
    <row r="27" spans="1:16">
      <c r="C27" s="22"/>
    </row>
    <row r="28" spans="1:16">
      <c r="C28" s="22"/>
    </row>
    <row r="29" spans="1:16">
      <c r="C29" s="22"/>
    </row>
    <row r="30" spans="1:16">
      <c r="C30" s="22"/>
    </row>
    <row r="31" spans="1:16">
      <c r="C31" s="22"/>
    </row>
    <row r="32" spans="1:16">
      <c r="C32" s="22"/>
    </row>
    <row r="33" spans="3:3">
      <c r="C33" s="22"/>
    </row>
    <row r="34" spans="3:3">
      <c r="C34" s="22"/>
    </row>
    <row r="35" spans="3:3">
      <c r="C35" s="22"/>
    </row>
    <row r="36" spans="3:3">
      <c r="C36" s="22"/>
    </row>
    <row r="37" spans="3:3">
      <c r="C37" s="22"/>
    </row>
    <row r="38" spans="3:3">
      <c r="C38" s="22"/>
    </row>
    <row r="39" spans="3:3">
      <c r="C39" s="22"/>
    </row>
    <row r="40" spans="3:3">
      <c r="C40" s="22"/>
    </row>
    <row r="41" spans="3:3">
      <c r="C41" s="22"/>
    </row>
    <row r="42" spans="3:3">
      <c r="C42" s="22"/>
    </row>
    <row r="43" spans="3:3">
      <c r="C43" s="22"/>
    </row>
    <row r="44" spans="3:3">
      <c r="C44" s="22"/>
    </row>
    <row r="45" spans="3:3">
      <c r="C45" s="22"/>
    </row>
    <row r="46" spans="3:3">
      <c r="C46" s="22"/>
    </row>
    <row r="47" spans="3:3">
      <c r="C47" s="22"/>
    </row>
    <row r="48" spans="3:3">
      <c r="C48" s="22"/>
    </row>
    <row r="49" spans="3:3">
      <c r="C49" s="22"/>
    </row>
    <row r="50" spans="3:3">
      <c r="C50" s="22"/>
    </row>
    <row r="51" spans="3:3">
      <c r="C51" s="22"/>
    </row>
    <row r="52" spans="3:3">
      <c r="C52" s="22"/>
    </row>
    <row r="53" spans="3:3">
      <c r="C53" s="22"/>
    </row>
    <row r="54" spans="3:3">
      <c r="C54" s="22"/>
    </row>
    <row r="55" spans="3:3">
      <c r="C55" s="22"/>
    </row>
    <row r="56" spans="3:3">
      <c r="C56" s="22"/>
    </row>
    <row r="57" spans="3:3">
      <c r="C57" s="22"/>
    </row>
    <row r="58" spans="3:3">
      <c r="C58" s="22"/>
    </row>
    <row r="59" spans="3:3">
      <c r="C59" s="22"/>
    </row>
    <row r="60" spans="3:3">
      <c r="C60" s="22"/>
    </row>
    <row r="61" spans="3:3">
      <c r="C61" s="22"/>
    </row>
    <row r="62" spans="3:3">
      <c r="C62" s="22"/>
    </row>
    <row r="63" spans="3:3">
      <c r="C63" s="22"/>
    </row>
    <row r="64" spans="3:3">
      <c r="C64" s="22"/>
    </row>
    <row r="65" spans="3:3">
      <c r="C65" s="22"/>
    </row>
    <row r="66" spans="3:3">
      <c r="C66" s="22"/>
    </row>
    <row r="67" spans="3:3">
      <c r="C67" s="22"/>
    </row>
    <row r="68" spans="3:3">
      <c r="C68" s="22"/>
    </row>
    <row r="69" spans="3:3">
      <c r="C69" s="22"/>
    </row>
    <row r="70" spans="3:3">
      <c r="C70" s="22"/>
    </row>
    <row r="71" spans="3:3">
      <c r="C71" s="22"/>
    </row>
    <row r="72" spans="3:3">
      <c r="C72" s="22"/>
    </row>
    <row r="73" spans="3:3">
      <c r="C73" s="22"/>
    </row>
    <row r="74" spans="3:3">
      <c r="C74" s="22"/>
    </row>
    <row r="75" spans="3:3">
      <c r="C75" s="22"/>
    </row>
    <row r="76" spans="3:3">
      <c r="C76" s="22"/>
    </row>
  </sheetData>
  <mergeCells count="6">
    <mergeCell ref="P8:P10"/>
    <mergeCell ref="N8:N10"/>
    <mergeCell ref="M8:M10"/>
    <mergeCell ref="O8:O10"/>
    <mergeCell ref="K8:K10"/>
    <mergeCell ref="L8:L10"/>
  </mergeCells>
  <conditionalFormatting sqref="D3:I3">
    <cfRule type="cellIs" dxfId="4" priority="4" operator="greaterThan">
      <formula>$B$14</formula>
    </cfRule>
  </conditionalFormatting>
  <conditionalFormatting sqref="D11:I25">
    <cfRule type="colorScale" priority="15">
      <colorScale>
        <cfvo type="min"/>
        <cfvo type="percentile" val="50"/>
        <cfvo type="max"/>
        <color rgb="FFF8696B"/>
        <color rgb="FFFFEB84"/>
        <color rgb="FF63BE7B"/>
      </colorScale>
    </cfRule>
  </conditionalFormatting>
  <dataValidations count="1">
    <dataValidation type="whole" allowBlank="1" showInputMessage="1" showErrorMessage="1" sqref="D11:I25" xr:uid="{AAE441F7-AF4E-4A2E-BE1F-21639CFE1F36}">
      <formula1>1</formula1>
      <formula2>5</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0485-44AA-477A-900A-3D50FD282793}">
  <dimension ref="A1:P25"/>
  <sheetViews>
    <sheetView workbookViewId="0">
      <pane ySplit="10" topLeftCell="C87" activePane="bottomLeft" state="frozen"/>
      <selection pane="bottomLeft" activeCell="C11" sqref="C11:C25"/>
    </sheetView>
  </sheetViews>
  <sheetFormatPr defaultColWidth="8.85546875" defaultRowHeight="14.45"/>
  <cols>
    <col min="1" max="1" width="10" bestFit="1" customWidth="1"/>
    <col min="3" max="3" width="78.85546875" customWidth="1"/>
    <col min="11" max="11" width="33.28515625" style="18" customWidth="1"/>
    <col min="12" max="12" width="28.7109375" style="18" customWidth="1"/>
    <col min="13" max="13" width="27.42578125" style="18" customWidth="1"/>
    <col min="14" max="14" width="25.7109375" style="18" customWidth="1"/>
    <col min="15" max="15" width="26.140625" style="18" customWidth="1"/>
    <col min="16" max="16" width="26.42578125" customWidth="1"/>
  </cols>
  <sheetData>
    <row r="1" spans="1:16" s="15" customFormat="1">
      <c r="C1" s="16" t="s">
        <v>249</v>
      </c>
    </row>
    <row r="2" spans="1:16">
      <c r="A2" s="9" t="s">
        <v>45</v>
      </c>
      <c r="B2" s="2">
        <v>5</v>
      </c>
      <c r="D2" s="95" t="s">
        <v>5</v>
      </c>
      <c r="E2" s="95" t="s">
        <v>6</v>
      </c>
      <c r="F2" s="95" t="s">
        <v>7</v>
      </c>
      <c r="G2" s="95" t="s">
        <v>8</v>
      </c>
      <c r="H2" s="95" t="s">
        <v>9</v>
      </c>
      <c r="I2" s="95" t="s">
        <v>10</v>
      </c>
      <c r="K2"/>
      <c r="L2"/>
      <c r="M2"/>
      <c r="N2"/>
      <c r="O2"/>
    </row>
    <row r="3" spans="1:16">
      <c r="A3" s="10" t="s">
        <v>46</v>
      </c>
      <c r="B3" s="3">
        <v>4</v>
      </c>
      <c r="C3" s="96" t="s">
        <v>250</v>
      </c>
      <c r="D3" s="55">
        <f t="shared" ref="D3:I3" si="0">SUM(D11:D48)</f>
        <v>34</v>
      </c>
      <c r="E3" s="55">
        <f t="shared" si="0"/>
        <v>34</v>
      </c>
      <c r="F3" s="55">
        <f t="shared" si="0"/>
        <v>38</v>
      </c>
      <c r="G3" s="55">
        <f t="shared" si="0"/>
        <v>41</v>
      </c>
      <c r="H3" s="55">
        <f t="shared" si="0"/>
        <v>45</v>
      </c>
      <c r="I3" s="55">
        <f t="shared" si="0"/>
        <v>34</v>
      </c>
      <c r="K3"/>
      <c r="L3"/>
      <c r="M3"/>
      <c r="N3"/>
      <c r="O3"/>
    </row>
    <row r="4" spans="1:16">
      <c r="A4" s="11" t="s">
        <v>47</v>
      </c>
      <c r="B4" s="3">
        <v>3</v>
      </c>
      <c r="C4" s="96" t="s">
        <v>147</v>
      </c>
      <c r="D4" s="55">
        <f t="shared" ref="D4:I4" si="1">COUNTIF(D$11:D$48, 5)</f>
        <v>0</v>
      </c>
      <c r="E4" s="55">
        <f t="shared" si="1"/>
        <v>0</v>
      </c>
      <c r="F4" s="55">
        <f t="shared" si="1"/>
        <v>0</v>
      </c>
      <c r="G4" s="55">
        <f t="shared" si="1"/>
        <v>0</v>
      </c>
      <c r="H4" s="55">
        <f t="shared" si="1"/>
        <v>0</v>
      </c>
      <c r="I4" s="55">
        <f t="shared" si="1"/>
        <v>0</v>
      </c>
      <c r="K4"/>
      <c r="L4"/>
      <c r="M4"/>
      <c r="N4"/>
      <c r="O4"/>
    </row>
    <row r="5" spans="1:16">
      <c r="A5" s="12" t="s">
        <v>48</v>
      </c>
      <c r="B5" s="3">
        <v>2</v>
      </c>
      <c r="C5" s="96" t="s">
        <v>148</v>
      </c>
      <c r="D5" s="55">
        <f t="shared" ref="D5:I5" si="2">COUNTIF(D$11:D$48, 4)</f>
        <v>3</v>
      </c>
      <c r="E5" s="55">
        <f t="shared" si="2"/>
        <v>3</v>
      </c>
      <c r="F5" s="55">
        <f t="shared" si="2"/>
        <v>3</v>
      </c>
      <c r="G5" s="55">
        <f t="shared" si="2"/>
        <v>3</v>
      </c>
      <c r="H5" s="55">
        <f t="shared" si="2"/>
        <v>6</v>
      </c>
      <c r="I5" s="55">
        <f t="shared" si="2"/>
        <v>3</v>
      </c>
      <c r="K5"/>
      <c r="L5"/>
      <c r="M5"/>
      <c r="N5"/>
      <c r="O5"/>
    </row>
    <row r="6" spans="1:16">
      <c r="A6" s="13" t="s">
        <v>49</v>
      </c>
      <c r="B6" s="4">
        <v>1</v>
      </c>
      <c r="C6" s="96" t="s">
        <v>149</v>
      </c>
      <c r="D6" s="55">
        <f t="shared" ref="D6:I6" si="3">COUNTIF(D$11:D$48, 3)</f>
        <v>3</v>
      </c>
      <c r="E6" s="55">
        <f t="shared" si="3"/>
        <v>3</v>
      </c>
      <c r="F6" s="55">
        <f t="shared" si="3"/>
        <v>3</v>
      </c>
      <c r="G6" s="55">
        <f t="shared" si="3"/>
        <v>6</v>
      </c>
      <c r="H6" s="55">
        <f t="shared" si="3"/>
        <v>4</v>
      </c>
      <c r="I6" s="55">
        <f t="shared" si="3"/>
        <v>3</v>
      </c>
      <c r="K6"/>
      <c r="L6"/>
      <c r="M6"/>
      <c r="N6"/>
      <c r="O6"/>
    </row>
    <row r="7" spans="1:16">
      <c r="C7" s="96" t="s">
        <v>150</v>
      </c>
      <c r="D7" s="55">
        <f t="shared" ref="D7:I7" si="4">COUNTIF(D$11:D$48, 2)</f>
        <v>4</v>
      </c>
      <c r="E7" s="55">
        <f t="shared" si="4"/>
        <v>4</v>
      </c>
      <c r="F7" s="55">
        <f t="shared" si="4"/>
        <v>8</v>
      </c>
      <c r="G7" s="55">
        <f t="shared" si="4"/>
        <v>5</v>
      </c>
      <c r="H7" s="55">
        <f t="shared" si="4"/>
        <v>4</v>
      </c>
      <c r="I7" s="55">
        <f t="shared" si="4"/>
        <v>4</v>
      </c>
      <c r="K7"/>
      <c r="L7"/>
      <c r="M7"/>
      <c r="N7"/>
      <c r="O7"/>
    </row>
    <row r="8" spans="1:16" ht="14.45" customHeight="1">
      <c r="C8" s="96" t="s">
        <v>151</v>
      </c>
      <c r="D8" s="55">
        <f>COUNTIF(D$11:D$48, 1)</f>
        <v>5</v>
      </c>
      <c r="E8" s="55">
        <f t="shared" ref="E8:I8" si="5">COUNTIF(E$11:E$48, 1)</f>
        <v>5</v>
      </c>
      <c r="F8" s="55">
        <f t="shared" si="5"/>
        <v>1</v>
      </c>
      <c r="G8" s="55">
        <f t="shared" si="5"/>
        <v>1</v>
      </c>
      <c r="H8" s="55">
        <f t="shared" si="5"/>
        <v>1</v>
      </c>
      <c r="I8" s="55">
        <f t="shared" si="5"/>
        <v>5</v>
      </c>
      <c r="K8" s="139" t="s">
        <v>152</v>
      </c>
      <c r="L8" s="139" t="s">
        <v>153</v>
      </c>
      <c r="M8" s="139" t="s">
        <v>154</v>
      </c>
      <c r="N8" s="139" t="s">
        <v>155</v>
      </c>
      <c r="O8" s="139" t="s">
        <v>156</v>
      </c>
      <c r="P8" s="139" t="s">
        <v>157</v>
      </c>
    </row>
    <row r="9" spans="1:16">
      <c r="K9" s="139"/>
      <c r="L9" s="139"/>
      <c r="M9" s="139"/>
      <c r="N9" s="139"/>
      <c r="O9" s="139"/>
      <c r="P9" s="139"/>
    </row>
    <row r="10" spans="1:16">
      <c r="C10" s="94" t="s">
        <v>158</v>
      </c>
      <c r="D10" s="95" t="s">
        <v>5</v>
      </c>
      <c r="E10" s="95" t="s">
        <v>6</v>
      </c>
      <c r="F10" s="95" t="s">
        <v>7</v>
      </c>
      <c r="G10" s="95" t="s">
        <v>8</v>
      </c>
      <c r="H10" s="95" t="s">
        <v>9</v>
      </c>
      <c r="I10" s="95" t="s">
        <v>10</v>
      </c>
      <c r="K10" s="139"/>
      <c r="L10" s="139"/>
      <c r="M10" s="139"/>
      <c r="N10" s="139"/>
      <c r="O10" s="139"/>
      <c r="P10" s="139"/>
    </row>
    <row r="11" spans="1:16" ht="109.5" customHeight="1">
      <c r="A11" t="s">
        <v>53</v>
      </c>
      <c r="B11" s="1">
        <f>COUNTA(C11:C48)</f>
        <v>15</v>
      </c>
      <c r="C11" s="87" t="str">
        <f>HLOs!D8</f>
        <v xml:space="preserve">HLO 1.1.1: Demand signaling </v>
      </c>
      <c r="D11" s="88">
        <v>4</v>
      </c>
      <c r="E11" s="88">
        <v>4</v>
      </c>
      <c r="F11" s="88">
        <v>4</v>
      </c>
      <c r="G11" s="88">
        <v>4</v>
      </c>
      <c r="H11" s="88">
        <v>4</v>
      </c>
      <c r="I11" s="88">
        <v>4</v>
      </c>
      <c r="K11" s="84" t="s">
        <v>251</v>
      </c>
      <c r="L11" s="84" t="s">
        <v>252</v>
      </c>
      <c r="M11" s="84" t="s">
        <v>253</v>
      </c>
      <c r="N11" s="84" t="s">
        <v>254</v>
      </c>
      <c r="O11" s="84" t="s">
        <v>255</v>
      </c>
      <c r="P11" s="84" t="s">
        <v>256</v>
      </c>
    </row>
    <row r="12" spans="1:16" ht="136.5">
      <c r="A12" t="s">
        <v>56</v>
      </c>
      <c r="B12">
        <f>_xlfn.FLOOR.MATH(B11/5)</f>
        <v>3</v>
      </c>
      <c r="C12" s="87" t="str">
        <f>HLOs!D9</f>
        <v>HLO 1.1.2: Feedback and adaptive research and scaling prioritization</v>
      </c>
      <c r="D12" s="88">
        <v>3</v>
      </c>
      <c r="E12" s="88">
        <v>3</v>
      </c>
      <c r="F12" s="88">
        <v>3</v>
      </c>
      <c r="G12" s="88">
        <v>3</v>
      </c>
      <c r="H12" s="88">
        <v>4</v>
      </c>
      <c r="I12" s="88">
        <v>3</v>
      </c>
      <c r="K12" s="84" t="s">
        <v>257</v>
      </c>
      <c r="L12" s="84" t="s">
        <v>258</v>
      </c>
      <c r="M12" s="84" t="s">
        <v>259</v>
      </c>
      <c r="N12" s="84" t="s">
        <v>260</v>
      </c>
      <c r="O12" s="84" t="s">
        <v>261</v>
      </c>
      <c r="P12" s="84" t="s">
        <v>262</v>
      </c>
    </row>
    <row r="13" spans="1:16" ht="147">
      <c r="A13" t="s">
        <v>59</v>
      </c>
      <c r="B13">
        <f>MOD(B11,5)</f>
        <v>0</v>
      </c>
      <c r="C13" s="87" t="str">
        <f>HLOs!D10</f>
        <v>HLO 1.1.3: Enhance strategies and coordination</v>
      </c>
      <c r="D13" s="88">
        <v>2</v>
      </c>
      <c r="E13" s="88">
        <v>2</v>
      </c>
      <c r="F13" s="88">
        <v>2</v>
      </c>
      <c r="G13" s="88">
        <v>3</v>
      </c>
      <c r="H13" s="88">
        <v>3</v>
      </c>
      <c r="I13" s="88">
        <v>2</v>
      </c>
      <c r="K13" s="84" t="s">
        <v>263</v>
      </c>
      <c r="L13" s="84" t="s">
        <v>264</v>
      </c>
      <c r="M13" s="84" t="s">
        <v>265</v>
      </c>
      <c r="N13" s="84" t="s">
        <v>266</v>
      </c>
      <c r="O13" s="84" t="s">
        <v>267</v>
      </c>
      <c r="P13" s="84" t="s">
        <v>268</v>
      </c>
    </row>
    <row r="14" spans="1:16" ht="157.5">
      <c r="A14" t="s">
        <v>62</v>
      </c>
      <c r="B14" s="23">
        <f ca="1">(B12*SUM($B$2:$B$6))+IF(B11=0,0,SUM($B$2:INDEX(B:B,$B$13+1)))</f>
        <v>50</v>
      </c>
      <c r="C14" s="87" t="str">
        <f>HLOs!D11</f>
        <v xml:space="preserve">HLO 2.2.1: Innovation networks enhance agrifood system solution scaling </v>
      </c>
      <c r="D14" s="88">
        <v>1</v>
      </c>
      <c r="E14" s="88">
        <v>1</v>
      </c>
      <c r="F14" s="88">
        <v>1</v>
      </c>
      <c r="G14" s="88">
        <v>1</v>
      </c>
      <c r="H14" s="88">
        <v>1</v>
      </c>
      <c r="I14" s="88">
        <v>1</v>
      </c>
      <c r="K14" s="84" t="s">
        <v>269</v>
      </c>
      <c r="L14" s="84" t="s">
        <v>270</v>
      </c>
      <c r="M14" s="84" t="s">
        <v>271</v>
      </c>
      <c r="N14" s="84" t="s">
        <v>272</v>
      </c>
      <c r="O14" s="84" t="s">
        <v>273</v>
      </c>
      <c r="P14" s="84" t="s">
        <v>274</v>
      </c>
    </row>
    <row r="15" spans="1:16" ht="147">
      <c r="C15" s="87" t="str">
        <f>HLOs!D12</f>
        <v xml:space="preserve">HLO 2.2.2: Methods evaluating agrifood system solutions for scale </v>
      </c>
      <c r="D15" s="88">
        <v>1</v>
      </c>
      <c r="E15" s="88">
        <v>1</v>
      </c>
      <c r="F15" s="88">
        <v>2</v>
      </c>
      <c r="G15" s="88">
        <v>2</v>
      </c>
      <c r="H15" s="88">
        <v>2</v>
      </c>
      <c r="I15" s="88">
        <v>1</v>
      </c>
      <c r="K15" s="84" t="s">
        <v>275</v>
      </c>
      <c r="L15" s="84" t="s">
        <v>276</v>
      </c>
      <c r="M15" s="84" t="s">
        <v>277</v>
      </c>
      <c r="N15" s="84" t="s">
        <v>278</v>
      </c>
      <c r="O15" s="84" t="s">
        <v>279</v>
      </c>
      <c r="P15" s="84" t="s">
        <v>280</v>
      </c>
    </row>
    <row r="16" spans="1:16" ht="136.5">
      <c r="C16" s="87" t="str">
        <f>HLOs!D13</f>
        <v xml:space="preserve">HLO 2.2.3: Scale-ready agrifood system solution bundles and packages </v>
      </c>
      <c r="D16" s="88">
        <v>3</v>
      </c>
      <c r="E16" s="88">
        <v>3</v>
      </c>
      <c r="F16" s="88">
        <v>3</v>
      </c>
      <c r="G16" s="88">
        <v>3</v>
      </c>
      <c r="H16" s="88">
        <v>4</v>
      </c>
      <c r="I16" s="88">
        <v>3</v>
      </c>
      <c r="K16" s="84" t="s">
        <v>281</v>
      </c>
      <c r="L16" s="84" t="s">
        <v>282</v>
      </c>
      <c r="M16" s="84" t="s">
        <v>283</v>
      </c>
      <c r="N16" s="84" t="s">
        <v>284</v>
      </c>
      <c r="O16" s="84" t="s">
        <v>285</v>
      </c>
      <c r="P16" s="84" t="s">
        <v>286</v>
      </c>
    </row>
    <row r="17" spans="3:16" ht="147">
      <c r="C17" s="87" t="str">
        <f>HLOs!D14</f>
        <v xml:space="preserve">HLO 2.2.4: Agrifood system solution scaling strategies </v>
      </c>
      <c r="D17" s="88">
        <v>4</v>
      </c>
      <c r="E17" s="88">
        <v>4</v>
      </c>
      <c r="F17" s="88">
        <v>4</v>
      </c>
      <c r="G17" s="88">
        <v>4</v>
      </c>
      <c r="H17" s="88">
        <v>4</v>
      </c>
      <c r="I17" s="88">
        <v>4</v>
      </c>
      <c r="K17" s="84" t="s">
        <v>287</v>
      </c>
      <c r="L17" s="84" t="s">
        <v>288</v>
      </c>
      <c r="M17" s="84" t="s">
        <v>289</v>
      </c>
      <c r="N17" s="84" t="s">
        <v>290</v>
      </c>
      <c r="O17" s="84" t="s">
        <v>291</v>
      </c>
      <c r="P17" s="84" t="s">
        <v>292</v>
      </c>
    </row>
    <row r="18" spans="3:16" ht="126">
      <c r="C18" s="87" t="str">
        <f>HLOs!D15</f>
        <v xml:space="preserve">HLO 3.3.1: Enabling environment diagnostics </v>
      </c>
      <c r="D18" s="88">
        <v>2</v>
      </c>
      <c r="E18" s="88">
        <v>2</v>
      </c>
      <c r="F18" s="88">
        <v>2</v>
      </c>
      <c r="G18" s="88">
        <v>3</v>
      </c>
      <c r="H18" s="88">
        <v>3</v>
      </c>
      <c r="I18" s="88">
        <v>2</v>
      </c>
      <c r="K18" s="84" t="s">
        <v>293</v>
      </c>
      <c r="L18" s="84" t="s">
        <v>294</v>
      </c>
      <c r="M18" s="84" t="s">
        <v>295</v>
      </c>
      <c r="N18" s="84" t="s">
        <v>296</v>
      </c>
      <c r="O18" s="84" t="s">
        <v>297</v>
      </c>
      <c r="P18" s="84" t="s">
        <v>298</v>
      </c>
    </row>
    <row r="19" spans="3:16" ht="136.5">
      <c r="C19" s="87" t="str">
        <f>HLOs!D16</f>
        <v xml:space="preserve">HLO 3.3.2: Scaling support services for enabling 
environments and institutions </v>
      </c>
      <c r="D19" s="88">
        <v>3</v>
      </c>
      <c r="E19" s="88">
        <v>3</v>
      </c>
      <c r="F19" s="88">
        <v>3</v>
      </c>
      <c r="G19" s="88">
        <v>3</v>
      </c>
      <c r="H19" s="88">
        <v>4</v>
      </c>
      <c r="I19" s="88">
        <v>3</v>
      </c>
      <c r="K19" s="84" t="s">
        <v>299</v>
      </c>
      <c r="L19" s="84" t="s">
        <v>300</v>
      </c>
      <c r="M19" s="84" t="s">
        <v>301</v>
      </c>
      <c r="N19" s="84" t="s">
        <v>302</v>
      </c>
      <c r="O19" s="84" t="s">
        <v>303</v>
      </c>
      <c r="P19" s="84" t="s">
        <v>304</v>
      </c>
    </row>
    <row r="20" spans="3:16" ht="157.5">
      <c r="C20" s="87" t="str">
        <f>HLOs!D17</f>
        <v xml:space="preserve">HLO 3.3.3: Science-policy partnership interfaces for responsible scaling </v>
      </c>
      <c r="D20" s="88">
        <v>1</v>
      </c>
      <c r="E20" s="88">
        <v>1</v>
      </c>
      <c r="F20" s="88">
        <v>2</v>
      </c>
      <c r="G20" s="88">
        <v>2</v>
      </c>
      <c r="H20" s="88">
        <v>2</v>
      </c>
      <c r="I20" s="88">
        <v>1</v>
      </c>
      <c r="K20" s="84" t="s">
        <v>305</v>
      </c>
      <c r="L20" s="84" t="s">
        <v>306</v>
      </c>
      <c r="M20" s="84" t="s">
        <v>307</v>
      </c>
      <c r="N20" s="84" t="s">
        <v>308</v>
      </c>
      <c r="O20" s="84" t="s">
        <v>309</v>
      </c>
      <c r="P20" s="84" t="s">
        <v>310</v>
      </c>
    </row>
    <row r="21" spans="3:16" ht="27" customHeight="1">
      <c r="C21" s="87" t="str">
        <f>HLOs!D18</f>
        <v>HLO 4.4.1: CGIAR Expertise and Solutions Embedded in Development Investments and Partnerships</v>
      </c>
      <c r="D21" s="88">
        <v>4</v>
      </c>
      <c r="E21" s="88">
        <v>4</v>
      </c>
      <c r="F21" s="88">
        <v>4</v>
      </c>
      <c r="G21" s="88">
        <v>4</v>
      </c>
      <c r="H21" s="88">
        <v>4</v>
      </c>
      <c r="I21" s="88">
        <v>4</v>
      </c>
      <c r="K21" s="84" t="s">
        <v>311</v>
      </c>
      <c r="L21" s="84" t="s">
        <v>312</v>
      </c>
      <c r="M21" s="84" t="s">
        <v>313</v>
      </c>
      <c r="N21" s="84" t="s">
        <v>314</v>
      </c>
      <c r="O21" s="84" t="s">
        <v>315</v>
      </c>
      <c r="P21" s="84" t="s">
        <v>316</v>
      </c>
    </row>
    <row r="22" spans="3:16" ht="136.5">
      <c r="C22" s="87" t="str">
        <f>HLOs!D19</f>
        <v>HLO 4.4.2: Innovation portfolio management and scaling strategy support teams</v>
      </c>
      <c r="D22" s="88">
        <v>1</v>
      </c>
      <c r="E22" s="88">
        <v>1</v>
      </c>
      <c r="F22" s="88">
        <v>2</v>
      </c>
      <c r="G22" s="88">
        <v>2</v>
      </c>
      <c r="H22" s="88">
        <v>2</v>
      </c>
      <c r="I22" s="88">
        <v>1</v>
      </c>
      <c r="K22" s="84" t="s">
        <v>317</v>
      </c>
      <c r="L22" s="84" t="s">
        <v>318</v>
      </c>
      <c r="M22" s="84" t="s">
        <v>319</v>
      </c>
      <c r="N22" s="84" t="s">
        <v>320</v>
      </c>
      <c r="O22" s="84" t="s">
        <v>321</v>
      </c>
      <c r="P22" s="84" t="s">
        <v>322</v>
      </c>
    </row>
    <row r="23" spans="3:16" ht="157.5">
      <c r="C23" s="87" t="str">
        <f>HLOs!D20</f>
        <v xml:space="preserve">HLO 5.5.1: Enhancing scaling science for societal impact </v>
      </c>
      <c r="D23" s="88">
        <v>2</v>
      </c>
      <c r="E23" s="88">
        <v>2</v>
      </c>
      <c r="F23" s="88">
        <v>2</v>
      </c>
      <c r="G23" s="88">
        <v>2</v>
      </c>
      <c r="H23" s="88">
        <v>3</v>
      </c>
      <c r="I23" s="88">
        <v>2</v>
      </c>
      <c r="K23" s="84" t="s">
        <v>323</v>
      </c>
      <c r="L23" s="84" t="s">
        <v>324</v>
      </c>
      <c r="M23" s="84" t="s">
        <v>325</v>
      </c>
      <c r="N23" s="84" t="s">
        <v>326</v>
      </c>
      <c r="O23" s="84" t="s">
        <v>327</v>
      </c>
      <c r="P23" s="84" t="s">
        <v>328</v>
      </c>
    </row>
    <row r="24" spans="3:16" ht="157.5">
      <c r="C24" s="87" t="str">
        <f>HLOs!D21</f>
        <v>HLO 5.5.2: Insights for CGIAR scaling success through impact assessments</v>
      </c>
      <c r="D24" s="88">
        <v>2</v>
      </c>
      <c r="E24" s="88">
        <v>2</v>
      </c>
      <c r="F24" s="88">
        <v>2</v>
      </c>
      <c r="G24" s="88">
        <v>3</v>
      </c>
      <c r="H24" s="88">
        <v>3</v>
      </c>
      <c r="I24" s="88">
        <v>2</v>
      </c>
      <c r="K24" s="84" t="s">
        <v>329</v>
      </c>
      <c r="L24" s="84" t="s">
        <v>330</v>
      </c>
      <c r="M24" s="84" t="s">
        <v>331</v>
      </c>
      <c r="N24" s="84" t="s">
        <v>332</v>
      </c>
      <c r="O24" s="84" t="s">
        <v>333</v>
      </c>
      <c r="P24" s="84" t="s">
        <v>334</v>
      </c>
    </row>
    <row r="25" spans="3:16" ht="136.5">
      <c r="C25" s="87" t="str">
        <f>HLOs!D22</f>
        <v>HLO 5.5.3: Custom analytics for managing innovation portfolios and decision-making</v>
      </c>
      <c r="D25" s="88">
        <v>1</v>
      </c>
      <c r="E25" s="88">
        <v>1</v>
      </c>
      <c r="F25" s="88">
        <v>2</v>
      </c>
      <c r="G25" s="88">
        <v>2</v>
      </c>
      <c r="H25" s="88">
        <v>2</v>
      </c>
      <c r="I25" s="88">
        <v>1</v>
      </c>
      <c r="K25" s="84" t="s">
        <v>335</v>
      </c>
      <c r="L25" s="84" t="s">
        <v>336</v>
      </c>
      <c r="M25" s="84" t="s">
        <v>337</v>
      </c>
      <c r="N25" s="84" t="s">
        <v>338</v>
      </c>
      <c r="O25" s="84" t="s">
        <v>339</v>
      </c>
      <c r="P25" s="84" t="s">
        <v>340</v>
      </c>
    </row>
  </sheetData>
  <mergeCells count="6">
    <mergeCell ref="P8:P10"/>
    <mergeCell ref="K8:K10"/>
    <mergeCell ref="L8:L10"/>
    <mergeCell ref="M8:M10"/>
    <mergeCell ref="N8:N10"/>
    <mergeCell ref="O8:O10"/>
  </mergeCells>
  <conditionalFormatting sqref="D3:I3">
    <cfRule type="cellIs" dxfId="3" priority="4" operator="greaterThan">
      <formula>$B$14</formula>
    </cfRule>
  </conditionalFormatting>
  <conditionalFormatting sqref="D11:I25">
    <cfRule type="colorScale" priority="24">
      <colorScale>
        <cfvo type="min"/>
        <cfvo type="percentile" val="50"/>
        <cfvo type="max"/>
        <color rgb="FFF8696B"/>
        <color rgb="FFFFEB84"/>
        <color rgb="FF63BE7B"/>
      </colorScale>
    </cfRule>
  </conditionalFormatting>
  <dataValidations count="1">
    <dataValidation type="whole" allowBlank="1" showInputMessage="1" showErrorMessage="1" sqref="D11:I25" xr:uid="{C71431C6-1FBF-461D-AB9D-00A6B2843290}">
      <formula1>1</formula1>
      <formula2>5</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30F7-BA6C-430F-B96A-5F7FFAE40D75}">
  <dimension ref="A1:P25"/>
  <sheetViews>
    <sheetView workbookViewId="0">
      <pane ySplit="10" topLeftCell="C11" activePane="bottomLeft" state="frozen"/>
      <selection pane="bottomLeft" activeCell="C11" sqref="C11:C25"/>
    </sheetView>
  </sheetViews>
  <sheetFormatPr defaultColWidth="8.85546875" defaultRowHeight="14.45"/>
  <cols>
    <col min="1" max="1" width="10" bestFit="1" customWidth="1"/>
    <col min="3" max="3" width="78.7109375" customWidth="1"/>
    <col min="11" max="11" width="29.140625" style="18" customWidth="1"/>
    <col min="12" max="12" width="27.85546875" style="18" customWidth="1"/>
    <col min="13" max="13" width="27.7109375" style="18" customWidth="1"/>
    <col min="14" max="14" width="35" style="18" customWidth="1"/>
    <col min="15" max="15" width="31.140625" style="18" customWidth="1"/>
    <col min="16" max="16" width="26.140625" customWidth="1"/>
  </cols>
  <sheetData>
    <row r="1" spans="1:16" s="15" customFormat="1">
      <c r="C1" s="16" t="s">
        <v>341</v>
      </c>
    </row>
    <row r="2" spans="1:16">
      <c r="A2" s="9" t="s">
        <v>45</v>
      </c>
      <c r="B2" s="2">
        <v>5</v>
      </c>
      <c r="D2" s="95" t="s">
        <v>5</v>
      </c>
      <c r="E2" s="95" t="s">
        <v>6</v>
      </c>
      <c r="F2" s="95" t="s">
        <v>7</v>
      </c>
      <c r="G2" s="95" t="s">
        <v>8</v>
      </c>
      <c r="H2" s="95" t="s">
        <v>9</v>
      </c>
      <c r="I2" s="95" t="s">
        <v>10</v>
      </c>
      <c r="K2"/>
      <c r="L2"/>
      <c r="M2"/>
      <c r="N2"/>
      <c r="O2"/>
    </row>
    <row r="3" spans="1:16">
      <c r="A3" s="10" t="s">
        <v>46</v>
      </c>
      <c r="B3" s="3">
        <v>4</v>
      </c>
      <c r="C3" t="s">
        <v>146</v>
      </c>
      <c r="D3" s="55">
        <f t="shared" ref="D3:I3" si="0">SUM(D11:D49)</f>
        <v>34</v>
      </c>
      <c r="E3" s="55">
        <f t="shared" si="0"/>
        <v>34</v>
      </c>
      <c r="F3" s="55">
        <f t="shared" si="0"/>
        <v>41</v>
      </c>
      <c r="G3" s="55">
        <f t="shared" si="0"/>
        <v>38</v>
      </c>
      <c r="H3" s="55">
        <f t="shared" si="0"/>
        <v>48</v>
      </c>
      <c r="I3" s="55">
        <f t="shared" si="0"/>
        <v>34</v>
      </c>
      <c r="K3"/>
      <c r="L3"/>
      <c r="M3"/>
      <c r="N3"/>
      <c r="O3"/>
    </row>
    <row r="4" spans="1:16">
      <c r="A4" s="11" t="s">
        <v>47</v>
      </c>
      <c r="B4" s="3">
        <v>3</v>
      </c>
      <c r="C4" t="s">
        <v>147</v>
      </c>
      <c r="D4" s="55">
        <f>COUNTIF(D$11:D$49, 5)</f>
        <v>0</v>
      </c>
      <c r="E4" s="55">
        <f t="shared" ref="E4:I4" si="1">COUNTIF(E$11:E$49, 5)</f>
        <v>0</v>
      </c>
      <c r="F4" s="55">
        <f t="shared" si="1"/>
        <v>0</v>
      </c>
      <c r="G4" s="55">
        <f t="shared" si="1"/>
        <v>0</v>
      </c>
      <c r="H4" s="55">
        <f t="shared" si="1"/>
        <v>3</v>
      </c>
      <c r="I4" s="55">
        <f t="shared" si="1"/>
        <v>0</v>
      </c>
      <c r="K4"/>
      <c r="L4"/>
      <c r="M4"/>
      <c r="N4"/>
      <c r="O4"/>
    </row>
    <row r="5" spans="1:16">
      <c r="A5" s="12" t="s">
        <v>48</v>
      </c>
      <c r="B5" s="3">
        <v>2</v>
      </c>
      <c r="C5" t="s">
        <v>148</v>
      </c>
      <c r="D5" s="55">
        <f>COUNTIF(D$11:D$49, 4)</f>
        <v>3</v>
      </c>
      <c r="E5" s="55">
        <f t="shared" ref="E5:I5" si="2">COUNTIF(E$11:E$49, 4)</f>
        <v>3</v>
      </c>
      <c r="F5" s="55">
        <f t="shared" si="2"/>
        <v>3</v>
      </c>
      <c r="G5" s="55">
        <f t="shared" si="2"/>
        <v>3</v>
      </c>
      <c r="H5" s="55">
        <f t="shared" si="2"/>
        <v>3</v>
      </c>
      <c r="I5" s="55">
        <f t="shared" si="2"/>
        <v>3</v>
      </c>
      <c r="K5"/>
      <c r="L5"/>
      <c r="M5"/>
      <c r="N5"/>
      <c r="O5"/>
    </row>
    <row r="6" spans="1:16">
      <c r="A6" s="13" t="s">
        <v>49</v>
      </c>
      <c r="B6" s="4">
        <v>1</v>
      </c>
      <c r="C6" t="s">
        <v>149</v>
      </c>
      <c r="D6" s="55">
        <f>COUNTIF(D$11:D$49, 3)</f>
        <v>3</v>
      </c>
      <c r="E6" s="55">
        <f t="shared" ref="E6:I6" si="3">COUNTIF(E$11:E$49, 3)</f>
        <v>3</v>
      </c>
      <c r="F6" s="55">
        <f t="shared" si="3"/>
        <v>6</v>
      </c>
      <c r="G6" s="55">
        <f t="shared" si="3"/>
        <v>3</v>
      </c>
      <c r="H6" s="55">
        <f t="shared" si="3"/>
        <v>4</v>
      </c>
      <c r="I6" s="55">
        <f t="shared" si="3"/>
        <v>3</v>
      </c>
      <c r="K6"/>
      <c r="L6"/>
      <c r="M6"/>
      <c r="N6"/>
      <c r="O6"/>
    </row>
    <row r="7" spans="1:16">
      <c r="C7" t="s">
        <v>150</v>
      </c>
      <c r="D7" s="55">
        <f>COUNTIF(D$11:D$49, 2)</f>
        <v>4</v>
      </c>
      <c r="E7" s="55">
        <f t="shared" ref="E7:I7" si="4">COUNTIF(E$11:E$49, 2)</f>
        <v>4</v>
      </c>
      <c r="F7" s="55">
        <f t="shared" si="4"/>
        <v>5</v>
      </c>
      <c r="G7" s="55">
        <f t="shared" si="4"/>
        <v>8</v>
      </c>
      <c r="H7" s="55">
        <f t="shared" si="4"/>
        <v>4</v>
      </c>
      <c r="I7" s="55">
        <f t="shared" si="4"/>
        <v>4</v>
      </c>
      <c r="K7"/>
      <c r="L7"/>
      <c r="M7"/>
      <c r="N7"/>
      <c r="O7"/>
    </row>
    <row r="8" spans="1:16" ht="14.45" customHeight="1">
      <c r="C8" t="s">
        <v>151</v>
      </c>
      <c r="D8" s="55">
        <f>COUNTIF(D$11:D$49, 1)</f>
        <v>5</v>
      </c>
      <c r="E8" s="55">
        <f t="shared" ref="E8:I8" si="5">COUNTIF(E$11:E$49, 1)</f>
        <v>5</v>
      </c>
      <c r="F8" s="55">
        <f t="shared" si="5"/>
        <v>1</v>
      </c>
      <c r="G8" s="55">
        <f t="shared" si="5"/>
        <v>1</v>
      </c>
      <c r="H8" s="55">
        <f t="shared" si="5"/>
        <v>1</v>
      </c>
      <c r="I8" s="55">
        <f t="shared" si="5"/>
        <v>5</v>
      </c>
      <c r="K8" s="139" t="s">
        <v>152</v>
      </c>
      <c r="L8" s="139" t="s">
        <v>153</v>
      </c>
      <c r="M8" s="139" t="s">
        <v>154</v>
      </c>
      <c r="N8" s="139" t="s">
        <v>155</v>
      </c>
      <c r="O8" s="139" t="s">
        <v>156</v>
      </c>
      <c r="P8" s="139" t="s">
        <v>157</v>
      </c>
    </row>
    <row r="9" spans="1:16">
      <c r="K9" s="139"/>
      <c r="L9" s="139"/>
      <c r="M9" s="139"/>
      <c r="N9" s="139"/>
      <c r="O9" s="139"/>
      <c r="P9" s="139"/>
    </row>
    <row r="10" spans="1:16">
      <c r="C10" s="95" t="s">
        <v>158</v>
      </c>
      <c r="D10" s="95" t="s">
        <v>5</v>
      </c>
      <c r="E10" s="95" t="s">
        <v>6</v>
      </c>
      <c r="F10" s="95" t="s">
        <v>7</v>
      </c>
      <c r="G10" s="95" t="s">
        <v>8</v>
      </c>
      <c r="H10" s="95" t="s">
        <v>9</v>
      </c>
      <c r="I10" s="95" t="s">
        <v>10</v>
      </c>
      <c r="K10" s="139"/>
      <c r="L10" s="139"/>
      <c r="M10" s="139"/>
      <c r="N10" s="139"/>
      <c r="O10" s="139"/>
      <c r="P10" s="139"/>
    </row>
    <row r="11" spans="1:16" ht="115.5">
      <c r="A11" t="s">
        <v>53</v>
      </c>
      <c r="B11" s="1">
        <f>COUNTA(C11:C49)</f>
        <v>15</v>
      </c>
      <c r="C11" s="87" t="str">
        <f>HLOs!D8</f>
        <v xml:space="preserve">HLO 1.1.1: Demand signaling </v>
      </c>
      <c r="D11" s="88">
        <v>4</v>
      </c>
      <c r="E11" s="88">
        <v>4</v>
      </c>
      <c r="F11" s="88">
        <v>4</v>
      </c>
      <c r="G11" s="88">
        <v>4</v>
      </c>
      <c r="H11" s="88">
        <v>5</v>
      </c>
      <c r="I11" s="88">
        <v>4</v>
      </c>
      <c r="K11" s="84" t="s">
        <v>342</v>
      </c>
      <c r="L11" s="84" t="s">
        <v>343</v>
      </c>
      <c r="M11" s="84" t="s">
        <v>344</v>
      </c>
      <c r="N11" s="84" t="s">
        <v>345</v>
      </c>
      <c r="O11" s="84" t="s">
        <v>346</v>
      </c>
      <c r="P11" s="84" t="s">
        <v>347</v>
      </c>
    </row>
    <row r="12" spans="1:16" ht="115.5">
      <c r="A12" t="s">
        <v>56</v>
      </c>
      <c r="B12">
        <f>_xlfn.FLOOR.MATH(B11/5)</f>
        <v>3</v>
      </c>
      <c r="C12" s="87" t="str">
        <f>HLOs!D9</f>
        <v>HLO 1.1.2: Feedback and adaptive research and scaling prioritization</v>
      </c>
      <c r="D12" s="88">
        <v>3</v>
      </c>
      <c r="E12" s="88">
        <v>3</v>
      </c>
      <c r="F12" s="88">
        <v>3</v>
      </c>
      <c r="G12" s="88">
        <v>3</v>
      </c>
      <c r="H12" s="88">
        <v>4</v>
      </c>
      <c r="I12" s="88">
        <v>3</v>
      </c>
      <c r="K12" s="84" t="s">
        <v>348</v>
      </c>
      <c r="L12" s="84" t="s">
        <v>349</v>
      </c>
      <c r="M12" s="84" t="s">
        <v>350</v>
      </c>
      <c r="N12" s="84" t="s">
        <v>351</v>
      </c>
      <c r="O12" s="84" t="s">
        <v>352</v>
      </c>
      <c r="P12" s="84" t="s">
        <v>353</v>
      </c>
    </row>
    <row r="13" spans="1:16" ht="136.5">
      <c r="A13" t="s">
        <v>59</v>
      </c>
      <c r="B13">
        <f>MOD(B11,5)</f>
        <v>0</v>
      </c>
      <c r="C13" s="87" t="str">
        <f>HLOs!D10</f>
        <v>HLO 1.1.3: Enhance strategies and coordination</v>
      </c>
      <c r="D13" s="88">
        <v>2</v>
      </c>
      <c r="E13" s="88">
        <v>2</v>
      </c>
      <c r="F13" s="88">
        <v>3</v>
      </c>
      <c r="G13" s="88">
        <v>2</v>
      </c>
      <c r="H13" s="88">
        <v>3</v>
      </c>
      <c r="I13" s="88">
        <v>2</v>
      </c>
      <c r="K13" s="84" t="s">
        <v>354</v>
      </c>
      <c r="L13" s="84" t="s">
        <v>355</v>
      </c>
      <c r="M13" s="84" t="s">
        <v>356</v>
      </c>
      <c r="N13" s="84" t="s">
        <v>357</v>
      </c>
      <c r="O13" s="84" t="s">
        <v>358</v>
      </c>
      <c r="P13" s="84" t="s">
        <v>359</v>
      </c>
    </row>
    <row r="14" spans="1:16" ht="126">
      <c r="A14" t="s">
        <v>62</v>
      </c>
      <c r="B14" s="23">
        <f ca="1">(B12*SUM($B$2:$B$6))+IF(B11=0,0,SUM($B$2:INDEX(B:B,$B$13+1)))</f>
        <v>50</v>
      </c>
      <c r="C14" s="87" t="str">
        <f>HLOs!D11</f>
        <v xml:space="preserve">HLO 2.2.1: Innovation networks enhance agrifood system solution scaling </v>
      </c>
      <c r="D14" s="88">
        <v>1</v>
      </c>
      <c r="E14" s="88">
        <v>1</v>
      </c>
      <c r="F14" s="88">
        <v>1</v>
      </c>
      <c r="G14" s="88">
        <v>1</v>
      </c>
      <c r="H14" s="88">
        <v>1</v>
      </c>
      <c r="I14" s="88">
        <v>1</v>
      </c>
      <c r="K14" s="84" t="s">
        <v>360</v>
      </c>
      <c r="L14" s="84" t="s">
        <v>361</v>
      </c>
      <c r="M14" s="84" t="s">
        <v>362</v>
      </c>
      <c r="N14" s="84" t="s">
        <v>363</v>
      </c>
      <c r="O14" s="84" t="s">
        <v>364</v>
      </c>
      <c r="P14" s="84" t="s">
        <v>365</v>
      </c>
    </row>
    <row r="15" spans="1:16" ht="115.5">
      <c r="C15" s="87" t="str">
        <f>HLOs!D12</f>
        <v xml:space="preserve">HLO 2.2.2: Methods evaluating agrifood system solutions for scale </v>
      </c>
      <c r="D15" s="88">
        <v>1</v>
      </c>
      <c r="E15" s="88">
        <v>1</v>
      </c>
      <c r="F15" s="88">
        <v>2</v>
      </c>
      <c r="G15" s="88">
        <v>2</v>
      </c>
      <c r="H15" s="88">
        <v>2</v>
      </c>
      <c r="I15" s="88">
        <v>1</v>
      </c>
      <c r="K15" s="84" t="s">
        <v>366</v>
      </c>
      <c r="L15" s="84" t="s">
        <v>367</v>
      </c>
      <c r="M15" s="84" t="s">
        <v>368</v>
      </c>
      <c r="N15" s="84" t="s">
        <v>369</v>
      </c>
      <c r="O15" s="84" t="s">
        <v>370</v>
      </c>
      <c r="P15" s="84" t="s">
        <v>371</v>
      </c>
    </row>
    <row r="16" spans="1:16" ht="126">
      <c r="C16" s="87" t="str">
        <f>HLOs!D13</f>
        <v xml:space="preserve">HLO 2.2.3: Scale-ready agrifood system solution bundles and packages </v>
      </c>
      <c r="D16" s="88">
        <v>3</v>
      </c>
      <c r="E16" s="88">
        <v>3</v>
      </c>
      <c r="F16" s="88">
        <v>3</v>
      </c>
      <c r="G16" s="88">
        <v>3</v>
      </c>
      <c r="H16" s="88">
        <v>4</v>
      </c>
      <c r="I16" s="88">
        <v>3</v>
      </c>
      <c r="K16" s="84" t="s">
        <v>372</v>
      </c>
      <c r="L16" s="84" t="s">
        <v>373</v>
      </c>
      <c r="M16" s="84" t="s">
        <v>374</v>
      </c>
      <c r="N16" s="84" t="s">
        <v>375</v>
      </c>
      <c r="O16" s="84" t="s">
        <v>376</v>
      </c>
      <c r="P16" s="84" t="s">
        <v>377</v>
      </c>
    </row>
    <row r="17" spans="3:16" ht="115.5">
      <c r="C17" s="87" t="str">
        <f>HLOs!D14</f>
        <v xml:space="preserve">HLO 2.2.4: Agrifood system solution scaling strategies </v>
      </c>
      <c r="D17" s="88">
        <v>4</v>
      </c>
      <c r="E17" s="88">
        <v>4</v>
      </c>
      <c r="F17" s="88">
        <v>4</v>
      </c>
      <c r="G17" s="88">
        <v>4</v>
      </c>
      <c r="H17" s="88">
        <v>5</v>
      </c>
      <c r="I17" s="88">
        <v>4</v>
      </c>
      <c r="K17" s="84" t="s">
        <v>378</v>
      </c>
      <c r="L17" s="84" t="s">
        <v>379</v>
      </c>
      <c r="M17" s="84" t="s">
        <v>380</v>
      </c>
      <c r="N17" s="84" t="s">
        <v>381</v>
      </c>
      <c r="O17" s="84" t="s">
        <v>382</v>
      </c>
      <c r="P17" s="84" t="s">
        <v>383</v>
      </c>
    </row>
    <row r="18" spans="3:16" ht="105">
      <c r="C18" s="87" t="str">
        <f>HLOs!D15</f>
        <v xml:space="preserve">HLO 3.3.1: Enabling environment diagnostics </v>
      </c>
      <c r="D18" s="88">
        <v>2</v>
      </c>
      <c r="E18" s="88">
        <v>2</v>
      </c>
      <c r="F18" s="88">
        <v>3</v>
      </c>
      <c r="G18" s="88">
        <v>2</v>
      </c>
      <c r="H18" s="88">
        <v>3</v>
      </c>
      <c r="I18" s="88">
        <v>2</v>
      </c>
      <c r="K18" s="84" t="s">
        <v>384</v>
      </c>
      <c r="L18" s="84" t="s">
        <v>385</v>
      </c>
      <c r="M18" s="84" t="s">
        <v>386</v>
      </c>
      <c r="N18" s="84" t="s">
        <v>387</v>
      </c>
      <c r="O18" s="84" t="s">
        <v>388</v>
      </c>
      <c r="P18" s="84" t="s">
        <v>389</v>
      </c>
    </row>
    <row r="19" spans="3:16" ht="115.5">
      <c r="C19" s="87" t="str">
        <f>HLOs!D16</f>
        <v xml:space="preserve">HLO 3.3.2: Scaling support services for enabling 
environments and institutions </v>
      </c>
      <c r="D19" s="88">
        <v>3</v>
      </c>
      <c r="E19" s="88">
        <v>3</v>
      </c>
      <c r="F19" s="88">
        <v>3</v>
      </c>
      <c r="G19" s="88">
        <v>3</v>
      </c>
      <c r="H19" s="88">
        <v>4</v>
      </c>
      <c r="I19" s="88">
        <v>3</v>
      </c>
      <c r="K19" s="84" t="s">
        <v>390</v>
      </c>
      <c r="L19" s="84" t="s">
        <v>391</v>
      </c>
      <c r="M19" s="84" t="s">
        <v>392</v>
      </c>
      <c r="N19" s="84" t="s">
        <v>393</v>
      </c>
      <c r="O19" s="84" t="s">
        <v>394</v>
      </c>
      <c r="P19" s="84" t="s">
        <v>395</v>
      </c>
    </row>
    <row r="20" spans="3:16" ht="105">
      <c r="C20" s="87" t="str">
        <f>HLOs!D17</f>
        <v xml:space="preserve">HLO 3.3.3: Science-policy partnership interfaces for responsible scaling </v>
      </c>
      <c r="D20" s="88">
        <v>1</v>
      </c>
      <c r="E20" s="88">
        <v>1</v>
      </c>
      <c r="F20" s="88">
        <v>2</v>
      </c>
      <c r="G20" s="88">
        <v>2</v>
      </c>
      <c r="H20" s="88">
        <v>2</v>
      </c>
      <c r="I20" s="88">
        <v>1</v>
      </c>
      <c r="K20" s="84" t="s">
        <v>396</v>
      </c>
      <c r="L20" s="84" t="s">
        <v>397</v>
      </c>
      <c r="M20" s="84" t="s">
        <v>398</v>
      </c>
      <c r="N20" s="84" t="s">
        <v>399</v>
      </c>
      <c r="O20" s="84" t="s">
        <v>400</v>
      </c>
      <c r="P20" s="84" t="s">
        <v>401</v>
      </c>
    </row>
    <row r="21" spans="3:16" ht="34.5" customHeight="1">
      <c r="C21" s="87" t="str">
        <f>HLOs!D18</f>
        <v>HLO 4.4.1: CGIAR Expertise and Solutions Embedded in Development Investments and Partnerships</v>
      </c>
      <c r="D21" s="88">
        <v>4</v>
      </c>
      <c r="E21" s="88">
        <v>4</v>
      </c>
      <c r="F21" s="88">
        <v>4</v>
      </c>
      <c r="G21" s="88">
        <v>4</v>
      </c>
      <c r="H21" s="88">
        <v>5</v>
      </c>
      <c r="I21" s="88">
        <v>4</v>
      </c>
      <c r="K21" s="84" t="s">
        <v>402</v>
      </c>
      <c r="L21" s="84" t="s">
        <v>403</v>
      </c>
      <c r="M21" s="84" t="s">
        <v>404</v>
      </c>
      <c r="N21" s="84" t="s">
        <v>405</v>
      </c>
      <c r="O21" s="84" t="s">
        <v>406</v>
      </c>
      <c r="P21" s="84" t="s">
        <v>407</v>
      </c>
    </row>
    <row r="22" spans="3:16" ht="105">
      <c r="C22" s="87" t="str">
        <f>HLOs!D19</f>
        <v>HLO 4.4.2: Innovation portfolio management and scaling strategy support teams</v>
      </c>
      <c r="D22" s="88">
        <v>1</v>
      </c>
      <c r="E22" s="88">
        <v>1</v>
      </c>
      <c r="F22" s="88">
        <v>2</v>
      </c>
      <c r="G22" s="88">
        <v>2</v>
      </c>
      <c r="H22" s="88">
        <v>2</v>
      </c>
      <c r="I22" s="88">
        <v>1</v>
      </c>
      <c r="K22" s="84" t="s">
        <v>408</v>
      </c>
      <c r="L22" s="84" t="s">
        <v>409</v>
      </c>
      <c r="M22" s="84" t="s">
        <v>410</v>
      </c>
      <c r="N22" s="84" t="s">
        <v>411</v>
      </c>
      <c r="O22" s="84" t="s">
        <v>412</v>
      </c>
      <c r="P22" s="84" t="s">
        <v>413</v>
      </c>
    </row>
    <row r="23" spans="3:16" ht="105">
      <c r="C23" s="87" t="str">
        <f>HLOs!D20</f>
        <v xml:space="preserve">HLO 5.5.1: Enhancing scaling science for societal impact </v>
      </c>
      <c r="D23" s="88">
        <v>2</v>
      </c>
      <c r="E23" s="88">
        <v>2</v>
      </c>
      <c r="F23" s="88">
        <v>2</v>
      </c>
      <c r="G23" s="88">
        <v>2</v>
      </c>
      <c r="H23" s="88">
        <v>3</v>
      </c>
      <c r="I23" s="88">
        <v>2</v>
      </c>
      <c r="K23" s="84" t="s">
        <v>414</v>
      </c>
      <c r="L23" s="84" t="s">
        <v>415</v>
      </c>
      <c r="M23" s="84" t="s">
        <v>416</v>
      </c>
      <c r="N23" s="84" t="s">
        <v>417</v>
      </c>
      <c r="O23" s="84" t="s">
        <v>418</v>
      </c>
      <c r="P23" s="84" t="s">
        <v>419</v>
      </c>
    </row>
    <row r="24" spans="3:16" ht="105">
      <c r="C24" s="87" t="str">
        <f>HLOs!D21</f>
        <v>HLO 5.5.2: Insights for CGIAR scaling success through impact assessments</v>
      </c>
      <c r="D24" s="88">
        <v>2</v>
      </c>
      <c r="E24" s="88">
        <v>2</v>
      </c>
      <c r="F24" s="88">
        <v>3</v>
      </c>
      <c r="G24" s="88">
        <v>2</v>
      </c>
      <c r="H24" s="88">
        <v>3</v>
      </c>
      <c r="I24" s="88">
        <v>2</v>
      </c>
      <c r="K24" s="84" t="s">
        <v>420</v>
      </c>
      <c r="L24" s="84" t="s">
        <v>421</v>
      </c>
      <c r="M24" s="84" t="s">
        <v>422</v>
      </c>
      <c r="N24" s="84" t="s">
        <v>423</v>
      </c>
      <c r="O24" s="84" t="s">
        <v>424</v>
      </c>
      <c r="P24" s="84" t="s">
        <v>425</v>
      </c>
    </row>
    <row r="25" spans="3:16" ht="94.5">
      <c r="C25" s="87" t="str">
        <f>HLOs!D22</f>
        <v>HLO 5.5.3: Custom analytics for managing innovation portfolios and decision-making</v>
      </c>
      <c r="D25" s="88">
        <v>1</v>
      </c>
      <c r="E25" s="88">
        <v>1</v>
      </c>
      <c r="F25" s="88">
        <v>2</v>
      </c>
      <c r="G25" s="88">
        <v>2</v>
      </c>
      <c r="H25" s="88">
        <v>2</v>
      </c>
      <c r="I25" s="88">
        <v>1</v>
      </c>
      <c r="K25" s="84" t="s">
        <v>426</v>
      </c>
      <c r="L25" s="84" t="s">
        <v>427</v>
      </c>
      <c r="M25" s="84" t="s">
        <v>428</v>
      </c>
      <c r="N25" s="84" t="s">
        <v>429</v>
      </c>
      <c r="O25" s="84" t="s">
        <v>430</v>
      </c>
      <c r="P25" s="84" t="s">
        <v>431</v>
      </c>
    </row>
  </sheetData>
  <mergeCells count="6">
    <mergeCell ref="P8:P10"/>
    <mergeCell ref="K8:K10"/>
    <mergeCell ref="L8:L10"/>
    <mergeCell ref="M8:M10"/>
    <mergeCell ref="N8:N10"/>
    <mergeCell ref="O8:O10"/>
  </mergeCells>
  <phoneticPr fontId="12" type="noConversion"/>
  <conditionalFormatting sqref="D3:I3">
    <cfRule type="cellIs" dxfId="2" priority="4" operator="greaterThan">
      <formula>$B$14</formula>
    </cfRule>
  </conditionalFormatting>
  <conditionalFormatting sqref="D11:I25">
    <cfRule type="colorScale" priority="19">
      <colorScale>
        <cfvo type="min"/>
        <cfvo type="percentile" val="50"/>
        <cfvo type="max"/>
        <color rgb="FFF8696B"/>
        <color rgb="FFFFEB84"/>
        <color rgb="FF63BE7B"/>
      </colorScale>
    </cfRule>
  </conditionalFormatting>
  <dataValidations count="1">
    <dataValidation type="whole" allowBlank="1" showInputMessage="1" showErrorMessage="1" sqref="D11:I25" xr:uid="{7DBE24EA-5536-42E0-9384-46B71FFD67BD}">
      <formula1>1</formula1>
      <formula2>5</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7119-2EC1-4C40-8A4D-53FAAAC907C8}">
  <dimension ref="A1:P32"/>
  <sheetViews>
    <sheetView workbookViewId="0">
      <pane ySplit="10" topLeftCell="A11" activePane="bottomLeft" state="frozen"/>
      <selection pane="bottomLeft" activeCell="M12" sqref="M12"/>
    </sheetView>
  </sheetViews>
  <sheetFormatPr defaultColWidth="8.85546875" defaultRowHeight="14.45"/>
  <cols>
    <col min="1" max="1" width="10" bestFit="1" customWidth="1"/>
    <col min="3" max="3" width="80.28515625" customWidth="1"/>
    <col min="11" max="11" width="29.7109375" style="18" customWidth="1"/>
    <col min="12" max="12" width="17.85546875" style="18" customWidth="1"/>
    <col min="13" max="13" width="27.28515625" style="18" customWidth="1"/>
    <col min="14" max="14" width="28.85546875" style="18" customWidth="1"/>
    <col min="15" max="15" width="26.42578125" style="18" customWidth="1"/>
    <col min="16" max="16" width="21.140625" customWidth="1"/>
  </cols>
  <sheetData>
    <row r="1" spans="1:16" s="15" customFormat="1" ht="15" thickBot="1">
      <c r="C1" s="16" t="s">
        <v>432</v>
      </c>
    </row>
    <row r="2" spans="1:16" ht="15" thickBot="1">
      <c r="A2" s="9" t="s">
        <v>45</v>
      </c>
      <c r="B2" s="2">
        <v>5</v>
      </c>
      <c r="D2" s="6" t="s">
        <v>5</v>
      </c>
      <c r="E2" s="7" t="s">
        <v>6</v>
      </c>
      <c r="F2" s="7" t="s">
        <v>7</v>
      </c>
      <c r="G2" s="7" t="s">
        <v>8</v>
      </c>
      <c r="H2" s="7" t="s">
        <v>9</v>
      </c>
      <c r="I2" s="8" t="s">
        <v>10</v>
      </c>
      <c r="K2"/>
      <c r="L2"/>
      <c r="M2"/>
      <c r="N2"/>
      <c r="O2"/>
    </row>
    <row r="3" spans="1:16">
      <c r="A3" s="10" t="s">
        <v>46</v>
      </c>
      <c r="B3" s="3">
        <v>4</v>
      </c>
      <c r="C3" t="s">
        <v>146</v>
      </c>
      <c r="D3">
        <f t="shared" ref="D3:I3" si="0">SUM(D11:D59)</f>
        <v>34</v>
      </c>
      <c r="E3">
        <f t="shared" si="0"/>
        <v>34</v>
      </c>
      <c r="F3">
        <f t="shared" si="0"/>
        <v>34</v>
      </c>
      <c r="G3">
        <f t="shared" si="0"/>
        <v>41</v>
      </c>
      <c r="H3">
        <f t="shared" si="0"/>
        <v>45</v>
      </c>
      <c r="I3">
        <f t="shared" si="0"/>
        <v>41</v>
      </c>
      <c r="K3"/>
      <c r="L3"/>
      <c r="M3"/>
      <c r="N3"/>
      <c r="O3"/>
    </row>
    <row r="4" spans="1:16">
      <c r="A4" s="11" t="s">
        <v>47</v>
      </c>
      <c r="B4" s="3">
        <v>3</v>
      </c>
      <c r="C4" t="s">
        <v>147</v>
      </c>
      <c r="D4">
        <f>COUNTIF(D$11:D$59, 5)</f>
        <v>0</v>
      </c>
      <c r="E4">
        <f t="shared" ref="E4:I4" si="1">COUNTIF(E$11:E$59, 5)</f>
        <v>0</v>
      </c>
      <c r="F4">
        <f t="shared" si="1"/>
        <v>0</v>
      </c>
      <c r="G4">
        <f t="shared" si="1"/>
        <v>0</v>
      </c>
      <c r="H4">
        <f t="shared" si="1"/>
        <v>0</v>
      </c>
      <c r="I4">
        <f t="shared" si="1"/>
        <v>0</v>
      </c>
      <c r="K4"/>
      <c r="L4"/>
      <c r="M4"/>
      <c r="N4"/>
      <c r="O4"/>
    </row>
    <row r="5" spans="1:16">
      <c r="A5" s="12" t="s">
        <v>48</v>
      </c>
      <c r="B5" s="3">
        <v>2</v>
      </c>
      <c r="C5" t="s">
        <v>148</v>
      </c>
      <c r="D5">
        <f>COUNTIF(D$11:D$59, 4)</f>
        <v>3</v>
      </c>
      <c r="E5">
        <f t="shared" ref="E5:I5" si="2">COUNTIF(E$11:E$59, 4)</f>
        <v>3</v>
      </c>
      <c r="F5">
        <f t="shared" si="2"/>
        <v>3</v>
      </c>
      <c r="G5">
        <f t="shared" si="2"/>
        <v>3</v>
      </c>
      <c r="H5">
        <f t="shared" si="2"/>
        <v>6</v>
      </c>
      <c r="I5">
        <f t="shared" si="2"/>
        <v>3</v>
      </c>
      <c r="K5"/>
      <c r="L5"/>
      <c r="M5"/>
      <c r="N5"/>
      <c r="O5"/>
    </row>
    <row r="6" spans="1:16" ht="15" thickBot="1">
      <c r="A6" s="13" t="s">
        <v>49</v>
      </c>
      <c r="B6" s="4">
        <v>1</v>
      </c>
      <c r="C6" t="s">
        <v>149</v>
      </c>
      <c r="D6">
        <f>COUNTIF(D$11:D$59, 3)</f>
        <v>3</v>
      </c>
      <c r="E6">
        <f t="shared" ref="E6:I6" si="3">COUNTIF(E$11:E$59, 3)</f>
        <v>3</v>
      </c>
      <c r="F6">
        <f t="shared" si="3"/>
        <v>3</v>
      </c>
      <c r="G6">
        <f t="shared" si="3"/>
        <v>6</v>
      </c>
      <c r="H6">
        <f t="shared" si="3"/>
        <v>4</v>
      </c>
      <c r="I6">
        <f t="shared" si="3"/>
        <v>6</v>
      </c>
      <c r="K6"/>
      <c r="L6"/>
      <c r="M6"/>
      <c r="N6"/>
      <c r="O6"/>
    </row>
    <row r="7" spans="1:16">
      <c r="C7" t="s">
        <v>150</v>
      </c>
      <c r="D7">
        <f>COUNTIF(D$11:D$59, 2)</f>
        <v>4</v>
      </c>
      <c r="E7">
        <f t="shared" ref="E7:I7" si="4">COUNTIF(E$11:E$59, 2)</f>
        <v>4</v>
      </c>
      <c r="F7">
        <f t="shared" si="4"/>
        <v>4</v>
      </c>
      <c r="G7">
        <f t="shared" si="4"/>
        <v>5</v>
      </c>
      <c r="H7">
        <f t="shared" si="4"/>
        <v>4</v>
      </c>
      <c r="I7">
        <f t="shared" si="4"/>
        <v>5</v>
      </c>
      <c r="K7"/>
      <c r="L7"/>
      <c r="M7"/>
      <c r="N7"/>
      <c r="O7"/>
    </row>
    <row r="8" spans="1:16" ht="14.45" customHeight="1">
      <c r="C8" t="s">
        <v>151</v>
      </c>
      <c r="D8">
        <f>COUNTIF(D$11:D$59, 1)</f>
        <v>5</v>
      </c>
      <c r="E8">
        <f t="shared" ref="E8:I8" si="5">COUNTIF(E$11:E$59, 1)</f>
        <v>5</v>
      </c>
      <c r="F8">
        <f t="shared" si="5"/>
        <v>5</v>
      </c>
      <c r="G8">
        <f t="shared" si="5"/>
        <v>1</v>
      </c>
      <c r="H8">
        <f t="shared" si="5"/>
        <v>1</v>
      </c>
      <c r="I8">
        <f t="shared" si="5"/>
        <v>1</v>
      </c>
      <c r="K8" s="139" t="s">
        <v>152</v>
      </c>
      <c r="L8" s="139" t="s">
        <v>153</v>
      </c>
      <c r="M8" s="139" t="s">
        <v>154</v>
      </c>
      <c r="N8" s="139" t="s">
        <v>155</v>
      </c>
      <c r="O8" s="139" t="s">
        <v>156</v>
      </c>
      <c r="P8" s="139" t="s">
        <v>157</v>
      </c>
    </row>
    <row r="9" spans="1:16">
      <c r="K9" s="139"/>
      <c r="L9" s="139"/>
      <c r="M9" s="139"/>
      <c r="N9" s="139"/>
      <c r="O9" s="139"/>
      <c r="P9" s="139"/>
    </row>
    <row r="10" spans="1:16">
      <c r="C10" s="103" t="s">
        <v>158</v>
      </c>
      <c r="D10" s="6" t="s">
        <v>5</v>
      </c>
      <c r="E10" s="7" t="s">
        <v>6</v>
      </c>
      <c r="F10" s="7" t="s">
        <v>7</v>
      </c>
      <c r="G10" s="7" t="s">
        <v>8</v>
      </c>
      <c r="H10" s="7" t="s">
        <v>9</v>
      </c>
      <c r="I10" s="8" t="s">
        <v>10</v>
      </c>
      <c r="K10" s="139"/>
      <c r="L10" s="139"/>
      <c r="M10" s="139"/>
      <c r="N10" s="139"/>
      <c r="O10" s="139"/>
      <c r="P10" s="139"/>
    </row>
    <row r="11" spans="1:16" ht="147">
      <c r="A11" t="s">
        <v>53</v>
      </c>
      <c r="B11" s="1">
        <f>COUNTA(C11:C59)</f>
        <v>15</v>
      </c>
      <c r="C11" s="87" t="str">
        <f>HLOs!D8</f>
        <v xml:space="preserve">HLO 1.1.1: Demand signaling </v>
      </c>
      <c r="D11" s="102">
        <v>4</v>
      </c>
      <c r="E11" s="19">
        <v>4</v>
      </c>
      <c r="F11" s="19">
        <v>4</v>
      </c>
      <c r="G11" s="19">
        <v>4</v>
      </c>
      <c r="H11" s="19">
        <v>4</v>
      </c>
      <c r="I11" s="19">
        <v>4</v>
      </c>
      <c r="K11" s="97" t="s">
        <v>433</v>
      </c>
      <c r="L11" s="97" t="s">
        <v>434</v>
      </c>
      <c r="M11" s="97" t="s">
        <v>435</v>
      </c>
      <c r="N11" s="97" t="s">
        <v>436</v>
      </c>
      <c r="O11" s="97" t="s">
        <v>437</v>
      </c>
      <c r="P11" s="98" t="s">
        <v>438</v>
      </c>
    </row>
    <row r="12" spans="1:16" ht="157.5">
      <c r="A12" t="s">
        <v>56</v>
      </c>
      <c r="B12">
        <f>_xlfn.FLOOR.MATH(B11/5)</f>
        <v>3</v>
      </c>
      <c r="C12" s="87" t="str">
        <f>HLOs!D9</f>
        <v>HLO 1.1.2: Feedback and adaptive research and scaling prioritization</v>
      </c>
      <c r="D12" s="102">
        <v>3</v>
      </c>
      <c r="E12" s="19">
        <v>3</v>
      </c>
      <c r="F12" s="19">
        <v>3</v>
      </c>
      <c r="G12" s="19">
        <v>3</v>
      </c>
      <c r="H12" s="19">
        <v>4</v>
      </c>
      <c r="I12" s="19">
        <v>3</v>
      </c>
      <c r="K12" s="97" t="s">
        <v>439</v>
      </c>
      <c r="L12" s="97" t="s">
        <v>440</v>
      </c>
      <c r="M12" s="97" t="s">
        <v>441</v>
      </c>
      <c r="N12" s="97" t="s">
        <v>442</v>
      </c>
      <c r="O12" s="97" t="s">
        <v>443</v>
      </c>
      <c r="P12" s="98" t="s">
        <v>444</v>
      </c>
    </row>
    <row r="13" spans="1:16" ht="147">
      <c r="A13" t="s">
        <v>59</v>
      </c>
      <c r="B13">
        <f>MOD(B11,5)</f>
        <v>0</v>
      </c>
      <c r="C13" s="87" t="str">
        <f>HLOs!D10</f>
        <v>HLO 1.1.3: Enhance strategies and coordination</v>
      </c>
      <c r="D13" s="102">
        <v>2</v>
      </c>
      <c r="E13" s="19">
        <v>2</v>
      </c>
      <c r="F13" s="19">
        <v>2</v>
      </c>
      <c r="G13" s="19">
        <v>3</v>
      </c>
      <c r="H13" s="19">
        <v>3</v>
      </c>
      <c r="I13" s="19">
        <v>3</v>
      </c>
      <c r="K13" s="97" t="s">
        <v>445</v>
      </c>
      <c r="L13" s="97" t="s">
        <v>446</v>
      </c>
      <c r="M13" s="97" t="s">
        <v>447</v>
      </c>
      <c r="N13" s="97" t="s">
        <v>448</v>
      </c>
      <c r="O13" s="97" t="s">
        <v>449</v>
      </c>
      <c r="P13" s="98" t="s">
        <v>450</v>
      </c>
    </row>
    <row r="14" spans="1:16" ht="157.5">
      <c r="A14" t="s">
        <v>62</v>
      </c>
      <c r="B14" s="23">
        <f ca="1">(B12*SUM($B$2:$B$6))+IF(B11=0,0,SUM($B$2:INDEX(B:B,$B$13+1)))</f>
        <v>50</v>
      </c>
      <c r="C14" s="87" t="str">
        <f>HLOs!D11</f>
        <v xml:space="preserve">HLO 2.2.1: Innovation networks enhance agrifood system solution scaling </v>
      </c>
      <c r="D14" s="102">
        <v>1</v>
      </c>
      <c r="E14" s="19">
        <v>1</v>
      </c>
      <c r="F14" s="19">
        <v>1</v>
      </c>
      <c r="G14" s="19">
        <v>1</v>
      </c>
      <c r="H14" s="19">
        <v>1</v>
      </c>
      <c r="I14" s="19">
        <v>1</v>
      </c>
      <c r="K14" s="97" t="s">
        <v>451</v>
      </c>
      <c r="L14" s="97" t="s">
        <v>452</v>
      </c>
      <c r="M14" s="97" t="s">
        <v>453</v>
      </c>
      <c r="N14" s="97" t="s">
        <v>454</v>
      </c>
      <c r="O14" s="97" t="s">
        <v>455</v>
      </c>
      <c r="P14" s="97" t="s">
        <v>456</v>
      </c>
    </row>
    <row r="15" spans="1:16" ht="147">
      <c r="C15" s="87" t="str">
        <f>HLOs!D12</f>
        <v xml:space="preserve">HLO 2.2.2: Methods evaluating agrifood system solutions for scale </v>
      </c>
      <c r="D15" s="102">
        <v>1</v>
      </c>
      <c r="E15" s="19">
        <v>1</v>
      </c>
      <c r="F15" s="19">
        <v>1</v>
      </c>
      <c r="G15" s="19">
        <v>2</v>
      </c>
      <c r="H15" s="19">
        <v>2</v>
      </c>
      <c r="I15" s="19">
        <v>2</v>
      </c>
      <c r="K15" s="97" t="s">
        <v>457</v>
      </c>
      <c r="L15" s="97" t="s">
        <v>458</v>
      </c>
      <c r="M15" s="97" t="s">
        <v>459</v>
      </c>
      <c r="N15" s="97" t="s">
        <v>460</v>
      </c>
      <c r="O15" s="97" t="s">
        <v>461</v>
      </c>
      <c r="P15" s="98" t="s">
        <v>462</v>
      </c>
    </row>
    <row r="16" spans="1:16" ht="157.5">
      <c r="C16" s="87" t="str">
        <f>HLOs!D13</f>
        <v xml:space="preserve">HLO 2.2.3: Scale-ready agrifood system solution bundles and packages </v>
      </c>
      <c r="D16" s="102">
        <v>3</v>
      </c>
      <c r="E16" s="19">
        <v>3</v>
      </c>
      <c r="F16" s="19">
        <v>3</v>
      </c>
      <c r="G16" s="19">
        <v>3</v>
      </c>
      <c r="H16" s="19">
        <v>4</v>
      </c>
      <c r="I16" s="19">
        <v>3</v>
      </c>
      <c r="K16" s="97" t="s">
        <v>463</v>
      </c>
      <c r="L16" s="97" t="s">
        <v>464</v>
      </c>
      <c r="M16" s="97" t="s">
        <v>465</v>
      </c>
      <c r="N16" s="97" t="s">
        <v>466</v>
      </c>
      <c r="O16" s="97" t="s">
        <v>467</v>
      </c>
      <c r="P16" s="98" t="s">
        <v>468</v>
      </c>
    </row>
    <row r="17" spans="3:16" ht="157.5">
      <c r="C17" s="87" t="str">
        <f>HLOs!D14</f>
        <v xml:space="preserve">HLO 2.2.4: Agrifood system solution scaling strategies </v>
      </c>
      <c r="D17" s="102">
        <v>4</v>
      </c>
      <c r="E17" s="19">
        <v>4</v>
      </c>
      <c r="F17" s="19">
        <v>4</v>
      </c>
      <c r="G17" s="19">
        <v>4</v>
      </c>
      <c r="H17" s="19">
        <v>4</v>
      </c>
      <c r="I17" s="19">
        <v>4</v>
      </c>
      <c r="K17" s="97" t="s">
        <v>469</v>
      </c>
      <c r="L17" s="97" t="s">
        <v>470</v>
      </c>
      <c r="M17" s="98" t="s">
        <v>471</v>
      </c>
      <c r="N17" s="97" t="s">
        <v>472</v>
      </c>
      <c r="O17" s="97" t="s">
        <v>473</v>
      </c>
      <c r="P17" s="97" t="s">
        <v>474</v>
      </c>
    </row>
    <row r="18" spans="3:16" ht="136.5">
      <c r="C18" s="87" t="str">
        <f>HLOs!D15</f>
        <v xml:space="preserve">HLO 3.3.1: Enabling environment diagnostics </v>
      </c>
      <c r="D18" s="102">
        <v>2</v>
      </c>
      <c r="E18" s="19">
        <v>2</v>
      </c>
      <c r="F18" s="19">
        <v>2</v>
      </c>
      <c r="G18" s="19">
        <v>3</v>
      </c>
      <c r="H18" s="19">
        <v>3</v>
      </c>
      <c r="I18" s="19">
        <v>3</v>
      </c>
      <c r="K18" s="97" t="s">
        <v>475</v>
      </c>
      <c r="L18" s="97" t="s">
        <v>476</v>
      </c>
      <c r="M18" s="98" t="s">
        <v>477</v>
      </c>
      <c r="N18" s="97" t="s">
        <v>478</v>
      </c>
      <c r="O18" s="97" t="s">
        <v>479</v>
      </c>
      <c r="P18" s="98" t="s">
        <v>480</v>
      </c>
    </row>
    <row r="19" spans="3:16" ht="147">
      <c r="C19" s="87" t="str">
        <f>HLOs!D16</f>
        <v xml:space="preserve">HLO 3.3.2: Scaling support services for enabling 
environments and institutions </v>
      </c>
      <c r="D19" s="102">
        <v>3</v>
      </c>
      <c r="E19" s="19">
        <v>3</v>
      </c>
      <c r="F19" s="19">
        <v>3</v>
      </c>
      <c r="G19" s="19">
        <v>3</v>
      </c>
      <c r="H19" s="19">
        <v>4</v>
      </c>
      <c r="I19" s="19">
        <v>3</v>
      </c>
      <c r="K19" s="97" t="s">
        <v>481</v>
      </c>
      <c r="L19" s="97" t="s">
        <v>482</v>
      </c>
      <c r="M19" s="98" t="s">
        <v>483</v>
      </c>
      <c r="N19" s="97" t="s">
        <v>484</v>
      </c>
      <c r="O19" s="97" t="s">
        <v>485</v>
      </c>
      <c r="P19" s="98" t="s">
        <v>486</v>
      </c>
    </row>
    <row r="20" spans="3:16" ht="157.5">
      <c r="C20" s="87" t="str">
        <f>HLOs!D17</f>
        <v xml:space="preserve">HLO 3.3.3: Science-policy partnership interfaces for responsible scaling </v>
      </c>
      <c r="D20" s="102">
        <v>1</v>
      </c>
      <c r="E20" s="19">
        <v>1</v>
      </c>
      <c r="F20" s="19">
        <v>1</v>
      </c>
      <c r="G20" s="19">
        <v>2</v>
      </c>
      <c r="H20" s="19">
        <v>2</v>
      </c>
      <c r="I20" s="19">
        <v>2</v>
      </c>
      <c r="K20" s="97" t="s">
        <v>487</v>
      </c>
      <c r="L20" s="97" t="s">
        <v>488</v>
      </c>
      <c r="M20" s="97" t="s">
        <v>489</v>
      </c>
      <c r="N20" s="97" t="s">
        <v>490</v>
      </c>
      <c r="O20" s="97" t="s">
        <v>491</v>
      </c>
      <c r="P20" s="98" t="s">
        <v>492</v>
      </c>
    </row>
    <row r="21" spans="3:16" ht="14.45" customHeight="1">
      <c r="C21" s="87" t="str">
        <f>HLOs!D18</f>
        <v>HLO 4.4.1: CGIAR Expertise and Solutions Embedded in Development Investments and Partnerships</v>
      </c>
      <c r="D21" s="102">
        <v>4</v>
      </c>
      <c r="E21" s="19">
        <v>4</v>
      </c>
      <c r="F21" s="19">
        <v>4</v>
      </c>
      <c r="G21" s="19">
        <v>4</v>
      </c>
      <c r="H21" s="19">
        <v>4</v>
      </c>
      <c r="I21" s="19">
        <v>4</v>
      </c>
      <c r="K21" s="97" t="s">
        <v>493</v>
      </c>
      <c r="L21" s="97" t="s">
        <v>494</v>
      </c>
      <c r="M21" s="97" t="s">
        <v>495</v>
      </c>
      <c r="N21" s="97" t="s">
        <v>496</v>
      </c>
      <c r="O21" s="97" t="s">
        <v>497</v>
      </c>
      <c r="P21" s="98" t="s">
        <v>498</v>
      </c>
    </row>
    <row r="22" spans="3:16" ht="147">
      <c r="C22" s="87" t="str">
        <f>HLOs!D19</f>
        <v>HLO 4.4.2: Innovation portfolio management and scaling strategy support teams</v>
      </c>
      <c r="D22" s="102">
        <v>1</v>
      </c>
      <c r="E22" s="19">
        <v>1</v>
      </c>
      <c r="F22" s="19">
        <v>1</v>
      </c>
      <c r="G22" s="19">
        <v>2</v>
      </c>
      <c r="H22" s="19">
        <v>2</v>
      </c>
      <c r="I22" s="19">
        <v>2</v>
      </c>
      <c r="K22" s="97" t="s">
        <v>499</v>
      </c>
      <c r="L22" s="97" t="s">
        <v>500</v>
      </c>
      <c r="M22" s="97" t="s">
        <v>501</v>
      </c>
      <c r="N22" s="97" t="s">
        <v>502</v>
      </c>
      <c r="O22" s="97" t="s">
        <v>503</v>
      </c>
      <c r="P22" s="98" t="s">
        <v>504</v>
      </c>
    </row>
    <row r="23" spans="3:16" ht="189">
      <c r="C23" s="87" t="str">
        <f>HLOs!D20</f>
        <v xml:space="preserve">HLO 5.5.1: Enhancing scaling science for societal impact </v>
      </c>
      <c r="D23" s="102">
        <v>2</v>
      </c>
      <c r="E23" s="19">
        <v>2</v>
      </c>
      <c r="F23" s="19">
        <v>2</v>
      </c>
      <c r="G23" s="19">
        <v>2</v>
      </c>
      <c r="H23" s="19">
        <v>3</v>
      </c>
      <c r="I23" s="19">
        <v>2</v>
      </c>
      <c r="K23" s="97" t="s">
        <v>505</v>
      </c>
      <c r="L23" s="97" t="s">
        <v>506</v>
      </c>
      <c r="M23" s="97" t="s">
        <v>507</v>
      </c>
      <c r="N23" s="97" t="s">
        <v>508</v>
      </c>
      <c r="O23" s="97" t="s">
        <v>509</v>
      </c>
      <c r="P23" s="98" t="s">
        <v>510</v>
      </c>
    </row>
    <row r="24" spans="3:16" ht="157.5">
      <c r="C24" s="87" t="str">
        <f>HLOs!D21</f>
        <v>HLO 5.5.2: Insights for CGIAR scaling success through impact assessments</v>
      </c>
      <c r="D24" s="102">
        <v>2</v>
      </c>
      <c r="E24" s="19">
        <v>2</v>
      </c>
      <c r="F24" s="19">
        <v>2</v>
      </c>
      <c r="G24" s="19">
        <v>3</v>
      </c>
      <c r="H24" s="19">
        <v>3</v>
      </c>
      <c r="I24" s="19">
        <v>3</v>
      </c>
      <c r="K24" s="97" t="s">
        <v>511</v>
      </c>
      <c r="L24" s="97" t="s">
        <v>512</v>
      </c>
      <c r="M24" s="97" t="s">
        <v>513</v>
      </c>
      <c r="N24" s="97" t="s">
        <v>514</v>
      </c>
      <c r="O24" s="97" t="s">
        <v>515</v>
      </c>
      <c r="P24" s="98" t="s">
        <v>516</v>
      </c>
    </row>
    <row r="25" spans="3:16" ht="157.5">
      <c r="C25" s="87" t="str">
        <f>HLOs!D22</f>
        <v>HLO 5.5.3: Custom analytics for managing innovation portfolios and decision-making</v>
      </c>
      <c r="D25" s="102">
        <v>1</v>
      </c>
      <c r="E25" s="19">
        <v>1</v>
      </c>
      <c r="F25" s="19">
        <v>1</v>
      </c>
      <c r="G25" s="19">
        <v>2</v>
      </c>
      <c r="H25" s="19">
        <v>2</v>
      </c>
      <c r="I25" s="19">
        <v>2</v>
      </c>
      <c r="K25" s="97" t="s">
        <v>517</v>
      </c>
      <c r="L25" s="97" t="s">
        <v>518</v>
      </c>
      <c r="M25" s="97" t="s">
        <v>519</v>
      </c>
      <c r="N25" s="97" t="s">
        <v>520</v>
      </c>
      <c r="O25" s="97" t="s">
        <v>521</v>
      </c>
      <c r="P25" s="98" t="s">
        <v>522</v>
      </c>
    </row>
    <row r="26" spans="3:16">
      <c r="C26" s="22"/>
      <c r="D26" s="22"/>
      <c r="E26" s="22"/>
      <c r="F26" s="22"/>
      <c r="G26" s="22"/>
      <c r="H26" s="22"/>
      <c r="I26" s="22"/>
    </row>
    <row r="27" spans="3:16">
      <c r="C27" s="22"/>
      <c r="D27" s="22"/>
      <c r="E27" s="22"/>
      <c r="F27" s="22"/>
      <c r="G27" s="22"/>
      <c r="H27" s="22"/>
      <c r="I27" s="22"/>
    </row>
    <row r="28" spans="3:16">
      <c r="C28" s="22"/>
      <c r="D28" s="22"/>
      <c r="E28" s="22"/>
      <c r="F28" s="22"/>
      <c r="G28" s="22"/>
      <c r="H28" s="22"/>
      <c r="I28" s="22"/>
    </row>
    <row r="29" spans="3:16">
      <c r="C29" s="22"/>
      <c r="D29" s="22"/>
      <c r="E29" s="22"/>
      <c r="F29" s="22"/>
      <c r="G29" s="22"/>
      <c r="H29" s="22"/>
      <c r="I29" s="22"/>
    </row>
    <row r="30" spans="3:16">
      <c r="C30" s="22"/>
      <c r="D30" s="22"/>
      <c r="E30" s="22"/>
      <c r="F30" s="22"/>
      <c r="G30" s="22"/>
      <c r="H30" s="22"/>
      <c r="I30" s="22"/>
    </row>
    <row r="31" spans="3:16">
      <c r="C31" s="22"/>
      <c r="D31" s="22"/>
      <c r="E31" s="22"/>
      <c r="F31" s="22"/>
      <c r="G31" s="22"/>
      <c r="H31" s="22"/>
      <c r="I31" s="22"/>
    </row>
    <row r="32" spans="3:16">
      <c r="C32" s="22"/>
      <c r="D32" s="22"/>
      <c r="E32" s="22"/>
      <c r="F32" s="22"/>
      <c r="G32" s="22"/>
      <c r="H32" s="22"/>
      <c r="I32" s="22"/>
    </row>
  </sheetData>
  <mergeCells count="6">
    <mergeCell ref="P8:P10"/>
    <mergeCell ref="K8:K10"/>
    <mergeCell ref="L8:L10"/>
    <mergeCell ref="M8:M10"/>
    <mergeCell ref="N8:N10"/>
    <mergeCell ref="O8:O10"/>
  </mergeCells>
  <conditionalFormatting sqref="D3:I3">
    <cfRule type="cellIs" dxfId="1" priority="5" operator="greaterThan">
      <formula>$B$14</formula>
    </cfRule>
  </conditionalFormatting>
  <conditionalFormatting sqref="D11:I25">
    <cfRule type="colorScale" priority="21">
      <colorScale>
        <cfvo type="min"/>
        <cfvo type="percentile" val="50"/>
        <cfvo type="max"/>
        <color rgb="FFF8696B"/>
        <color rgb="FFFFEB84"/>
        <color rgb="FF63BE7B"/>
      </colorScale>
    </cfRule>
  </conditionalFormatting>
  <dataValidations count="1">
    <dataValidation type="whole" allowBlank="1" showInputMessage="1" showErrorMessage="1" sqref="D11:I25" xr:uid="{BB5EF355-303B-4FC9-BA88-5B1E0C8E43D4}">
      <formula1>1</formula1>
      <formula2>5</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CC50-8870-47A9-96FF-AC5F5E982504}">
  <dimension ref="A1:P32"/>
  <sheetViews>
    <sheetView workbookViewId="0">
      <pane ySplit="10" topLeftCell="A11" activePane="bottomLeft" state="frozen"/>
      <selection pane="bottomLeft" activeCell="M12" sqref="M12"/>
    </sheetView>
  </sheetViews>
  <sheetFormatPr defaultColWidth="8.85546875" defaultRowHeight="15"/>
  <cols>
    <col min="1" max="1" width="10" bestFit="1" customWidth="1"/>
    <col min="3" max="3" width="44.7109375" style="112" customWidth="1"/>
    <col min="11" max="11" width="33" style="18" customWidth="1"/>
    <col min="12" max="12" width="31.28515625" style="18" customWidth="1"/>
    <col min="13" max="13" width="28.85546875" style="18" customWidth="1"/>
    <col min="14" max="14" width="28.140625" style="18" customWidth="1"/>
    <col min="15" max="15" width="29" style="18" customWidth="1"/>
    <col min="16" max="16" width="27.140625" customWidth="1"/>
  </cols>
  <sheetData>
    <row r="1" spans="1:16" s="15" customFormat="1" thickBot="1">
      <c r="C1" s="111" t="s">
        <v>523</v>
      </c>
    </row>
    <row r="2" spans="1:16" thickBot="1">
      <c r="A2" s="9" t="s">
        <v>45</v>
      </c>
      <c r="B2" s="2">
        <v>5</v>
      </c>
      <c r="D2" s="6" t="s">
        <v>5</v>
      </c>
      <c r="E2" s="7" t="s">
        <v>6</v>
      </c>
      <c r="F2" s="7" t="s">
        <v>7</v>
      </c>
      <c r="G2" s="7" t="s">
        <v>8</v>
      </c>
      <c r="H2" s="7" t="s">
        <v>9</v>
      </c>
      <c r="I2" s="8" t="s">
        <v>10</v>
      </c>
      <c r="K2"/>
      <c r="L2"/>
      <c r="M2"/>
      <c r="N2"/>
      <c r="O2"/>
    </row>
    <row r="3" spans="1:16">
      <c r="A3" s="10" t="s">
        <v>46</v>
      </c>
      <c r="B3" s="3">
        <v>4</v>
      </c>
      <c r="C3" s="112" t="s">
        <v>146</v>
      </c>
      <c r="D3">
        <f t="shared" ref="D3:I3" si="0">SUM(D11:D59)</f>
        <v>34</v>
      </c>
      <c r="E3">
        <f t="shared" si="0"/>
        <v>38</v>
      </c>
      <c r="F3">
        <f t="shared" si="0"/>
        <v>34</v>
      </c>
      <c r="G3">
        <f t="shared" si="0"/>
        <v>41</v>
      </c>
      <c r="H3">
        <f t="shared" si="0"/>
        <v>48</v>
      </c>
      <c r="I3">
        <f t="shared" si="0"/>
        <v>38</v>
      </c>
      <c r="K3"/>
      <c r="L3"/>
      <c r="M3"/>
      <c r="N3"/>
      <c r="O3"/>
    </row>
    <row r="4" spans="1:16">
      <c r="A4" s="11" t="s">
        <v>47</v>
      </c>
      <c r="B4" s="3">
        <v>3</v>
      </c>
      <c r="C4" s="112" t="s">
        <v>147</v>
      </c>
      <c r="D4">
        <f>COUNTIF(D$11:D$59, 5)</f>
        <v>0</v>
      </c>
      <c r="E4">
        <f t="shared" ref="E4:I4" si="1">COUNTIF(E$11:E$59, 5)</f>
        <v>0</v>
      </c>
      <c r="F4">
        <f t="shared" si="1"/>
        <v>0</v>
      </c>
      <c r="G4">
        <f t="shared" si="1"/>
        <v>0</v>
      </c>
      <c r="H4">
        <f t="shared" si="1"/>
        <v>3</v>
      </c>
      <c r="I4">
        <f t="shared" si="1"/>
        <v>0</v>
      </c>
      <c r="K4"/>
      <c r="L4"/>
      <c r="M4"/>
      <c r="N4"/>
      <c r="O4"/>
    </row>
    <row r="5" spans="1:16">
      <c r="A5" s="12" t="s">
        <v>48</v>
      </c>
      <c r="B5" s="3">
        <v>2</v>
      </c>
      <c r="C5" s="112" t="s">
        <v>148</v>
      </c>
      <c r="D5">
        <f>COUNTIF(D$11:D$59, 4)</f>
        <v>3</v>
      </c>
      <c r="E5">
        <f t="shared" ref="E5:I5" si="2">COUNTIF(E$11:E$59, 4)</f>
        <v>3</v>
      </c>
      <c r="F5">
        <f t="shared" si="2"/>
        <v>3</v>
      </c>
      <c r="G5">
        <f t="shared" si="2"/>
        <v>3</v>
      </c>
      <c r="H5">
        <f t="shared" si="2"/>
        <v>3</v>
      </c>
      <c r="I5">
        <f t="shared" si="2"/>
        <v>3</v>
      </c>
      <c r="K5"/>
      <c r="L5"/>
      <c r="M5"/>
      <c r="N5"/>
      <c r="O5"/>
    </row>
    <row r="6" spans="1:16" thickBot="1">
      <c r="A6" s="13" t="s">
        <v>49</v>
      </c>
      <c r="B6" s="4">
        <v>1</v>
      </c>
      <c r="C6" s="112" t="s">
        <v>149</v>
      </c>
      <c r="D6">
        <f>COUNTIF(D$11:D$59, 3)</f>
        <v>3</v>
      </c>
      <c r="E6">
        <f t="shared" ref="E6:I6" si="3">COUNTIF(E$11:E$59, 3)</f>
        <v>3</v>
      </c>
      <c r="F6">
        <f t="shared" si="3"/>
        <v>3</v>
      </c>
      <c r="G6">
        <f t="shared" si="3"/>
        <v>6</v>
      </c>
      <c r="H6">
        <f t="shared" si="3"/>
        <v>4</v>
      </c>
      <c r="I6">
        <f t="shared" si="3"/>
        <v>3</v>
      </c>
      <c r="K6"/>
      <c r="L6"/>
      <c r="M6"/>
      <c r="N6"/>
      <c r="O6"/>
    </row>
    <row r="7" spans="1:16">
      <c r="C7" s="112" t="s">
        <v>150</v>
      </c>
      <c r="D7">
        <f>COUNTIF(D$11:D$59, 2)</f>
        <v>4</v>
      </c>
      <c r="E7">
        <f t="shared" ref="E7:I7" si="4">COUNTIF(E$11:E$59, 2)</f>
        <v>8</v>
      </c>
      <c r="F7">
        <f t="shared" si="4"/>
        <v>4</v>
      </c>
      <c r="G7">
        <f t="shared" si="4"/>
        <v>5</v>
      </c>
      <c r="H7">
        <f t="shared" si="4"/>
        <v>4</v>
      </c>
      <c r="I7">
        <f t="shared" si="4"/>
        <v>8</v>
      </c>
      <c r="K7"/>
      <c r="L7"/>
      <c r="M7"/>
      <c r="N7"/>
      <c r="O7"/>
    </row>
    <row r="8" spans="1:16" ht="14.45" customHeight="1">
      <c r="C8" s="112" t="s">
        <v>151</v>
      </c>
      <c r="D8">
        <f>COUNTIF(D$11:D$59, 1)</f>
        <v>5</v>
      </c>
      <c r="E8">
        <f t="shared" ref="E8:I8" si="5">COUNTIF(E$11:E$59, 1)</f>
        <v>1</v>
      </c>
      <c r="F8">
        <f t="shared" si="5"/>
        <v>5</v>
      </c>
      <c r="G8">
        <f t="shared" si="5"/>
        <v>1</v>
      </c>
      <c r="H8">
        <f t="shared" si="5"/>
        <v>1</v>
      </c>
      <c r="I8">
        <f t="shared" si="5"/>
        <v>1</v>
      </c>
      <c r="K8" s="139" t="s">
        <v>152</v>
      </c>
      <c r="L8" s="139" t="s">
        <v>153</v>
      </c>
      <c r="M8" s="139" t="s">
        <v>154</v>
      </c>
      <c r="N8" s="139" t="s">
        <v>155</v>
      </c>
      <c r="O8" s="139" t="s">
        <v>156</v>
      </c>
      <c r="P8" s="139" t="s">
        <v>157</v>
      </c>
    </row>
    <row r="9" spans="1:16">
      <c r="K9" s="139"/>
      <c r="L9" s="139"/>
      <c r="M9" s="139"/>
      <c r="N9" s="139"/>
      <c r="O9" s="139"/>
      <c r="P9" s="139"/>
    </row>
    <row r="10" spans="1:16">
      <c r="C10" s="113" t="s">
        <v>158</v>
      </c>
      <c r="D10" s="6" t="s">
        <v>5</v>
      </c>
      <c r="E10" s="7" t="s">
        <v>6</v>
      </c>
      <c r="F10" s="7" t="s">
        <v>7</v>
      </c>
      <c r="G10" s="7" t="s">
        <v>8</v>
      </c>
      <c r="H10" s="7" t="s">
        <v>9</v>
      </c>
      <c r="I10" s="8" t="s">
        <v>10</v>
      </c>
      <c r="K10" s="139"/>
      <c r="L10" s="139"/>
      <c r="M10" s="139"/>
      <c r="N10" s="139"/>
      <c r="O10" s="139"/>
      <c r="P10" s="139"/>
    </row>
    <row r="11" spans="1:16" ht="115.5">
      <c r="A11" t="s">
        <v>53</v>
      </c>
      <c r="B11" s="1">
        <f>COUNTA(C11:C59)</f>
        <v>15</v>
      </c>
      <c r="C11" s="114" t="str">
        <f>HLOs!D8</f>
        <v xml:space="preserve">HLO 1.1.1: Demand signaling </v>
      </c>
      <c r="D11" s="102">
        <v>4</v>
      </c>
      <c r="E11" s="19">
        <v>4</v>
      </c>
      <c r="F11" s="19">
        <v>4</v>
      </c>
      <c r="G11" s="19">
        <v>4</v>
      </c>
      <c r="H11" s="19">
        <v>5</v>
      </c>
      <c r="I11" s="19">
        <v>4</v>
      </c>
      <c r="K11" s="84" t="s">
        <v>524</v>
      </c>
      <c r="L11" s="84" t="s">
        <v>525</v>
      </c>
      <c r="M11" s="84" t="s">
        <v>526</v>
      </c>
      <c r="N11" s="84" t="s">
        <v>527</v>
      </c>
      <c r="O11" s="84" t="s">
        <v>528</v>
      </c>
      <c r="P11" s="84" t="s">
        <v>529</v>
      </c>
    </row>
    <row r="12" spans="1:16" ht="115.5">
      <c r="A12" t="s">
        <v>56</v>
      </c>
      <c r="B12">
        <f>_xlfn.FLOOR.MATH(B11/5)</f>
        <v>3</v>
      </c>
      <c r="C12" s="114" t="str">
        <f>HLOs!D9</f>
        <v>HLO 1.1.2: Feedback and adaptive research and scaling prioritization</v>
      </c>
      <c r="D12" s="19">
        <v>3</v>
      </c>
      <c r="E12" s="19">
        <v>3</v>
      </c>
      <c r="F12" s="19">
        <v>3</v>
      </c>
      <c r="G12" s="19">
        <v>3</v>
      </c>
      <c r="H12" s="19">
        <v>4</v>
      </c>
      <c r="I12" s="19">
        <v>3</v>
      </c>
      <c r="K12" s="84" t="s">
        <v>530</v>
      </c>
      <c r="L12" s="84" t="s">
        <v>531</v>
      </c>
      <c r="M12" s="84" t="s">
        <v>532</v>
      </c>
      <c r="N12" s="84" t="s">
        <v>533</v>
      </c>
      <c r="O12" s="84" t="s">
        <v>534</v>
      </c>
      <c r="P12" s="84" t="s">
        <v>535</v>
      </c>
    </row>
    <row r="13" spans="1:16" ht="105.75">
      <c r="A13" t="s">
        <v>59</v>
      </c>
      <c r="B13">
        <f>MOD(B11,5)</f>
        <v>0</v>
      </c>
      <c r="C13" s="114" t="str">
        <f>HLOs!D10</f>
        <v>HLO 1.1.3: Enhance strategies and coordination</v>
      </c>
      <c r="D13" s="19">
        <v>2</v>
      </c>
      <c r="E13" s="19">
        <v>2</v>
      </c>
      <c r="F13" s="19">
        <v>2</v>
      </c>
      <c r="G13" s="19">
        <v>3</v>
      </c>
      <c r="H13" s="19">
        <v>3</v>
      </c>
      <c r="I13" s="19">
        <v>2</v>
      </c>
      <c r="K13" s="84" t="s">
        <v>536</v>
      </c>
      <c r="L13" s="84" t="s">
        <v>537</v>
      </c>
      <c r="M13" s="84" t="s">
        <v>538</v>
      </c>
      <c r="N13" s="84" t="s">
        <v>539</v>
      </c>
      <c r="O13" s="84" t="s">
        <v>540</v>
      </c>
      <c r="P13" s="84" t="s">
        <v>541</v>
      </c>
    </row>
    <row r="14" spans="1:16" ht="115.5">
      <c r="A14" t="s">
        <v>62</v>
      </c>
      <c r="B14" s="23">
        <f ca="1">(B12*SUM($B$2:$B$6))+IF(B11=0,0,SUM($B$2:INDEX(B:B,$B$13+1)))</f>
        <v>50</v>
      </c>
      <c r="C14" s="114" t="str">
        <f>HLOs!D11</f>
        <v xml:space="preserve">HLO 2.2.1: Innovation networks enhance agrifood system solution scaling </v>
      </c>
      <c r="D14" s="19">
        <v>1</v>
      </c>
      <c r="E14" s="19">
        <v>1</v>
      </c>
      <c r="F14" s="19">
        <v>1</v>
      </c>
      <c r="G14" s="19">
        <v>1</v>
      </c>
      <c r="H14" s="19">
        <v>1</v>
      </c>
      <c r="I14" s="19">
        <v>1</v>
      </c>
      <c r="K14" s="84" t="s">
        <v>542</v>
      </c>
      <c r="L14" s="84" t="s">
        <v>543</v>
      </c>
      <c r="M14" s="84" t="s">
        <v>544</v>
      </c>
      <c r="N14" s="84" t="s">
        <v>545</v>
      </c>
      <c r="O14" s="84" t="s">
        <v>546</v>
      </c>
      <c r="P14" s="84" t="s">
        <v>547</v>
      </c>
    </row>
    <row r="15" spans="1:16" ht="125.25">
      <c r="C15" s="114" t="str">
        <f>HLOs!D12</f>
        <v xml:space="preserve">HLO 2.2.2: Methods evaluating agrifood system solutions for scale </v>
      </c>
      <c r="D15" s="19">
        <v>1</v>
      </c>
      <c r="E15" s="19">
        <v>2</v>
      </c>
      <c r="F15" s="19">
        <v>1</v>
      </c>
      <c r="G15" s="19">
        <v>2</v>
      </c>
      <c r="H15" s="19">
        <v>2</v>
      </c>
      <c r="I15" s="19">
        <v>2</v>
      </c>
      <c r="K15" s="84" t="s">
        <v>548</v>
      </c>
      <c r="L15" s="84" t="s">
        <v>549</v>
      </c>
      <c r="M15" s="84" t="s">
        <v>550</v>
      </c>
      <c r="N15" s="84" t="s">
        <v>551</v>
      </c>
      <c r="O15" s="84" t="s">
        <v>552</v>
      </c>
      <c r="P15" s="84" t="s">
        <v>553</v>
      </c>
    </row>
    <row r="16" spans="1:16" ht="115.5">
      <c r="C16" s="114" t="str">
        <f>HLOs!D13</f>
        <v xml:space="preserve">HLO 2.2.3: Scale-ready agrifood system solution bundles and packages </v>
      </c>
      <c r="D16" s="19">
        <v>3</v>
      </c>
      <c r="E16" s="19">
        <v>3</v>
      </c>
      <c r="F16" s="19">
        <v>3</v>
      </c>
      <c r="G16" s="19">
        <v>3</v>
      </c>
      <c r="H16" s="19">
        <v>4</v>
      </c>
      <c r="I16" s="19">
        <v>3</v>
      </c>
      <c r="K16" s="84" t="s">
        <v>554</v>
      </c>
      <c r="L16" s="84" t="s">
        <v>555</v>
      </c>
      <c r="M16" s="84" t="s">
        <v>556</v>
      </c>
      <c r="N16" s="84" t="s">
        <v>557</v>
      </c>
      <c r="O16" s="84" t="s">
        <v>558</v>
      </c>
      <c r="P16" s="84" t="s">
        <v>559</v>
      </c>
    </row>
    <row r="17" spans="3:16" ht="105.75">
      <c r="C17" s="114" t="str">
        <f>HLOs!D14</f>
        <v xml:space="preserve">HLO 2.2.4: Agrifood system solution scaling strategies </v>
      </c>
      <c r="D17" s="19">
        <v>4</v>
      </c>
      <c r="E17" s="19">
        <v>4</v>
      </c>
      <c r="F17" s="19">
        <v>4</v>
      </c>
      <c r="G17" s="19">
        <v>4</v>
      </c>
      <c r="H17" s="19">
        <v>5</v>
      </c>
      <c r="I17" s="19">
        <v>4</v>
      </c>
      <c r="K17" s="84" t="s">
        <v>560</v>
      </c>
      <c r="L17" s="84" t="s">
        <v>561</v>
      </c>
      <c r="M17" s="84" t="s">
        <v>562</v>
      </c>
      <c r="N17" s="84" t="s">
        <v>563</v>
      </c>
      <c r="O17" s="84" t="s">
        <v>564</v>
      </c>
      <c r="P17" s="85" t="s">
        <v>565</v>
      </c>
    </row>
    <row r="18" spans="3:16" ht="115.5">
      <c r="C18" s="114" t="str">
        <f>HLOs!D15</f>
        <v xml:space="preserve">HLO 3.3.1: Enabling environment diagnostics </v>
      </c>
      <c r="D18" s="19">
        <v>2</v>
      </c>
      <c r="E18" s="19">
        <v>2</v>
      </c>
      <c r="F18" s="19">
        <v>2</v>
      </c>
      <c r="G18" s="19">
        <v>3</v>
      </c>
      <c r="H18" s="19">
        <v>3</v>
      </c>
      <c r="I18" s="19">
        <v>2</v>
      </c>
      <c r="K18" s="84" t="s">
        <v>566</v>
      </c>
      <c r="L18" s="84" t="s">
        <v>567</v>
      </c>
      <c r="M18" s="84" t="s">
        <v>568</v>
      </c>
      <c r="N18" s="84" t="s">
        <v>569</v>
      </c>
      <c r="O18" s="84" t="s">
        <v>570</v>
      </c>
      <c r="P18" s="85" t="s">
        <v>571</v>
      </c>
    </row>
    <row r="19" spans="3:16" ht="115.5">
      <c r="C19" s="114" t="str">
        <f>HLOs!D16</f>
        <v xml:space="preserve">HLO 3.3.2: Scaling support services for enabling 
environments and institutions </v>
      </c>
      <c r="D19" s="19">
        <v>3</v>
      </c>
      <c r="E19" s="19">
        <v>3</v>
      </c>
      <c r="F19" s="19">
        <v>3</v>
      </c>
      <c r="G19" s="19">
        <v>3</v>
      </c>
      <c r="H19" s="19">
        <v>4</v>
      </c>
      <c r="I19" s="19">
        <v>3</v>
      </c>
      <c r="K19" s="84" t="s">
        <v>572</v>
      </c>
      <c r="L19" s="84" t="s">
        <v>573</v>
      </c>
      <c r="M19" s="84" t="s">
        <v>574</v>
      </c>
      <c r="N19" s="84" t="s">
        <v>575</v>
      </c>
      <c r="O19" s="84" t="s">
        <v>576</v>
      </c>
      <c r="P19" s="85" t="s">
        <v>577</v>
      </c>
    </row>
    <row r="20" spans="3:16" ht="115.5">
      <c r="C20" s="114" t="str">
        <f>HLOs!D17</f>
        <v xml:space="preserve">HLO 3.3.3: Science-policy partnership interfaces for responsible scaling </v>
      </c>
      <c r="D20" s="19">
        <v>1</v>
      </c>
      <c r="E20" s="19">
        <v>2</v>
      </c>
      <c r="F20" s="19">
        <v>1</v>
      </c>
      <c r="G20" s="19">
        <v>2</v>
      </c>
      <c r="H20" s="19">
        <v>2</v>
      </c>
      <c r="I20" s="19">
        <v>2</v>
      </c>
      <c r="K20" s="84" t="s">
        <v>578</v>
      </c>
      <c r="L20" s="84" t="s">
        <v>579</v>
      </c>
      <c r="M20" s="84" t="s">
        <v>580</v>
      </c>
      <c r="N20" s="84" t="s">
        <v>581</v>
      </c>
      <c r="O20" s="84" t="s">
        <v>582</v>
      </c>
      <c r="P20" s="85" t="s">
        <v>583</v>
      </c>
    </row>
    <row r="21" spans="3:16" ht="17.45" customHeight="1">
      <c r="C21" s="114" t="str">
        <f>HLOs!D18</f>
        <v>HLO 4.4.1: CGIAR Expertise and Solutions Embedded in Development Investments and Partnerships</v>
      </c>
      <c r="D21" s="19">
        <v>4</v>
      </c>
      <c r="E21" s="19">
        <v>4</v>
      </c>
      <c r="F21" s="19">
        <v>4</v>
      </c>
      <c r="G21" s="19">
        <v>4</v>
      </c>
      <c r="H21" s="19">
        <v>5</v>
      </c>
      <c r="I21" s="19">
        <v>4</v>
      </c>
      <c r="K21" s="84" t="s">
        <v>584</v>
      </c>
      <c r="L21" s="84" t="s">
        <v>585</v>
      </c>
      <c r="M21" s="84" t="s">
        <v>586</v>
      </c>
      <c r="N21" s="84" t="s">
        <v>587</v>
      </c>
      <c r="O21" s="84" t="s">
        <v>588</v>
      </c>
      <c r="P21" s="84" t="s">
        <v>589</v>
      </c>
    </row>
    <row r="22" spans="3:16" ht="96.75">
      <c r="C22" s="114" t="str">
        <f>HLOs!D19</f>
        <v>HLO 4.4.2: Innovation portfolio management and scaling strategy support teams</v>
      </c>
      <c r="D22" s="19">
        <v>1</v>
      </c>
      <c r="E22" s="19">
        <v>2</v>
      </c>
      <c r="F22" s="19">
        <v>1</v>
      </c>
      <c r="G22" s="19">
        <v>2</v>
      </c>
      <c r="H22" s="19">
        <v>2</v>
      </c>
      <c r="I22" s="19">
        <v>2</v>
      </c>
      <c r="K22" s="84" t="s">
        <v>590</v>
      </c>
      <c r="L22" s="84" t="s">
        <v>591</v>
      </c>
      <c r="M22" s="84" t="s">
        <v>592</v>
      </c>
      <c r="N22" s="84" t="s">
        <v>593</v>
      </c>
      <c r="O22" s="84" t="s">
        <v>594</v>
      </c>
      <c r="P22" s="85" t="s">
        <v>595</v>
      </c>
    </row>
    <row r="23" spans="3:16" ht="115.5">
      <c r="C23" s="114" t="str">
        <f>HLOs!D20</f>
        <v xml:space="preserve">HLO 5.5.1: Enhancing scaling science for societal impact </v>
      </c>
      <c r="D23" s="19">
        <v>2</v>
      </c>
      <c r="E23" s="19">
        <v>2</v>
      </c>
      <c r="F23" s="19">
        <v>2</v>
      </c>
      <c r="G23" s="19">
        <v>2</v>
      </c>
      <c r="H23" s="19">
        <v>3</v>
      </c>
      <c r="I23" s="19">
        <v>2</v>
      </c>
      <c r="K23" s="84" t="s">
        <v>596</v>
      </c>
      <c r="L23" s="84" t="s">
        <v>597</v>
      </c>
      <c r="M23" s="84" t="s">
        <v>598</v>
      </c>
      <c r="N23" s="84" t="s">
        <v>599</v>
      </c>
      <c r="O23" s="84" t="s">
        <v>600</v>
      </c>
      <c r="P23" s="85" t="s">
        <v>601</v>
      </c>
    </row>
    <row r="24" spans="3:16" ht="115.5">
      <c r="C24" s="114" t="str">
        <f>HLOs!D21</f>
        <v>HLO 5.5.2: Insights for CGIAR scaling success through impact assessments</v>
      </c>
      <c r="D24" s="19">
        <v>2</v>
      </c>
      <c r="E24" s="19">
        <v>2</v>
      </c>
      <c r="F24" s="19">
        <v>2</v>
      </c>
      <c r="G24" s="19">
        <v>3</v>
      </c>
      <c r="H24" s="19">
        <v>3</v>
      </c>
      <c r="I24" s="19">
        <v>2</v>
      </c>
      <c r="K24" s="84" t="s">
        <v>602</v>
      </c>
      <c r="L24" s="84" t="s">
        <v>603</v>
      </c>
      <c r="M24" s="84" t="s">
        <v>604</v>
      </c>
      <c r="N24" s="84" t="s">
        <v>605</v>
      </c>
      <c r="O24" s="84" t="s">
        <v>606</v>
      </c>
      <c r="P24" s="84" t="s">
        <v>607</v>
      </c>
    </row>
    <row r="25" spans="3:16" ht="115.5">
      <c r="C25" s="114" t="str">
        <f>HLOs!D22</f>
        <v>HLO 5.5.3: Custom analytics for managing innovation portfolios and decision-making</v>
      </c>
      <c r="D25" s="19">
        <v>1</v>
      </c>
      <c r="E25" s="19">
        <v>2</v>
      </c>
      <c r="F25" s="19">
        <v>1</v>
      </c>
      <c r="G25" s="19">
        <v>2</v>
      </c>
      <c r="H25" s="19">
        <v>2</v>
      </c>
      <c r="I25" s="19">
        <v>2</v>
      </c>
      <c r="K25" s="84" t="s">
        <v>608</v>
      </c>
      <c r="L25" s="84" t="s">
        <v>609</v>
      </c>
      <c r="M25" s="84" t="s">
        <v>610</v>
      </c>
      <c r="N25" s="84" t="s">
        <v>611</v>
      </c>
      <c r="O25" s="84" t="s">
        <v>612</v>
      </c>
      <c r="P25" s="84" t="s">
        <v>613</v>
      </c>
    </row>
    <row r="26" spans="3:16">
      <c r="C26" s="115"/>
      <c r="D26" s="22"/>
      <c r="E26" s="22"/>
      <c r="F26" s="22"/>
      <c r="G26" s="22"/>
      <c r="H26" s="22"/>
      <c r="I26" s="22"/>
      <c r="J26" s="22"/>
    </row>
    <row r="27" spans="3:16">
      <c r="C27" s="115"/>
      <c r="D27" s="22"/>
      <c r="E27" s="22"/>
      <c r="F27" s="22"/>
      <c r="G27" s="22"/>
      <c r="H27" s="22"/>
      <c r="I27" s="22"/>
      <c r="J27" s="22"/>
    </row>
    <row r="28" spans="3:16">
      <c r="C28" s="115"/>
      <c r="D28" s="22"/>
      <c r="E28" s="22"/>
      <c r="F28" s="22"/>
      <c r="G28" s="22"/>
      <c r="H28" s="22"/>
      <c r="I28" s="22"/>
      <c r="J28" s="22"/>
    </row>
    <row r="29" spans="3:16">
      <c r="C29" s="115"/>
      <c r="D29" s="22"/>
      <c r="E29" s="22"/>
      <c r="F29" s="22"/>
      <c r="G29" s="22"/>
      <c r="H29" s="22"/>
      <c r="I29" s="22"/>
      <c r="J29" s="22"/>
    </row>
    <row r="30" spans="3:16">
      <c r="C30" s="115"/>
      <c r="D30" s="22"/>
      <c r="E30" s="22"/>
      <c r="F30" s="22"/>
      <c r="G30" s="22"/>
      <c r="H30" s="22"/>
      <c r="I30" s="22"/>
      <c r="J30" s="22"/>
    </row>
    <row r="31" spans="3:16">
      <c r="C31" s="115"/>
      <c r="D31" s="22"/>
      <c r="E31" s="22"/>
      <c r="F31" s="22"/>
      <c r="G31" s="22"/>
      <c r="H31" s="22"/>
      <c r="I31" s="22"/>
      <c r="J31" s="22"/>
    </row>
    <row r="32" spans="3:16">
      <c r="C32" s="115"/>
      <c r="D32" s="22"/>
      <c r="E32" s="22"/>
      <c r="F32" s="22"/>
      <c r="G32" s="22"/>
      <c r="H32" s="22"/>
      <c r="I32" s="22"/>
      <c r="J32" s="22"/>
    </row>
  </sheetData>
  <mergeCells count="6">
    <mergeCell ref="P8:P10"/>
    <mergeCell ref="K8:K10"/>
    <mergeCell ref="L8:L10"/>
    <mergeCell ref="M8:M10"/>
    <mergeCell ref="N8:N10"/>
    <mergeCell ref="O8:O10"/>
  </mergeCells>
  <conditionalFormatting sqref="D3:I3">
    <cfRule type="cellIs" dxfId="0" priority="5" operator="greaterThan">
      <formula>$B$14</formula>
    </cfRule>
  </conditionalFormatting>
  <conditionalFormatting sqref="D11:I25">
    <cfRule type="colorScale" priority="23">
      <colorScale>
        <cfvo type="min"/>
        <cfvo type="percentile" val="50"/>
        <cfvo type="max"/>
        <color rgb="FFF8696B"/>
        <color rgb="FFFFEB84"/>
        <color rgb="FF63BE7B"/>
      </colorScale>
    </cfRule>
  </conditionalFormatting>
  <dataValidations count="1">
    <dataValidation type="whole" allowBlank="1" showInputMessage="1" showErrorMessage="1" sqref="D11:I25" xr:uid="{20E21BE6-1BA8-44AC-B621-712F42ECE009}">
      <formula1>1</formula1>
      <formula2>5</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DC8B-FBA2-4892-B234-B5CF54AD636C}">
  <dimension ref="A1:AM24"/>
  <sheetViews>
    <sheetView workbookViewId="0">
      <selection activeCell="P33" sqref="P33"/>
    </sheetView>
  </sheetViews>
  <sheetFormatPr defaultColWidth="8.85546875" defaultRowHeight="14.45"/>
  <cols>
    <col min="1" max="1" width="29.42578125" customWidth="1"/>
    <col min="9" max="9" width="18.85546875" customWidth="1"/>
    <col min="16" max="16" width="6.42578125" customWidth="1"/>
    <col min="17" max="17" width="22.42578125" customWidth="1"/>
    <col min="24" max="24" width="3.42578125" customWidth="1"/>
    <col min="25" max="25" width="22.42578125" customWidth="1"/>
    <col min="31" max="31" width="8.85546875" customWidth="1"/>
    <col min="32" max="32" width="4.85546875" customWidth="1"/>
    <col min="33" max="33" width="24.85546875" customWidth="1"/>
  </cols>
  <sheetData>
    <row r="1" spans="1:39" s="27" customFormat="1" ht="26.45" customHeight="1" thickBot="1">
      <c r="A1" s="140" t="s">
        <v>614</v>
      </c>
      <c r="B1" s="140"/>
      <c r="C1" s="140"/>
      <c r="D1" s="140"/>
      <c r="E1" s="140"/>
      <c r="F1" s="140"/>
      <c r="G1" s="140"/>
      <c r="H1" s="140"/>
      <c r="I1" s="140"/>
      <c r="J1" s="140"/>
      <c r="K1" s="140"/>
      <c r="L1" s="140"/>
      <c r="M1" s="140"/>
      <c r="N1" s="140"/>
      <c r="O1" s="140"/>
      <c r="P1" s="140"/>
      <c r="AG1" s="27" t="s">
        <v>615</v>
      </c>
    </row>
    <row r="2" spans="1:39" ht="13.5" customHeight="1">
      <c r="A2" s="9" t="s">
        <v>45</v>
      </c>
      <c r="B2" s="51"/>
      <c r="C2" s="51"/>
      <c r="D2" s="51"/>
      <c r="E2" s="51"/>
      <c r="F2" s="51"/>
      <c r="G2" s="51"/>
      <c r="H2" s="51"/>
      <c r="I2" s="51"/>
      <c r="J2" s="51"/>
      <c r="K2" s="51"/>
      <c r="L2" s="51"/>
      <c r="M2" s="51"/>
      <c r="N2" s="51"/>
      <c r="O2" s="51"/>
      <c r="P2" s="51"/>
    </row>
    <row r="3" spans="1:39" ht="13.5" customHeight="1">
      <c r="A3" s="10" t="s">
        <v>46</v>
      </c>
      <c r="B3" s="51"/>
      <c r="C3" s="51"/>
      <c r="D3" s="51"/>
      <c r="E3" s="51"/>
      <c r="F3" s="51"/>
      <c r="G3" s="51"/>
      <c r="H3" s="51"/>
      <c r="I3" s="51"/>
      <c r="J3" s="51"/>
      <c r="K3" s="51"/>
      <c r="L3" s="51"/>
      <c r="M3" s="51"/>
      <c r="N3" s="51"/>
      <c r="O3" s="51"/>
      <c r="P3" s="51"/>
    </row>
    <row r="4" spans="1:39" ht="13.5" customHeight="1">
      <c r="A4" s="11" t="s">
        <v>47</v>
      </c>
      <c r="B4" s="51"/>
      <c r="C4" s="51"/>
      <c r="D4" s="51"/>
      <c r="E4" s="51"/>
      <c r="F4" s="51"/>
      <c r="G4" s="51"/>
      <c r="H4" s="51"/>
      <c r="I4" s="51"/>
      <c r="J4" s="51"/>
      <c r="K4" s="51"/>
      <c r="L4" s="51"/>
      <c r="M4" s="51"/>
      <c r="N4" s="51"/>
      <c r="O4" s="51"/>
      <c r="P4" s="51"/>
    </row>
    <row r="5" spans="1:39" ht="13.5" customHeight="1">
      <c r="A5" s="12" t="s">
        <v>48</v>
      </c>
      <c r="B5" s="51"/>
      <c r="C5" s="51"/>
      <c r="D5" s="51"/>
      <c r="E5" s="51"/>
      <c r="F5" s="51"/>
      <c r="G5" s="51"/>
      <c r="H5" s="51"/>
      <c r="I5" s="51"/>
      <c r="J5" s="51"/>
      <c r="K5" s="51"/>
      <c r="L5" s="51"/>
      <c r="M5" s="51"/>
      <c r="N5" s="51"/>
      <c r="O5" s="51"/>
      <c r="P5" s="51"/>
    </row>
    <row r="6" spans="1:39" ht="13.5" customHeight="1" thickBot="1">
      <c r="A6" s="13" t="s">
        <v>49</v>
      </c>
      <c r="B6" s="51"/>
      <c r="C6" s="51"/>
      <c r="D6" s="51"/>
      <c r="E6" s="51"/>
      <c r="F6" s="51"/>
      <c r="G6" s="51"/>
      <c r="H6" s="51"/>
      <c r="I6" s="51"/>
      <c r="J6" s="51"/>
      <c r="K6" s="51"/>
      <c r="L6" s="51"/>
      <c r="M6" s="51"/>
      <c r="N6" s="51"/>
      <c r="O6" s="51"/>
      <c r="P6" s="51"/>
    </row>
    <row r="7" spans="1:39" ht="13.5" customHeight="1">
      <c r="A7" s="51"/>
      <c r="B7" s="51"/>
      <c r="C7" s="51"/>
      <c r="D7" s="51"/>
      <c r="E7" s="51"/>
      <c r="F7" s="51"/>
      <c r="G7" s="51"/>
      <c r="H7" s="51"/>
      <c r="I7" s="51"/>
      <c r="J7" s="51"/>
      <c r="K7" s="51"/>
      <c r="L7" s="51"/>
      <c r="M7" s="51"/>
      <c r="N7" s="51"/>
      <c r="O7" s="51"/>
      <c r="P7" s="51"/>
    </row>
    <row r="8" spans="1:39" ht="15" thickBot="1">
      <c r="A8" s="16" t="s">
        <v>616</v>
      </c>
      <c r="B8" s="15"/>
      <c r="C8" s="15"/>
      <c r="D8" s="15"/>
      <c r="E8" s="15"/>
      <c r="F8" s="15"/>
      <c r="G8" s="15"/>
      <c r="I8" s="16" t="s">
        <v>617</v>
      </c>
      <c r="J8" s="15"/>
      <c r="K8" s="15"/>
      <c r="L8" s="15"/>
      <c r="M8" s="15"/>
      <c r="N8" s="15"/>
      <c r="O8" s="15"/>
      <c r="Q8" s="16" t="s">
        <v>618</v>
      </c>
      <c r="R8" s="15"/>
      <c r="S8" s="15"/>
      <c r="T8" s="15"/>
      <c r="U8" s="15"/>
      <c r="V8" s="15"/>
      <c r="W8" s="15"/>
      <c r="Y8" s="16" t="s">
        <v>619</v>
      </c>
      <c r="Z8" s="15"/>
      <c r="AA8" s="15"/>
      <c r="AB8" s="15"/>
      <c r="AC8" s="15"/>
      <c r="AD8" s="15"/>
      <c r="AE8" s="15"/>
      <c r="AG8" s="16" t="s">
        <v>620</v>
      </c>
      <c r="AH8" s="15"/>
      <c r="AI8" s="15"/>
      <c r="AJ8" s="15"/>
      <c r="AK8" s="15"/>
      <c r="AL8" s="15"/>
      <c r="AM8" s="15"/>
    </row>
    <row r="9" spans="1:39" ht="15" thickBot="1">
      <c r="A9" s="17" t="s">
        <v>158</v>
      </c>
      <c r="B9" s="6" t="s">
        <v>5</v>
      </c>
      <c r="C9" s="7" t="s">
        <v>6</v>
      </c>
      <c r="D9" s="7" t="s">
        <v>7</v>
      </c>
      <c r="E9" s="7" t="s">
        <v>8</v>
      </c>
      <c r="F9" s="7" t="s">
        <v>9</v>
      </c>
      <c r="G9" s="8" t="s">
        <v>10</v>
      </c>
      <c r="I9" s="17" t="s">
        <v>158</v>
      </c>
      <c r="J9" s="6" t="s">
        <v>5</v>
      </c>
      <c r="K9" s="7" t="s">
        <v>6</v>
      </c>
      <c r="L9" s="7" t="s">
        <v>7</v>
      </c>
      <c r="M9" s="7" t="s">
        <v>8</v>
      </c>
      <c r="N9" s="7" t="s">
        <v>9</v>
      </c>
      <c r="O9" s="8" t="s">
        <v>10</v>
      </c>
      <c r="Q9" s="17" t="s">
        <v>158</v>
      </c>
      <c r="R9" s="6" t="s">
        <v>5</v>
      </c>
      <c r="S9" s="7" t="s">
        <v>6</v>
      </c>
      <c r="T9" s="7" t="s">
        <v>7</v>
      </c>
      <c r="U9" s="7" t="s">
        <v>8</v>
      </c>
      <c r="V9" s="7" t="s">
        <v>9</v>
      </c>
      <c r="W9" s="8" t="s">
        <v>10</v>
      </c>
      <c r="Y9" s="17" t="s">
        <v>158</v>
      </c>
      <c r="Z9" s="6" t="s">
        <v>5</v>
      </c>
      <c r="AA9" s="7" t="s">
        <v>6</v>
      </c>
      <c r="AB9" s="7" t="s">
        <v>7</v>
      </c>
      <c r="AC9" s="7" t="s">
        <v>8</v>
      </c>
      <c r="AD9" s="7" t="s">
        <v>9</v>
      </c>
      <c r="AE9" s="8" t="s">
        <v>10</v>
      </c>
      <c r="AG9" s="17" t="s">
        <v>158</v>
      </c>
      <c r="AH9" s="6" t="s">
        <v>5</v>
      </c>
      <c r="AI9" s="7" t="s">
        <v>6</v>
      </c>
      <c r="AJ9" s="7" t="s">
        <v>7</v>
      </c>
      <c r="AK9" s="7" t="s">
        <v>8</v>
      </c>
      <c r="AL9" s="7" t="s">
        <v>9</v>
      </c>
      <c r="AM9" s="8" t="s">
        <v>10</v>
      </c>
    </row>
    <row r="10" spans="1:39">
      <c r="A10" s="22" t="str">
        <f>HLOs!D8</f>
        <v xml:space="preserve">HLO 1.1.1: Demand signaling </v>
      </c>
      <c r="B10" s="5">
        <f>'1.Food_security'!D11*'Step B weights'!B$50</f>
        <v>0.25586673659371911</v>
      </c>
      <c r="C10" s="5">
        <f>'1.Food_security'!E11*'Step B weights'!C$50</f>
        <v>0.37399435561296718</v>
      </c>
      <c r="D10" s="5">
        <f>'1.Food_security'!F11*'Step B weights'!D$50</f>
        <v>0.80026403449778871</v>
      </c>
      <c r="E10" s="5">
        <f>'1.Food_security'!G11*'Step B weights'!E$50</f>
        <v>0.91710259455848409</v>
      </c>
      <c r="F10" s="5">
        <f>'1.Food_security'!H11*'Step B weights'!F$50</f>
        <v>1.7444759382830002</v>
      </c>
      <c r="G10" s="5">
        <f>'1.Food_security'!I11*'Step B weights'!G$50</f>
        <v>0.25719152811064105</v>
      </c>
      <c r="I10" s="21" t="str">
        <f>A10</f>
        <v xml:space="preserve">HLO 1.1.1: Demand signaling </v>
      </c>
      <c r="J10" s="5">
        <f>'2.Poverty_reduction'!D11*'Step B weights'!J$50</f>
        <v>0.1894644333706568</v>
      </c>
      <c r="K10" s="5">
        <f>'2.Poverty_reduction'!E11*'Step B weights'!K$50</f>
        <v>0.13523515745926148</v>
      </c>
      <c r="L10" s="5">
        <f>'2.Poverty_reduction'!F11*'Step B weights'!L$50</f>
        <v>1.3030213713380427</v>
      </c>
      <c r="M10" s="5">
        <f>'2.Poverty_reduction'!G11*'Step B weights'!M$50</f>
        <v>1.4767931247825137</v>
      </c>
      <c r="N10" s="5">
        <f>'2.Poverty_reduction'!H11*'Step B weights'!N$50</f>
        <v>0.86196112444639283</v>
      </c>
      <c r="O10" s="5">
        <f>'2.Poverty_reduction'!I11*'Step B weights'!O$50</f>
        <v>3.3524788603133036E-2</v>
      </c>
      <c r="Q10" s="21" t="str">
        <f>A10</f>
        <v xml:space="preserve">HLO 1.1.1: Demand signaling </v>
      </c>
      <c r="R10" s="5">
        <f>'3.Social_inclusion'!D11*'Step B weights'!R$50</f>
        <v>0.57779473483403276</v>
      </c>
      <c r="S10" s="5">
        <f>'3.Social_inclusion'!E11*'Step B weights'!S$50</f>
        <v>0.64128195345288064</v>
      </c>
      <c r="T10" s="5">
        <f>'3.Social_inclusion'!F11*'Step B weights'!T$50</f>
        <v>0.93918351774132003</v>
      </c>
      <c r="U10" s="5">
        <f>'3.Social_inclusion'!G11*'Step B weights'!U$50</f>
        <v>0.77832888210606643</v>
      </c>
      <c r="V10" s="5">
        <f>'3.Social_inclusion'!H11*'Step B weights'!V$50</f>
        <v>0.86646318199160621</v>
      </c>
      <c r="W10" s="5">
        <f>'3.Social_inclusion'!I11*'Step B weights'!W$50</f>
        <v>0.37024036627241513</v>
      </c>
      <c r="Y10" s="21" t="str">
        <f>A10</f>
        <v xml:space="preserve">HLO 1.1.1: Demand signaling </v>
      </c>
      <c r="Z10" s="5">
        <f>'4.Climate_adaptation'!D11*'Step B weights'!Z$50</f>
        <v>0.90299439468240106</v>
      </c>
      <c r="AA10" s="5">
        <f>'4.Climate_adaptation'!E11*'Step B weights'!AA$50</f>
        <v>0.24358607035618737</v>
      </c>
      <c r="AB10" s="5">
        <f>'4.Climate_adaptation'!F11*'Step B weights'!AB$50</f>
        <v>0.32788991732899719</v>
      </c>
      <c r="AC10" s="5">
        <f>'4.Climate_adaptation'!G11*'Step B weights'!AC$50</f>
        <v>0.49669025172606873</v>
      </c>
      <c r="AD10" s="5">
        <f>'4.Climate_adaptation'!H11*'Step B weights'!AD$50</f>
        <v>1.0506950064022005</v>
      </c>
      <c r="AE10" s="5">
        <f>'4.Climate_adaptation'!I11*'Step B weights'!AE$50</f>
        <v>0.97814435950414491</v>
      </c>
      <c r="AG10" s="21" t="str">
        <f>A10</f>
        <v xml:space="preserve">HLO 1.1.1: Demand signaling </v>
      </c>
      <c r="AH10" s="5">
        <f>'5.Environmental_health'!D11*'Step B weights'!AH$50</f>
        <v>0.90299439468240106</v>
      </c>
      <c r="AI10" s="5">
        <f>'5.Environmental_health'!E11*'Step B weights'!AI$50</f>
        <v>0.24358607035618737</v>
      </c>
      <c r="AJ10" s="5">
        <f>'5.Environmental_health'!F11*'Step B weights'!AJ$50</f>
        <v>0.32788991732899719</v>
      </c>
      <c r="AK10" s="5">
        <f>'5.Environmental_health'!G11*'Step B weights'!AK$50</f>
        <v>0.49669025172606873</v>
      </c>
      <c r="AL10" s="5">
        <f>'5.Environmental_health'!H11*'Step B weights'!AL$50</f>
        <v>1.3133687580027507</v>
      </c>
      <c r="AM10" s="5">
        <f>'5.Environmental_health'!I11*'Step B weights'!AM$50</f>
        <v>0.97814435950414491</v>
      </c>
    </row>
    <row r="11" spans="1:39">
      <c r="A11" s="22" t="str">
        <f>HLOs!D9</f>
        <v>HLO 1.1.2: Feedback and adaptive research and scaling prioritization</v>
      </c>
      <c r="B11" s="5">
        <f>'1.Food_security'!D12*'Step B weights'!B$50</f>
        <v>0.19190005244528935</v>
      </c>
      <c r="C11" s="5">
        <f>'1.Food_security'!E12*'Step B weights'!C$50</f>
        <v>0.28049576670972537</v>
      </c>
      <c r="D11" s="5">
        <f>'1.Food_security'!F12*'Step B weights'!D$50</f>
        <v>0.60019802587334148</v>
      </c>
      <c r="E11" s="5">
        <f>'1.Food_security'!G12*'Step B weights'!E$50</f>
        <v>0.68782694591886306</v>
      </c>
      <c r="F11" s="5">
        <f>'1.Food_security'!H12*'Step B weights'!F$50</f>
        <v>1.3955807506264002</v>
      </c>
      <c r="G11" s="5">
        <f>'1.Food_security'!I12*'Step B weights'!G$50</f>
        <v>0.19289364608298079</v>
      </c>
      <c r="I11" s="21" t="str">
        <f t="shared" ref="I11:I24" si="0">A11</f>
        <v>HLO 1.1.2: Feedback and adaptive research and scaling prioritization</v>
      </c>
      <c r="J11" s="5">
        <f>'2.Poverty_reduction'!D12*'Step B weights'!J$50</f>
        <v>0.14209832502799261</v>
      </c>
      <c r="K11" s="5">
        <f>'2.Poverty_reduction'!E12*'Step B weights'!K$50</f>
        <v>0.10142636809444611</v>
      </c>
      <c r="L11" s="5">
        <f>'2.Poverty_reduction'!F12*'Step B weights'!L$50</f>
        <v>0.97726602850353206</v>
      </c>
      <c r="M11" s="5">
        <f>'2.Poverty_reduction'!G12*'Step B weights'!M$50</f>
        <v>1.1075948435868852</v>
      </c>
      <c r="N11" s="5">
        <f>'2.Poverty_reduction'!H12*'Step B weights'!N$50</f>
        <v>0.86196112444639283</v>
      </c>
      <c r="O11" s="5">
        <f>'2.Poverty_reduction'!I12*'Step B weights'!O$50</f>
        <v>2.5143591452349776E-2</v>
      </c>
      <c r="Q11" s="21" t="str">
        <f t="shared" ref="Q11:Q24" si="1">A11</f>
        <v>HLO 1.1.2: Feedback and adaptive research and scaling prioritization</v>
      </c>
      <c r="R11" s="5">
        <f>'3.Social_inclusion'!D12*'Step B weights'!R$50</f>
        <v>0.4333460511255246</v>
      </c>
      <c r="S11" s="5">
        <f>'3.Social_inclusion'!E12*'Step B weights'!S$50</f>
        <v>0.48096146508966048</v>
      </c>
      <c r="T11" s="5">
        <f>'3.Social_inclusion'!F12*'Step B weights'!T$50</f>
        <v>0.70438763830599005</v>
      </c>
      <c r="U11" s="5">
        <f>'3.Social_inclusion'!G12*'Step B weights'!U$50</f>
        <v>0.5837466615795498</v>
      </c>
      <c r="V11" s="5">
        <f>'3.Social_inclusion'!H12*'Step B weights'!V$50</f>
        <v>0.69317054559328495</v>
      </c>
      <c r="W11" s="5">
        <f>'3.Social_inclusion'!I12*'Step B weights'!W$50</f>
        <v>0.27768027470431134</v>
      </c>
      <c r="Y11" s="21" t="str">
        <f t="shared" ref="Y11:Y24" si="2">A11</f>
        <v>HLO 1.1.2: Feedback and adaptive research and scaling prioritization</v>
      </c>
      <c r="Z11" s="5">
        <f>'4.Climate_adaptation'!D12*'Step B weights'!Z$50</f>
        <v>0.67724579601180079</v>
      </c>
      <c r="AA11" s="5">
        <f>'4.Climate_adaptation'!E12*'Step B weights'!AA$50</f>
        <v>0.18268955276714052</v>
      </c>
      <c r="AB11" s="5">
        <f>'4.Climate_adaptation'!F12*'Step B weights'!AB$50</f>
        <v>0.2459174379967479</v>
      </c>
      <c r="AC11" s="5">
        <f>'4.Climate_adaptation'!G12*'Step B weights'!AC$50</f>
        <v>0.37251768879455155</v>
      </c>
      <c r="AD11" s="5">
        <f>'4.Climate_adaptation'!H12*'Step B weights'!AD$50</f>
        <v>1.0506950064022005</v>
      </c>
      <c r="AE11" s="5">
        <f>'4.Climate_adaptation'!I12*'Step B weights'!AE$50</f>
        <v>0.73360826962810866</v>
      </c>
      <c r="AG11" s="21" t="str">
        <f t="shared" ref="AG11:AG24" si="3">A11</f>
        <v>HLO 1.1.2: Feedback and adaptive research and scaling prioritization</v>
      </c>
      <c r="AH11" s="5">
        <f>'5.Environmental_health'!D12*'Step B weights'!AH$50</f>
        <v>0.67724579601180079</v>
      </c>
      <c r="AI11" s="5">
        <f>'5.Environmental_health'!E12*'Step B weights'!AI$50</f>
        <v>0.18268955276714052</v>
      </c>
      <c r="AJ11" s="5">
        <f>'5.Environmental_health'!F12*'Step B weights'!AJ$50</f>
        <v>0.2459174379967479</v>
      </c>
      <c r="AK11" s="5">
        <f>'5.Environmental_health'!G12*'Step B weights'!AK$50</f>
        <v>0.37251768879455155</v>
      </c>
      <c r="AL11" s="5">
        <f>'5.Environmental_health'!H12*'Step B weights'!AL$50</f>
        <v>1.0506950064022005</v>
      </c>
      <c r="AM11" s="5">
        <f>'5.Environmental_health'!I12*'Step B weights'!AM$50</f>
        <v>0.73360826962810866</v>
      </c>
    </row>
    <row r="12" spans="1:39">
      <c r="A12" s="22" t="str">
        <f>HLOs!D10</f>
        <v>HLO 1.1.3: Enhance strategies and coordination</v>
      </c>
      <c r="B12" s="5">
        <f>'1.Food_security'!D13*'Step B weights'!B$50</f>
        <v>0.12793336829685956</v>
      </c>
      <c r="C12" s="5">
        <f>'1.Food_security'!E13*'Step B weights'!C$50</f>
        <v>0.18699717780648359</v>
      </c>
      <c r="D12" s="5">
        <f>'1.Food_security'!F13*'Step B weights'!D$50</f>
        <v>0.60019802587334148</v>
      </c>
      <c r="E12" s="5">
        <f>'1.Food_security'!G13*'Step B weights'!E$50</f>
        <v>0.68782694591886306</v>
      </c>
      <c r="F12" s="5">
        <f>'1.Food_security'!H13*'Step B weights'!F$50</f>
        <v>1.0466855629698002</v>
      </c>
      <c r="G12" s="5">
        <f>'1.Food_security'!I13*'Step B weights'!G$50</f>
        <v>0.12859576405532053</v>
      </c>
      <c r="I12" s="21" t="str">
        <f t="shared" si="0"/>
        <v>HLO 1.1.3: Enhance strategies and coordination</v>
      </c>
      <c r="J12" s="5">
        <f>'2.Poverty_reduction'!D13*'Step B weights'!J$50</f>
        <v>9.4732216685328399E-2</v>
      </c>
      <c r="K12" s="5">
        <f>'2.Poverty_reduction'!E13*'Step B weights'!K$50</f>
        <v>6.7617578729630742E-2</v>
      </c>
      <c r="L12" s="5">
        <f>'2.Poverty_reduction'!F13*'Step B weights'!L$50</f>
        <v>0.65151068566902137</v>
      </c>
      <c r="M12" s="5">
        <f>'2.Poverty_reduction'!G13*'Step B weights'!M$50</f>
        <v>1.1075948435868852</v>
      </c>
      <c r="N12" s="5">
        <f>'2.Poverty_reduction'!H13*'Step B weights'!N$50</f>
        <v>0.64647084333479465</v>
      </c>
      <c r="O12" s="5">
        <f>'2.Poverty_reduction'!I13*'Step B weights'!O$50</f>
        <v>1.6762394301566518E-2</v>
      </c>
      <c r="Q12" s="21" t="str">
        <f t="shared" si="1"/>
        <v>HLO 1.1.3: Enhance strategies and coordination</v>
      </c>
      <c r="R12" s="5">
        <f>'3.Social_inclusion'!D13*'Step B weights'!R$50</f>
        <v>0.28889736741701638</v>
      </c>
      <c r="S12" s="5">
        <f>'3.Social_inclusion'!E13*'Step B weights'!S$50</f>
        <v>0.32064097672644032</v>
      </c>
      <c r="T12" s="5">
        <f>'3.Social_inclusion'!F13*'Step B weights'!T$50</f>
        <v>0.70438763830599005</v>
      </c>
      <c r="U12" s="5">
        <f>'3.Social_inclusion'!G13*'Step B weights'!U$50</f>
        <v>0.38916444105303322</v>
      </c>
      <c r="V12" s="5">
        <f>'3.Social_inclusion'!H13*'Step B weights'!V$50</f>
        <v>0.51987790919496368</v>
      </c>
      <c r="W12" s="5">
        <f>'3.Social_inclusion'!I13*'Step B weights'!W$50</f>
        <v>0.18512018313620757</v>
      </c>
      <c r="Y12" s="21" t="str">
        <f t="shared" si="2"/>
        <v>HLO 1.1.3: Enhance strategies and coordination</v>
      </c>
      <c r="Z12" s="5">
        <f>'4.Climate_adaptation'!D13*'Step B weights'!Z$50</f>
        <v>0.45149719734120053</v>
      </c>
      <c r="AA12" s="5">
        <f>'4.Climate_adaptation'!E13*'Step B weights'!AA$50</f>
        <v>0.12179303517809369</v>
      </c>
      <c r="AB12" s="5">
        <f>'4.Climate_adaptation'!F13*'Step B weights'!AB$50</f>
        <v>0.1639449586644986</v>
      </c>
      <c r="AC12" s="5">
        <f>'4.Climate_adaptation'!G13*'Step B weights'!AC$50</f>
        <v>0.37251768879455155</v>
      </c>
      <c r="AD12" s="5">
        <f>'4.Climate_adaptation'!H13*'Step B weights'!AD$50</f>
        <v>0.78802125480165031</v>
      </c>
      <c r="AE12" s="5">
        <f>'4.Climate_adaptation'!I13*'Step B weights'!AE$50</f>
        <v>0.73360826962810866</v>
      </c>
      <c r="AG12" s="21" t="str">
        <f t="shared" si="3"/>
        <v>HLO 1.1.3: Enhance strategies and coordination</v>
      </c>
      <c r="AH12" s="5">
        <f>'5.Environmental_health'!D13*'Step B weights'!AH$50</f>
        <v>0.45149719734120053</v>
      </c>
      <c r="AI12" s="5">
        <f>'5.Environmental_health'!E13*'Step B weights'!AI$50</f>
        <v>0.12179303517809369</v>
      </c>
      <c r="AJ12" s="5">
        <f>'5.Environmental_health'!F13*'Step B weights'!AJ$50</f>
        <v>0.1639449586644986</v>
      </c>
      <c r="AK12" s="5">
        <f>'5.Environmental_health'!G13*'Step B weights'!AK$50</f>
        <v>0.37251768879455155</v>
      </c>
      <c r="AL12" s="5">
        <f>'5.Environmental_health'!H13*'Step B weights'!AL$50</f>
        <v>0.78802125480165031</v>
      </c>
      <c r="AM12" s="5">
        <f>'5.Environmental_health'!I13*'Step B weights'!AM$50</f>
        <v>0.48907217975207246</v>
      </c>
    </row>
    <row r="13" spans="1:39">
      <c r="A13" s="22" t="str">
        <f>HLOs!D11</f>
        <v xml:space="preserve">HLO 2.2.1: Innovation networks enhance agrifood system solution scaling </v>
      </c>
      <c r="B13" s="5">
        <f>'1.Food_security'!D14*'Step B weights'!B$50</f>
        <v>6.3966684148429778E-2</v>
      </c>
      <c r="C13" s="5">
        <f>'1.Food_security'!E14*'Step B weights'!C$50</f>
        <v>9.3498588903241794E-2</v>
      </c>
      <c r="D13" s="5">
        <f>'1.Food_security'!F14*'Step B weights'!D$50</f>
        <v>0.20006600862444718</v>
      </c>
      <c r="E13" s="5">
        <f>'1.Food_security'!G14*'Step B weights'!E$50</f>
        <v>0.22927564863962102</v>
      </c>
      <c r="F13" s="5">
        <f>'1.Food_security'!H14*'Step B weights'!F$50</f>
        <v>0.34889518765660005</v>
      </c>
      <c r="G13" s="5">
        <f>'1.Food_security'!I14*'Step B weights'!G$50</f>
        <v>6.4297882027660264E-2</v>
      </c>
      <c r="I13" s="21" t="str">
        <f t="shared" si="0"/>
        <v xml:space="preserve">HLO 2.2.1: Innovation networks enhance agrifood system solution scaling </v>
      </c>
      <c r="J13" s="5">
        <f>'2.Poverty_reduction'!D14*'Step B weights'!J$50</f>
        <v>4.73661083426642E-2</v>
      </c>
      <c r="K13" s="5">
        <f>'2.Poverty_reduction'!E14*'Step B weights'!K$50</f>
        <v>3.3808789364815371E-2</v>
      </c>
      <c r="L13" s="5">
        <f>'2.Poverty_reduction'!F14*'Step B weights'!L$50</f>
        <v>0.32575534283451069</v>
      </c>
      <c r="M13" s="5">
        <f>'2.Poverty_reduction'!G14*'Step B weights'!M$50</f>
        <v>0.36919828119562842</v>
      </c>
      <c r="N13" s="5">
        <f>'2.Poverty_reduction'!H14*'Step B weights'!N$50</f>
        <v>0.21549028111159821</v>
      </c>
      <c r="O13" s="5">
        <f>'2.Poverty_reduction'!I14*'Step B weights'!O$50</f>
        <v>8.3811971507832591E-3</v>
      </c>
      <c r="Q13" s="21" t="str">
        <f t="shared" si="1"/>
        <v xml:space="preserve">HLO 2.2.1: Innovation networks enhance agrifood system solution scaling </v>
      </c>
      <c r="R13" s="5">
        <f>'3.Social_inclusion'!D14*'Step B weights'!R$50</f>
        <v>0.14444868370850819</v>
      </c>
      <c r="S13" s="5">
        <f>'3.Social_inclusion'!E14*'Step B weights'!S$50</f>
        <v>0.16032048836322016</v>
      </c>
      <c r="T13" s="5">
        <f>'3.Social_inclusion'!F14*'Step B weights'!T$50</f>
        <v>0.23479587943533001</v>
      </c>
      <c r="U13" s="5">
        <f>'3.Social_inclusion'!G14*'Step B weights'!U$50</f>
        <v>0.19458222052651661</v>
      </c>
      <c r="V13" s="5">
        <f>'3.Social_inclusion'!H14*'Step B weights'!V$50</f>
        <v>0.17329263639832124</v>
      </c>
      <c r="W13" s="5">
        <f>'3.Social_inclusion'!I14*'Step B weights'!W$50</f>
        <v>9.2560091568103783E-2</v>
      </c>
      <c r="Y13" s="21" t="str">
        <f t="shared" si="2"/>
        <v xml:space="preserve">HLO 2.2.1: Innovation networks enhance agrifood system solution scaling </v>
      </c>
      <c r="Z13" s="5">
        <f>'4.Climate_adaptation'!D14*'Step B weights'!Z$50</f>
        <v>0.22574859867060026</v>
      </c>
      <c r="AA13" s="5">
        <f>'4.Climate_adaptation'!E14*'Step B weights'!AA$50</f>
        <v>6.0896517589046843E-2</v>
      </c>
      <c r="AB13" s="5">
        <f>'4.Climate_adaptation'!F14*'Step B weights'!AB$50</f>
        <v>8.1972479332249298E-2</v>
      </c>
      <c r="AC13" s="5">
        <f>'4.Climate_adaptation'!G14*'Step B weights'!AC$50</f>
        <v>0.12417256293151718</v>
      </c>
      <c r="AD13" s="5">
        <f>'4.Climate_adaptation'!H14*'Step B weights'!AD$50</f>
        <v>0.26267375160055012</v>
      </c>
      <c r="AE13" s="5">
        <f>'4.Climate_adaptation'!I14*'Step B weights'!AE$50</f>
        <v>0.24453608987603623</v>
      </c>
      <c r="AG13" s="21" t="str">
        <f t="shared" si="3"/>
        <v xml:space="preserve">HLO 2.2.1: Innovation networks enhance agrifood system solution scaling </v>
      </c>
      <c r="AH13" s="5">
        <f>'5.Environmental_health'!D14*'Step B weights'!AH$50</f>
        <v>0.22574859867060026</v>
      </c>
      <c r="AI13" s="5">
        <f>'5.Environmental_health'!E14*'Step B weights'!AI$50</f>
        <v>6.0896517589046843E-2</v>
      </c>
      <c r="AJ13" s="5">
        <f>'5.Environmental_health'!F14*'Step B weights'!AJ$50</f>
        <v>8.1972479332249298E-2</v>
      </c>
      <c r="AK13" s="5">
        <f>'5.Environmental_health'!G14*'Step B weights'!AK$50</f>
        <v>0.12417256293151718</v>
      </c>
      <c r="AL13" s="5">
        <f>'5.Environmental_health'!H14*'Step B weights'!AL$50</f>
        <v>0.26267375160055012</v>
      </c>
      <c r="AM13" s="5">
        <f>'5.Environmental_health'!I14*'Step B weights'!AM$50</f>
        <v>0.24453608987603623</v>
      </c>
    </row>
    <row r="14" spans="1:39">
      <c r="A14" s="22" t="str">
        <f>HLOs!D12</f>
        <v xml:space="preserve">HLO 2.2.2: Methods evaluating agrifood system solutions for scale </v>
      </c>
      <c r="B14" s="5">
        <f>'1.Food_security'!D15*'Step B weights'!B$50</f>
        <v>6.3966684148429778E-2</v>
      </c>
      <c r="C14" s="5">
        <f>'1.Food_security'!E15*'Step B weights'!C$50</f>
        <v>9.3498588903241794E-2</v>
      </c>
      <c r="D14" s="5">
        <f>'1.Food_security'!F15*'Step B weights'!D$50</f>
        <v>0.40013201724889436</v>
      </c>
      <c r="E14" s="5">
        <f>'1.Food_security'!G15*'Step B weights'!E$50</f>
        <v>0.45855129727924204</v>
      </c>
      <c r="F14" s="5">
        <f>'1.Food_security'!H15*'Step B weights'!F$50</f>
        <v>0.6977903753132001</v>
      </c>
      <c r="G14" s="5">
        <f>'1.Food_security'!I15*'Step B weights'!G$50</f>
        <v>6.4297882027660264E-2</v>
      </c>
      <c r="I14" s="21" t="str">
        <f t="shared" si="0"/>
        <v xml:space="preserve">HLO 2.2.2: Methods evaluating agrifood system solutions for scale </v>
      </c>
      <c r="J14" s="5">
        <f>'2.Poverty_reduction'!D15*'Step B weights'!J$50</f>
        <v>4.73661083426642E-2</v>
      </c>
      <c r="K14" s="5">
        <f>'2.Poverty_reduction'!E15*'Step B weights'!K$50</f>
        <v>3.3808789364815371E-2</v>
      </c>
      <c r="L14" s="5">
        <f>'2.Poverty_reduction'!F15*'Step B weights'!L$50</f>
        <v>0.65151068566902137</v>
      </c>
      <c r="M14" s="5">
        <f>'2.Poverty_reduction'!G15*'Step B weights'!M$50</f>
        <v>0.73839656239125684</v>
      </c>
      <c r="N14" s="5">
        <f>'2.Poverty_reduction'!H15*'Step B weights'!N$50</f>
        <v>0.43098056222319642</v>
      </c>
      <c r="O14" s="5">
        <f>'2.Poverty_reduction'!I15*'Step B weights'!O$50</f>
        <v>8.3811971507832591E-3</v>
      </c>
      <c r="Q14" s="21" t="str">
        <f t="shared" si="1"/>
        <v xml:space="preserve">HLO 2.2.2: Methods evaluating agrifood system solutions for scale </v>
      </c>
      <c r="R14" s="5">
        <f>'3.Social_inclusion'!D15*'Step B weights'!R$50</f>
        <v>0.14444868370850819</v>
      </c>
      <c r="S14" s="5">
        <f>'3.Social_inclusion'!E15*'Step B weights'!S$50</f>
        <v>0.16032048836322016</v>
      </c>
      <c r="T14" s="5">
        <f>'3.Social_inclusion'!F15*'Step B weights'!T$50</f>
        <v>0.46959175887066001</v>
      </c>
      <c r="U14" s="5">
        <f>'3.Social_inclusion'!G15*'Step B weights'!U$50</f>
        <v>0.38916444105303322</v>
      </c>
      <c r="V14" s="5">
        <f>'3.Social_inclusion'!H15*'Step B weights'!V$50</f>
        <v>0.34658527279664247</v>
      </c>
      <c r="W14" s="5">
        <f>'3.Social_inclusion'!I15*'Step B weights'!W$50</f>
        <v>9.2560091568103783E-2</v>
      </c>
      <c r="Y14" s="21" t="str">
        <f t="shared" si="2"/>
        <v xml:space="preserve">HLO 2.2.2: Methods evaluating agrifood system solutions for scale </v>
      </c>
      <c r="Z14" s="5">
        <f>'4.Climate_adaptation'!D15*'Step B weights'!Z$50</f>
        <v>0.22574859867060026</v>
      </c>
      <c r="AA14" s="5">
        <f>'4.Climate_adaptation'!E15*'Step B weights'!AA$50</f>
        <v>6.0896517589046843E-2</v>
      </c>
      <c r="AB14" s="5">
        <f>'4.Climate_adaptation'!F15*'Step B weights'!AB$50</f>
        <v>8.1972479332249298E-2</v>
      </c>
      <c r="AC14" s="5">
        <f>'4.Climate_adaptation'!G15*'Step B weights'!AC$50</f>
        <v>0.24834512586303437</v>
      </c>
      <c r="AD14" s="5">
        <f>'4.Climate_adaptation'!H15*'Step B weights'!AD$50</f>
        <v>0.52534750320110024</v>
      </c>
      <c r="AE14" s="5">
        <f>'4.Climate_adaptation'!I15*'Step B weights'!AE$50</f>
        <v>0.48907217975207246</v>
      </c>
      <c r="AG14" s="21" t="str">
        <f t="shared" si="3"/>
        <v xml:space="preserve">HLO 2.2.2: Methods evaluating agrifood system solutions for scale </v>
      </c>
      <c r="AH14" s="5">
        <f>'5.Environmental_health'!D15*'Step B weights'!AH$50</f>
        <v>0.22574859867060026</v>
      </c>
      <c r="AI14" s="5">
        <f>'5.Environmental_health'!E15*'Step B weights'!AI$50</f>
        <v>0.12179303517809369</v>
      </c>
      <c r="AJ14" s="5">
        <f>'5.Environmental_health'!F15*'Step B weights'!AJ$50</f>
        <v>8.1972479332249298E-2</v>
      </c>
      <c r="AK14" s="5">
        <f>'5.Environmental_health'!G15*'Step B weights'!AK$50</f>
        <v>0.24834512586303437</v>
      </c>
      <c r="AL14" s="5">
        <f>'5.Environmental_health'!H15*'Step B weights'!AL$50</f>
        <v>0.52534750320110024</v>
      </c>
      <c r="AM14" s="5">
        <f>'5.Environmental_health'!I15*'Step B weights'!AM$50</f>
        <v>0.48907217975207246</v>
      </c>
    </row>
    <row r="15" spans="1:39">
      <c r="A15" s="22" t="str">
        <f>HLOs!D13</f>
        <v xml:space="preserve">HLO 2.2.3: Scale-ready agrifood system solution bundles and packages </v>
      </c>
      <c r="B15" s="5">
        <f>'1.Food_security'!D16*'Step B weights'!B$50</f>
        <v>0.19190005244528935</v>
      </c>
      <c r="C15" s="5">
        <f>'1.Food_security'!E16*'Step B weights'!C$50</f>
        <v>0.28049576670972537</v>
      </c>
      <c r="D15" s="5">
        <f>'1.Food_security'!F16*'Step B weights'!D$50</f>
        <v>0.60019802587334148</v>
      </c>
      <c r="E15" s="5">
        <f>'1.Food_security'!G16*'Step B weights'!E$50</f>
        <v>0.68782694591886306</v>
      </c>
      <c r="F15" s="5">
        <f>'1.Food_security'!H16*'Step B weights'!F$50</f>
        <v>1.3955807506264002</v>
      </c>
      <c r="G15" s="5">
        <f>'1.Food_security'!I16*'Step B weights'!G$50</f>
        <v>0.19289364608298079</v>
      </c>
      <c r="I15" s="21" t="str">
        <f t="shared" si="0"/>
        <v xml:space="preserve">HLO 2.2.3: Scale-ready agrifood system solution bundles and packages </v>
      </c>
      <c r="J15" s="5">
        <f>'2.Poverty_reduction'!D16*'Step B weights'!J$50</f>
        <v>0.14209832502799261</v>
      </c>
      <c r="K15" s="5">
        <f>'2.Poverty_reduction'!E16*'Step B weights'!K$50</f>
        <v>0.10142636809444611</v>
      </c>
      <c r="L15" s="5">
        <f>'2.Poverty_reduction'!F16*'Step B weights'!L$50</f>
        <v>0.97726602850353206</v>
      </c>
      <c r="M15" s="5">
        <f>'2.Poverty_reduction'!G16*'Step B weights'!M$50</f>
        <v>1.1075948435868852</v>
      </c>
      <c r="N15" s="5">
        <f>'2.Poverty_reduction'!H16*'Step B weights'!N$50</f>
        <v>0.86196112444639283</v>
      </c>
      <c r="O15" s="5">
        <f>'2.Poverty_reduction'!I16*'Step B weights'!O$50</f>
        <v>2.5143591452349776E-2</v>
      </c>
      <c r="Q15" s="21" t="str">
        <f t="shared" si="1"/>
        <v xml:space="preserve">HLO 2.2.3: Scale-ready agrifood system solution bundles and packages </v>
      </c>
      <c r="R15" s="5">
        <f>'3.Social_inclusion'!D16*'Step B weights'!R$50</f>
        <v>0.4333460511255246</v>
      </c>
      <c r="S15" s="5">
        <f>'3.Social_inclusion'!E16*'Step B weights'!S$50</f>
        <v>0.48096146508966048</v>
      </c>
      <c r="T15" s="5">
        <f>'3.Social_inclusion'!F16*'Step B weights'!T$50</f>
        <v>0.70438763830599005</v>
      </c>
      <c r="U15" s="5">
        <f>'3.Social_inclusion'!G16*'Step B weights'!U$50</f>
        <v>0.5837466615795498</v>
      </c>
      <c r="V15" s="5">
        <f>'3.Social_inclusion'!H16*'Step B weights'!V$50</f>
        <v>0.69317054559328495</v>
      </c>
      <c r="W15" s="5">
        <f>'3.Social_inclusion'!I16*'Step B weights'!W$50</f>
        <v>0.27768027470431134</v>
      </c>
      <c r="Y15" s="21" t="str">
        <f t="shared" si="2"/>
        <v xml:space="preserve">HLO 2.2.3: Scale-ready agrifood system solution bundles and packages </v>
      </c>
      <c r="Z15" s="5">
        <f>'4.Climate_adaptation'!D16*'Step B weights'!Z$50</f>
        <v>0.67724579601180079</v>
      </c>
      <c r="AA15" s="5">
        <f>'4.Climate_adaptation'!E16*'Step B weights'!AA$50</f>
        <v>0.18268955276714052</v>
      </c>
      <c r="AB15" s="5">
        <f>'4.Climate_adaptation'!F16*'Step B weights'!AB$50</f>
        <v>0.2459174379967479</v>
      </c>
      <c r="AC15" s="5">
        <f>'4.Climate_adaptation'!G16*'Step B weights'!AC$50</f>
        <v>0.37251768879455155</v>
      </c>
      <c r="AD15" s="5">
        <f>'4.Climate_adaptation'!H16*'Step B weights'!AD$50</f>
        <v>1.0506950064022005</v>
      </c>
      <c r="AE15" s="5">
        <f>'4.Climate_adaptation'!I16*'Step B weights'!AE$50</f>
        <v>0.73360826962810866</v>
      </c>
      <c r="AG15" s="21" t="str">
        <f t="shared" si="3"/>
        <v xml:space="preserve">HLO 2.2.3: Scale-ready agrifood system solution bundles and packages </v>
      </c>
      <c r="AH15" s="5">
        <f>'5.Environmental_health'!D16*'Step B weights'!AH$50</f>
        <v>0.67724579601180079</v>
      </c>
      <c r="AI15" s="5">
        <f>'5.Environmental_health'!E16*'Step B weights'!AI$50</f>
        <v>0.18268955276714052</v>
      </c>
      <c r="AJ15" s="5">
        <f>'5.Environmental_health'!F16*'Step B weights'!AJ$50</f>
        <v>0.2459174379967479</v>
      </c>
      <c r="AK15" s="5">
        <f>'5.Environmental_health'!G16*'Step B weights'!AK$50</f>
        <v>0.37251768879455155</v>
      </c>
      <c r="AL15" s="5">
        <f>'5.Environmental_health'!H16*'Step B weights'!AL$50</f>
        <v>1.0506950064022005</v>
      </c>
      <c r="AM15" s="5">
        <f>'5.Environmental_health'!I16*'Step B weights'!AM$50</f>
        <v>0.73360826962810866</v>
      </c>
    </row>
    <row r="16" spans="1:39">
      <c r="A16" s="22" t="str">
        <f>HLOs!D14</f>
        <v xml:space="preserve">HLO 2.2.4: Agrifood system solution scaling strategies </v>
      </c>
      <c r="B16" s="5">
        <f>'1.Food_security'!D17*'Step B weights'!B$50</f>
        <v>0.25586673659371911</v>
      </c>
      <c r="C16" s="5">
        <f>'1.Food_security'!E17*'Step B weights'!C$50</f>
        <v>0.37399435561296718</v>
      </c>
      <c r="D16" s="5">
        <f>'1.Food_security'!F17*'Step B weights'!D$50</f>
        <v>0.80026403449778871</v>
      </c>
      <c r="E16" s="5">
        <f>'1.Food_security'!G17*'Step B weights'!E$50</f>
        <v>0.91710259455848409</v>
      </c>
      <c r="F16" s="5">
        <f>'1.Food_security'!H17*'Step B weights'!F$50</f>
        <v>1.7444759382830002</v>
      </c>
      <c r="G16" s="5">
        <f>'1.Food_security'!I17*'Step B weights'!G$50</f>
        <v>0.25719152811064105</v>
      </c>
      <c r="I16" s="21" t="str">
        <f t="shared" si="0"/>
        <v xml:space="preserve">HLO 2.2.4: Agrifood system solution scaling strategies </v>
      </c>
      <c r="J16" s="5">
        <f>'2.Poverty_reduction'!D17*'Step B weights'!J$50</f>
        <v>0.1894644333706568</v>
      </c>
      <c r="K16" s="5">
        <f>'2.Poverty_reduction'!E17*'Step B weights'!K$50</f>
        <v>0.13523515745926148</v>
      </c>
      <c r="L16" s="5">
        <f>'2.Poverty_reduction'!F17*'Step B weights'!L$50</f>
        <v>1.3030213713380427</v>
      </c>
      <c r="M16" s="5">
        <f>'2.Poverty_reduction'!G17*'Step B weights'!M$50</f>
        <v>1.4767931247825137</v>
      </c>
      <c r="N16" s="5">
        <f>'2.Poverty_reduction'!H17*'Step B weights'!N$50</f>
        <v>0.86196112444639283</v>
      </c>
      <c r="O16" s="5">
        <f>'2.Poverty_reduction'!I17*'Step B weights'!O$50</f>
        <v>3.3524788603133036E-2</v>
      </c>
      <c r="Q16" s="21" t="str">
        <f t="shared" si="1"/>
        <v xml:space="preserve">HLO 2.2.4: Agrifood system solution scaling strategies </v>
      </c>
      <c r="R16" s="5">
        <f>'3.Social_inclusion'!D17*'Step B weights'!R$50</f>
        <v>0.57779473483403276</v>
      </c>
      <c r="S16" s="5">
        <f>'3.Social_inclusion'!E17*'Step B weights'!S$50</f>
        <v>0.64128195345288064</v>
      </c>
      <c r="T16" s="5">
        <f>'3.Social_inclusion'!F17*'Step B weights'!T$50</f>
        <v>0.93918351774132003</v>
      </c>
      <c r="U16" s="5">
        <f>'3.Social_inclusion'!G17*'Step B weights'!U$50</f>
        <v>0.77832888210606643</v>
      </c>
      <c r="V16" s="5">
        <f>'3.Social_inclusion'!H17*'Step B weights'!V$50</f>
        <v>0.86646318199160621</v>
      </c>
      <c r="W16" s="5">
        <f>'3.Social_inclusion'!I17*'Step B weights'!W$50</f>
        <v>0.37024036627241513</v>
      </c>
      <c r="Y16" s="21" t="str">
        <f t="shared" si="2"/>
        <v xml:space="preserve">HLO 2.2.4: Agrifood system solution scaling strategies </v>
      </c>
      <c r="Z16" s="5">
        <f>'4.Climate_adaptation'!D17*'Step B weights'!Z$50</f>
        <v>0.90299439468240106</v>
      </c>
      <c r="AA16" s="5">
        <f>'4.Climate_adaptation'!E17*'Step B weights'!AA$50</f>
        <v>0.24358607035618737</v>
      </c>
      <c r="AB16" s="5">
        <f>'4.Climate_adaptation'!F17*'Step B weights'!AB$50</f>
        <v>0.32788991732899719</v>
      </c>
      <c r="AC16" s="5">
        <f>'4.Climate_adaptation'!G17*'Step B weights'!AC$50</f>
        <v>0.49669025172606873</v>
      </c>
      <c r="AD16" s="5">
        <f>'4.Climate_adaptation'!H17*'Step B weights'!AD$50</f>
        <v>1.0506950064022005</v>
      </c>
      <c r="AE16" s="5">
        <f>'4.Climate_adaptation'!I17*'Step B weights'!AE$50</f>
        <v>0.97814435950414491</v>
      </c>
      <c r="AG16" s="21" t="str">
        <f t="shared" si="3"/>
        <v xml:space="preserve">HLO 2.2.4: Agrifood system solution scaling strategies </v>
      </c>
      <c r="AH16" s="5">
        <f>'5.Environmental_health'!D17*'Step B weights'!AH$50</f>
        <v>0.90299439468240106</v>
      </c>
      <c r="AI16" s="5">
        <f>'5.Environmental_health'!E17*'Step B weights'!AI$50</f>
        <v>0.24358607035618737</v>
      </c>
      <c r="AJ16" s="5">
        <f>'5.Environmental_health'!F17*'Step B weights'!AJ$50</f>
        <v>0.32788991732899719</v>
      </c>
      <c r="AK16" s="5">
        <f>'5.Environmental_health'!G17*'Step B weights'!AK$50</f>
        <v>0.49669025172606873</v>
      </c>
      <c r="AL16" s="5">
        <f>'5.Environmental_health'!H17*'Step B weights'!AL$50</f>
        <v>1.3133687580027507</v>
      </c>
      <c r="AM16" s="5">
        <f>'5.Environmental_health'!I17*'Step B weights'!AM$50</f>
        <v>0.97814435950414491</v>
      </c>
    </row>
    <row r="17" spans="1:39">
      <c r="A17" s="22" t="str">
        <f>HLOs!D15</f>
        <v xml:space="preserve">HLO 3.3.1: Enabling environment diagnostics </v>
      </c>
      <c r="B17" s="5">
        <f>'1.Food_security'!D18*'Step B weights'!B$50</f>
        <v>0.12793336829685956</v>
      </c>
      <c r="C17" s="5">
        <f>'1.Food_security'!E18*'Step B weights'!C$50</f>
        <v>0.18699717780648359</v>
      </c>
      <c r="D17" s="5">
        <f>'1.Food_security'!F18*'Step B weights'!D$50</f>
        <v>0.60019802587334148</v>
      </c>
      <c r="E17" s="5">
        <f>'1.Food_security'!G18*'Step B weights'!E$50</f>
        <v>0.68782694591886306</v>
      </c>
      <c r="F17" s="5">
        <f>'1.Food_security'!H18*'Step B weights'!F$50</f>
        <v>1.0466855629698002</v>
      </c>
      <c r="G17" s="5">
        <f>'1.Food_security'!I18*'Step B weights'!G$50</f>
        <v>0.12859576405532053</v>
      </c>
      <c r="I17" s="21" t="str">
        <f t="shared" si="0"/>
        <v xml:space="preserve">HLO 3.3.1: Enabling environment diagnostics </v>
      </c>
      <c r="J17" s="5">
        <f>'2.Poverty_reduction'!D18*'Step B weights'!J$50</f>
        <v>9.4732216685328399E-2</v>
      </c>
      <c r="K17" s="5">
        <f>'2.Poverty_reduction'!E18*'Step B weights'!K$50</f>
        <v>6.7617578729630742E-2</v>
      </c>
      <c r="L17" s="5">
        <f>'2.Poverty_reduction'!F18*'Step B weights'!L$50</f>
        <v>0.65151068566902137</v>
      </c>
      <c r="M17" s="5">
        <f>'2.Poverty_reduction'!G18*'Step B weights'!M$50</f>
        <v>1.1075948435868852</v>
      </c>
      <c r="N17" s="5">
        <f>'2.Poverty_reduction'!H18*'Step B weights'!N$50</f>
        <v>0.64647084333479465</v>
      </c>
      <c r="O17" s="5">
        <f>'2.Poverty_reduction'!I18*'Step B weights'!O$50</f>
        <v>1.6762394301566518E-2</v>
      </c>
      <c r="Q17" s="21" t="str">
        <f t="shared" si="1"/>
        <v xml:space="preserve">HLO 3.3.1: Enabling environment diagnostics </v>
      </c>
      <c r="R17" s="5">
        <f>'3.Social_inclusion'!D18*'Step B weights'!R$50</f>
        <v>0.28889736741701638</v>
      </c>
      <c r="S17" s="5">
        <f>'3.Social_inclusion'!E18*'Step B weights'!S$50</f>
        <v>0.32064097672644032</v>
      </c>
      <c r="T17" s="5">
        <f>'3.Social_inclusion'!F18*'Step B weights'!T$50</f>
        <v>0.70438763830599005</v>
      </c>
      <c r="U17" s="5">
        <f>'3.Social_inclusion'!G18*'Step B weights'!U$50</f>
        <v>0.38916444105303322</v>
      </c>
      <c r="V17" s="5">
        <f>'3.Social_inclusion'!H18*'Step B weights'!V$50</f>
        <v>0.51987790919496368</v>
      </c>
      <c r="W17" s="5">
        <f>'3.Social_inclusion'!I18*'Step B weights'!W$50</f>
        <v>0.18512018313620757</v>
      </c>
      <c r="Y17" s="21" t="str">
        <f t="shared" si="2"/>
        <v xml:space="preserve">HLO 3.3.1: Enabling environment diagnostics </v>
      </c>
      <c r="Z17" s="5">
        <f>'4.Climate_adaptation'!D18*'Step B weights'!Z$50</f>
        <v>0.45149719734120053</v>
      </c>
      <c r="AA17" s="5">
        <f>'4.Climate_adaptation'!E18*'Step B weights'!AA$50</f>
        <v>0.12179303517809369</v>
      </c>
      <c r="AB17" s="5">
        <f>'4.Climate_adaptation'!F18*'Step B weights'!AB$50</f>
        <v>0.1639449586644986</v>
      </c>
      <c r="AC17" s="5">
        <f>'4.Climate_adaptation'!G18*'Step B weights'!AC$50</f>
        <v>0.37251768879455155</v>
      </c>
      <c r="AD17" s="5">
        <f>'4.Climate_adaptation'!H18*'Step B weights'!AD$50</f>
        <v>0.78802125480165031</v>
      </c>
      <c r="AE17" s="5">
        <f>'4.Climate_adaptation'!I18*'Step B weights'!AE$50</f>
        <v>0.73360826962810866</v>
      </c>
      <c r="AG17" s="21" t="str">
        <f t="shared" si="3"/>
        <v xml:space="preserve">HLO 3.3.1: Enabling environment diagnostics </v>
      </c>
      <c r="AH17" s="5">
        <f>'5.Environmental_health'!D18*'Step B weights'!AH$50</f>
        <v>0.45149719734120053</v>
      </c>
      <c r="AI17" s="5">
        <f>'5.Environmental_health'!E18*'Step B weights'!AI$50</f>
        <v>0.12179303517809369</v>
      </c>
      <c r="AJ17" s="5">
        <f>'5.Environmental_health'!F18*'Step B weights'!AJ$50</f>
        <v>0.1639449586644986</v>
      </c>
      <c r="AK17" s="5">
        <f>'5.Environmental_health'!G18*'Step B weights'!AK$50</f>
        <v>0.37251768879455155</v>
      </c>
      <c r="AL17" s="5">
        <f>'5.Environmental_health'!H18*'Step B weights'!AL$50</f>
        <v>0.78802125480165031</v>
      </c>
      <c r="AM17" s="5">
        <f>'5.Environmental_health'!I18*'Step B weights'!AM$50</f>
        <v>0.48907217975207246</v>
      </c>
    </row>
    <row r="18" spans="1:39">
      <c r="A18" s="22" t="str">
        <f>HLOs!D16</f>
        <v xml:space="preserve">HLO 3.3.2: Scaling support services for enabling 
environments and institutions </v>
      </c>
      <c r="B18" s="5">
        <f>'1.Food_security'!D19*'Step B weights'!B$50</f>
        <v>0.19190005244528935</v>
      </c>
      <c r="C18" s="5">
        <f>'1.Food_security'!E19*'Step B weights'!C$50</f>
        <v>0.28049576670972537</v>
      </c>
      <c r="D18" s="5">
        <f>'1.Food_security'!F19*'Step B weights'!D$50</f>
        <v>0.60019802587334148</v>
      </c>
      <c r="E18" s="5">
        <f>'1.Food_security'!G19*'Step B weights'!E$50</f>
        <v>0.68782694591886306</v>
      </c>
      <c r="F18" s="5">
        <f>'1.Food_security'!H19*'Step B weights'!F$50</f>
        <v>1.3955807506264002</v>
      </c>
      <c r="G18" s="5">
        <f>'1.Food_security'!I19*'Step B weights'!G$50</f>
        <v>0.19289364608298079</v>
      </c>
      <c r="I18" s="21" t="str">
        <f t="shared" si="0"/>
        <v xml:space="preserve">HLO 3.3.2: Scaling support services for enabling 
environments and institutions </v>
      </c>
      <c r="J18" s="5">
        <f>'2.Poverty_reduction'!D19*'Step B weights'!J$50</f>
        <v>0.14209832502799261</v>
      </c>
      <c r="K18" s="5">
        <f>'2.Poverty_reduction'!E19*'Step B weights'!K$50</f>
        <v>0.10142636809444611</v>
      </c>
      <c r="L18" s="5">
        <f>'2.Poverty_reduction'!F19*'Step B weights'!L$50</f>
        <v>0.97726602850353206</v>
      </c>
      <c r="M18" s="5">
        <f>'2.Poverty_reduction'!G19*'Step B weights'!M$50</f>
        <v>1.1075948435868852</v>
      </c>
      <c r="N18" s="5">
        <f>'2.Poverty_reduction'!H19*'Step B weights'!N$50</f>
        <v>0.86196112444639283</v>
      </c>
      <c r="O18" s="5">
        <f>'2.Poverty_reduction'!I19*'Step B weights'!O$50</f>
        <v>2.5143591452349776E-2</v>
      </c>
      <c r="Q18" s="21" t="str">
        <f t="shared" si="1"/>
        <v xml:space="preserve">HLO 3.3.2: Scaling support services for enabling 
environments and institutions </v>
      </c>
      <c r="R18" s="5">
        <f>'3.Social_inclusion'!D19*'Step B weights'!R$50</f>
        <v>0.4333460511255246</v>
      </c>
      <c r="S18" s="5">
        <f>'3.Social_inclusion'!E19*'Step B weights'!S$50</f>
        <v>0.48096146508966048</v>
      </c>
      <c r="T18" s="5">
        <f>'3.Social_inclusion'!F19*'Step B weights'!T$50</f>
        <v>0.70438763830599005</v>
      </c>
      <c r="U18" s="5">
        <f>'3.Social_inclusion'!G19*'Step B weights'!U$50</f>
        <v>0.5837466615795498</v>
      </c>
      <c r="V18" s="5">
        <f>'3.Social_inclusion'!H19*'Step B weights'!V$50</f>
        <v>0.69317054559328495</v>
      </c>
      <c r="W18" s="5">
        <f>'3.Social_inclusion'!I19*'Step B weights'!W$50</f>
        <v>0.27768027470431134</v>
      </c>
      <c r="Y18" s="21" t="str">
        <f t="shared" si="2"/>
        <v xml:space="preserve">HLO 3.3.2: Scaling support services for enabling 
environments and institutions </v>
      </c>
      <c r="Z18" s="5">
        <f>'4.Climate_adaptation'!D19*'Step B weights'!Z$50</f>
        <v>0.67724579601180079</v>
      </c>
      <c r="AA18" s="5">
        <f>'4.Climate_adaptation'!E19*'Step B weights'!AA$50</f>
        <v>0.18268955276714052</v>
      </c>
      <c r="AB18" s="5">
        <f>'4.Climate_adaptation'!F19*'Step B weights'!AB$50</f>
        <v>0.2459174379967479</v>
      </c>
      <c r="AC18" s="5">
        <f>'4.Climate_adaptation'!G19*'Step B weights'!AC$50</f>
        <v>0.37251768879455155</v>
      </c>
      <c r="AD18" s="5">
        <f>'4.Climate_adaptation'!H19*'Step B weights'!AD$50</f>
        <v>1.0506950064022005</v>
      </c>
      <c r="AE18" s="5">
        <f>'4.Climate_adaptation'!I19*'Step B weights'!AE$50</f>
        <v>0.73360826962810866</v>
      </c>
      <c r="AG18" s="21" t="str">
        <f t="shared" si="3"/>
        <v xml:space="preserve">HLO 3.3.2: Scaling support services for enabling 
environments and institutions </v>
      </c>
      <c r="AH18" s="5">
        <f>'5.Environmental_health'!D19*'Step B weights'!AH$50</f>
        <v>0.67724579601180079</v>
      </c>
      <c r="AI18" s="5">
        <f>'5.Environmental_health'!E19*'Step B weights'!AI$50</f>
        <v>0.18268955276714052</v>
      </c>
      <c r="AJ18" s="5">
        <f>'5.Environmental_health'!F19*'Step B weights'!AJ$50</f>
        <v>0.2459174379967479</v>
      </c>
      <c r="AK18" s="5">
        <f>'5.Environmental_health'!G19*'Step B weights'!AK$50</f>
        <v>0.37251768879455155</v>
      </c>
      <c r="AL18" s="5">
        <f>'5.Environmental_health'!H19*'Step B weights'!AL$50</f>
        <v>1.0506950064022005</v>
      </c>
      <c r="AM18" s="5">
        <f>'5.Environmental_health'!I19*'Step B weights'!AM$50</f>
        <v>0.73360826962810866</v>
      </c>
    </row>
    <row r="19" spans="1:39">
      <c r="A19" s="22" t="str">
        <f>HLOs!D17</f>
        <v xml:space="preserve">HLO 3.3.3: Science-policy partnership interfaces for responsible scaling </v>
      </c>
      <c r="B19" s="5">
        <f>'1.Food_security'!D20*'Step B weights'!B$50</f>
        <v>6.3966684148429778E-2</v>
      </c>
      <c r="C19" s="5">
        <f>'1.Food_security'!E20*'Step B weights'!C$50</f>
        <v>9.3498588903241794E-2</v>
      </c>
      <c r="D19" s="5">
        <f>'1.Food_security'!F20*'Step B weights'!D$50</f>
        <v>0.40013201724889436</v>
      </c>
      <c r="E19" s="5">
        <f>'1.Food_security'!G20*'Step B weights'!E$50</f>
        <v>0.45855129727924204</v>
      </c>
      <c r="F19" s="5">
        <f>'1.Food_security'!H20*'Step B weights'!F$50</f>
        <v>0.6977903753132001</v>
      </c>
      <c r="G19" s="5">
        <f>'1.Food_security'!I20*'Step B weights'!G$50</f>
        <v>6.4297882027660264E-2</v>
      </c>
      <c r="I19" s="21" t="str">
        <f t="shared" si="0"/>
        <v xml:space="preserve">HLO 3.3.3: Science-policy partnership interfaces for responsible scaling </v>
      </c>
      <c r="J19" s="5">
        <f>'2.Poverty_reduction'!D20*'Step B weights'!J$50</f>
        <v>4.73661083426642E-2</v>
      </c>
      <c r="K19" s="5">
        <f>'2.Poverty_reduction'!E20*'Step B weights'!K$50</f>
        <v>3.3808789364815371E-2</v>
      </c>
      <c r="L19" s="5">
        <f>'2.Poverty_reduction'!F20*'Step B weights'!L$50</f>
        <v>0.65151068566902137</v>
      </c>
      <c r="M19" s="5">
        <f>'2.Poverty_reduction'!G20*'Step B weights'!M$50</f>
        <v>0.73839656239125684</v>
      </c>
      <c r="N19" s="5">
        <f>'2.Poverty_reduction'!H20*'Step B weights'!N$50</f>
        <v>0.43098056222319642</v>
      </c>
      <c r="O19" s="5">
        <f>'2.Poverty_reduction'!I20*'Step B weights'!O$50</f>
        <v>8.3811971507832591E-3</v>
      </c>
      <c r="Q19" s="21" t="str">
        <f t="shared" si="1"/>
        <v xml:space="preserve">HLO 3.3.3: Science-policy partnership interfaces for responsible scaling </v>
      </c>
      <c r="R19" s="5">
        <f>'3.Social_inclusion'!D20*'Step B weights'!R$50</f>
        <v>0.14444868370850819</v>
      </c>
      <c r="S19" s="5">
        <f>'3.Social_inclusion'!E20*'Step B weights'!S$50</f>
        <v>0.16032048836322016</v>
      </c>
      <c r="T19" s="5">
        <f>'3.Social_inclusion'!F20*'Step B weights'!T$50</f>
        <v>0.46959175887066001</v>
      </c>
      <c r="U19" s="5">
        <f>'3.Social_inclusion'!G20*'Step B weights'!U$50</f>
        <v>0.38916444105303322</v>
      </c>
      <c r="V19" s="5">
        <f>'3.Social_inclusion'!H20*'Step B weights'!V$50</f>
        <v>0.34658527279664247</v>
      </c>
      <c r="W19" s="5">
        <f>'3.Social_inclusion'!I20*'Step B weights'!W$50</f>
        <v>9.2560091568103783E-2</v>
      </c>
      <c r="Y19" s="21" t="str">
        <f t="shared" si="2"/>
        <v xml:space="preserve">HLO 3.3.3: Science-policy partnership interfaces for responsible scaling </v>
      </c>
      <c r="Z19" s="5">
        <f>'4.Climate_adaptation'!D20*'Step B weights'!Z$50</f>
        <v>0.22574859867060026</v>
      </c>
      <c r="AA19" s="5">
        <f>'4.Climate_adaptation'!E20*'Step B weights'!AA$50</f>
        <v>6.0896517589046843E-2</v>
      </c>
      <c r="AB19" s="5">
        <f>'4.Climate_adaptation'!F20*'Step B weights'!AB$50</f>
        <v>8.1972479332249298E-2</v>
      </c>
      <c r="AC19" s="5">
        <f>'4.Climate_adaptation'!G20*'Step B weights'!AC$50</f>
        <v>0.24834512586303437</v>
      </c>
      <c r="AD19" s="5">
        <f>'4.Climate_adaptation'!H20*'Step B weights'!AD$50</f>
        <v>0.52534750320110024</v>
      </c>
      <c r="AE19" s="5">
        <f>'4.Climate_adaptation'!I20*'Step B weights'!AE$50</f>
        <v>0.48907217975207246</v>
      </c>
      <c r="AG19" s="21" t="str">
        <f t="shared" si="3"/>
        <v xml:space="preserve">HLO 3.3.3: Science-policy partnership interfaces for responsible scaling </v>
      </c>
      <c r="AH19" s="5">
        <f>'5.Environmental_health'!D20*'Step B weights'!AH$50</f>
        <v>0.22574859867060026</v>
      </c>
      <c r="AI19" s="5">
        <f>'5.Environmental_health'!E20*'Step B weights'!AI$50</f>
        <v>0.12179303517809369</v>
      </c>
      <c r="AJ19" s="5">
        <f>'5.Environmental_health'!F20*'Step B weights'!AJ$50</f>
        <v>8.1972479332249298E-2</v>
      </c>
      <c r="AK19" s="5">
        <f>'5.Environmental_health'!G20*'Step B weights'!AK$50</f>
        <v>0.24834512586303437</v>
      </c>
      <c r="AL19" s="5">
        <f>'5.Environmental_health'!H20*'Step B weights'!AL$50</f>
        <v>0.52534750320110024</v>
      </c>
      <c r="AM19" s="5">
        <f>'5.Environmental_health'!I20*'Step B weights'!AM$50</f>
        <v>0.48907217975207246</v>
      </c>
    </row>
    <row r="20" spans="1:39">
      <c r="A20" s="22" t="str">
        <f>HLOs!D18</f>
        <v>HLO 4.4.1: CGIAR Expertise and Solutions Embedded in Development Investments and Partnerships</v>
      </c>
      <c r="B20" s="5">
        <f>'1.Food_security'!D21*'Step B weights'!B$50</f>
        <v>0.25586673659371911</v>
      </c>
      <c r="C20" s="5">
        <f>'1.Food_security'!E21*'Step B weights'!C$50</f>
        <v>0.37399435561296718</v>
      </c>
      <c r="D20" s="5">
        <f>'1.Food_security'!F21*'Step B weights'!D$50</f>
        <v>0.80026403449778871</v>
      </c>
      <c r="E20" s="5">
        <f>'1.Food_security'!G21*'Step B weights'!E$50</f>
        <v>0.91710259455848409</v>
      </c>
      <c r="F20" s="5">
        <f>'1.Food_security'!H21*'Step B weights'!F$50</f>
        <v>1.7444759382830002</v>
      </c>
      <c r="G20" s="5">
        <f>'1.Food_security'!I21*'Step B weights'!G$50</f>
        <v>0.25719152811064105</v>
      </c>
      <c r="I20" s="21" t="str">
        <f t="shared" si="0"/>
        <v>HLO 4.4.1: CGIAR Expertise and Solutions Embedded in Development Investments and Partnerships</v>
      </c>
      <c r="J20" s="5">
        <f>'2.Poverty_reduction'!D21*'Step B weights'!J$50</f>
        <v>0.1894644333706568</v>
      </c>
      <c r="K20" s="5">
        <f>'2.Poverty_reduction'!E21*'Step B weights'!K$50</f>
        <v>0.13523515745926148</v>
      </c>
      <c r="L20" s="5">
        <f>'2.Poverty_reduction'!F21*'Step B weights'!L$50</f>
        <v>1.3030213713380427</v>
      </c>
      <c r="M20" s="5">
        <f>'2.Poverty_reduction'!G21*'Step B weights'!M$50</f>
        <v>1.4767931247825137</v>
      </c>
      <c r="N20" s="5">
        <f>'2.Poverty_reduction'!H21*'Step B weights'!N$50</f>
        <v>0.86196112444639283</v>
      </c>
      <c r="O20" s="5">
        <f>'2.Poverty_reduction'!I21*'Step B weights'!O$50</f>
        <v>3.3524788603133036E-2</v>
      </c>
      <c r="Q20" s="21" t="str">
        <f t="shared" si="1"/>
        <v>HLO 4.4.1: CGIAR Expertise and Solutions Embedded in Development Investments and Partnerships</v>
      </c>
      <c r="R20" s="5">
        <f>'3.Social_inclusion'!D21*'Step B weights'!R$50</f>
        <v>0.57779473483403276</v>
      </c>
      <c r="S20" s="5">
        <f>'3.Social_inclusion'!E21*'Step B weights'!S$50</f>
        <v>0.64128195345288064</v>
      </c>
      <c r="T20" s="5">
        <f>'3.Social_inclusion'!F21*'Step B weights'!T$50</f>
        <v>0.93918351774132003</v>
      </c>
      <c r="U20" s="5">
        <f>'3.Social_inclusion'!G21*'Step B weights'!U$50</f>
        <v>0.77832888210606643</v>
      </c>
      <c r="V20" s="5">
        <f>'3.Social_inclusion'!H21*'Step B weights'!V$50</f>
        <v>0.86646318199160621</v>
      </c>
      <c r="W20" s="5">
        <f>'3.Social_inclusion'!I21*'Step B weights'!W$50</f>
        <v>0.37024036627241513</v>
      </c>
      <c r="Y20" s="21" t="str">
        <f t="shared" si="2"/>
        <v>HLO 4.4.1: CGIAR Expertise and Solutions Embedded in Development Investments and Partnerships</v>
      </c>
      <c r="Z20" s="5">
        <f>'4.Climate_adaptation'!D21*'Step B weights'!Z$50</f>
        <v>0.90299439468240106</v>
      </c>
      <c r="AA20" s="5">
        <f>'4.Climate_adaptation'!E21*'Step B weights'!AA$50</f>
        <v>0.24358607035618737</v>
      </c>
      <c r="AB20" s="5">
        <f>'4.Climate_adaptation'!F21*'Step B weights'!AB$50</f>
        <v>0.32788991732899719</v>
      </c>
      <c r="AC20" s="5">
        <f>'4.Climate_adaptation'!G21*'Step B weights'!AC$50</f>
        <v>0.49669025172606873</v>
      </c>
      <c r="AD20" s="5">
        <f>'4.Climate_adaptation'!H21*'Step B weights'!AD$50</f>
        <v>1.0506950064022005</v>
      </c>
      <c r="AE20" s="5">
        <f>'4.Climate_adaptation'!I21*'Step B weights'!AE$50</f>
        <v>0.97814435950414491</v>
      </c>
      <c r="AG20" s="21" t="str">
        <f t="shared" si="3"/>
        <v>HLO 4.4.1: CGIAR Expertise and Solutions Embedded in Development Investments and Partnerships</v>
      </c>
      <c r="AH20" s="5">
        <f>'5.Environmental_health'!D21*'Step B weights'!AH$50</f>
        <v>0.90299439468240106</v>
      </c>
      <c r="AI20" s="5">
        <f>'5.Environmental_health'!E21*'Step B weights'!AI$50</f>
        <v>0.24358607035618737</v>
      </c>
      <c r="AJ20" s="5">
        <f>'5.Environmental_health'!F21*'Step B weights'!AJ$50</f>
        <v>0.32788991732899719</v>
      </c>
      <c r="AK20" s="5">
        <f>'5.Environmental_health'!G21*'Step B weights'!AK$50</f>
        <v>0.49669025172606873</v>
      </c>
      <c r="AL20" s="5">
        <f>'5.Environmental_health'!H21*'Step B weights'!AL$50</f>
        <v>1.3133687580027507</v>
      </c>
      <c r="AM20" s="5">
        <f>'5.Environmental_health'!I21*'Step B weights'!AM$50</f>
        <v>0.97814435950414491</v>
      </c>
    </row>
    <row r="21" spans="1:39">
      <c r="A21" s="22" t="str">
        <f>HLOs!D19</f>
        <v>HLO 4.4.2: Innovation portfolio management and scaling strategy support teams</v>
      </c>
      <c r="B21" s="5">
        <f>'1.Food_security'!D22*'Step B weights'!B$50</f>
        <v>6.3966684148429778E-2</v>
      </c>
      <c r="C21" s="5">
        <f>'1.Food_security'!E22*'Step B weights'!C$50</f>
        <v>9.3498588903241794E-2</v>
      </c>
      <c r="D21" s="5">
        <f>'1.Food_security'!F22*'Step B weights'!D$50</f>
        <v>0.40013201724889436</v>
      </c>
      <c r="E21" s="5">
        <f>'1.Food_security'!G22*'Step B weights'!E$50</f>
        <v>0.45855129727924204</v>
      </c>
      <c r="F21" s="5">
        <f>'1.Food_security'!H22*'Step B weights'!F$50</f>
        <v>0.6977903753132001</v>
      </c>
      <c r="G21" s="5">
        <f>'1.Food_security'!I22*'Step B weights'!G$50</f>
        <v>6.4297882027660264E-2</v>
      </c>
      <c r="I21" s="21" t="str">
        <f t="shared" si="0"/>
        <v>HLO 4.4.2: Innovation portfolio management and scaling strategy support teams</v>
      </c>
      <c r="J21" s="5">
        <f>'2.Poverty_reduction'!D22*'Step B weights'!J$50</f>
        <v>4.73661083426642E-2</v>
      </c>
      <c r="K21" s="5">
        <f>'2.Poverty_reduction'!E22*'Step B weights'!K$50</f>
        <v>3.3808789364815371E-2</v>
      </c>
      <c r="L21" s="5">
        <f>'2.Poverty_reduction'!F22*'Step B weights'!L$50</f>
        <v>0.65151068566902137</v>
      </c>
      <c r="M21" s="5">
        <f>'2.Poverty_reduction'!G22*'Step B weights'!M$50</f>
        <v>0.73839656239125684</v>
      </c>
      <c r="N21" s="5">
        <f>'2.Poverty_reduction'!H22*'Step B weights'!N$50</f>
        <v>0.43098056222319642</v>
      </c>
      <c r="O21" s="5">
        <f>'2.Poverty_reduction'!I22*'Step B weights'!O$50</f>
        <v>8.3811971507832591E-3</v>
      </c>
      <c r="Q21" s="21" t="str">
        <f t="shared" si="1"/>
        <v>HLO 4.4.2: Innovation portfolio management and scaling strategy support teams</v>
      </c>
      <c r="R21" s="5">
        <f>'3.Social_inclusion'!D22*'Step B weights'!R$50</f>
        <v>0.14444868370850819</v>
      </c>
      <c r="S21" s="5">
        <f>'3.Social_inclusion'!E22*'Step B weights'!S$50</f>
        <v>0.16032048836322016</v>
      </c>
      <c r="T21" s="5">
        <f>'3.Social_inclusion'!F22*'Step B weights'!T$50</f>
        <v>0.46959175887066001</v>
      </c>
      <c r="U21" s="5">
        <f>'3.Social_inclusion'!G22*'Step B weights'!U$50</f>
        <v>0.38916444105303322</v>
      </c>
      <c r="V21" s="5">
        <f>'3.Social_inclusion'!H22*'Step B weights'!V$50</f>
        <v>0.34658527279664247</v>
      </c>
      <c r="W21" s="5">
        <f>'3.Social_inclusion'!I22*'Step B weights'!W$50</f>
        <v>9.2560091568103783E-2</v>
      </c>
      <c r="Y21" s="21" t="str">
        <f t="shared" si="2"/>
        <v>HLO 4.4.2: Innovation portfolio management and scaling strategy support teams</v>
      </c>
      <c r="Z21" s="5">
        <f>'4.Climate_adaptation'!D22*'Step B weights'!Z$50</f>
        <v>0.22574859867060026</v>
      </c>
      <c r="AA21" s="5">
        <f>'4.Climate_adaptation'!E22*'Step B weights'!AA$50</f>
        <v>6.0896517589046843E-2</v>
      </c>
      <c r="AB21" s="5">
        <f>'4.Climate_adaptation'!F22*'Step B weights'!AB$50</f>
        <v>8.1972479332249298E-2</v>
      </c>
      <c r="AC21" s="5">
        <f>'4.Climate_adaptation'!G22*'Step B weights'!AC$50</f>
        <v>0.24834512586303437</v>
      </c>
      <c r="AD21" s="5">
        <f>'4.Climate_adaptation'!H22*'Step B weights'!AD$50</f>
        <v>0.52534750320110024</v>
      </c>
      <c r="AE21" s="5">
        <f>'4.Climate_adaptation'!I22*'Step B weights'!AE$50</f>
        <v>0.48907217975207246</v>
      </c>
      <c r="AG21" s="21" t="str">
        <f t="shared" si="3"/>
        <v>HLO 4.4.2: Innovation portfolio management and scaling strategy support teams</v>
      </c>
      <c r="AH21" s="5">
        <f>'5.Environmental_health'!D22*'Step B weights'!AH$50</f>
        <v>0.22574859867060026</v>
      </c>
      <c r="AI21" s="5">
        <f>'5.Environmental_health'!E22*'Step B weights'!AI$50</f>
        <v>0.12179303517809369</v>
      </c>
      <c r="AJ21" s="5">
        <f>'5.Environmental_health'!F22*'Step B weights'!AJ$50</f>
        <v>8.1972479332249298E-2</v>
      </c>
      <c r="AK21" s="5">
        <f>'5.Environmental_health'!G22*'Step B weights'!AK$50</f>
        <v>0.24834512586303437</v>
      </c>
      <c r="AL21" s="5">
        <f>'5.Environmental_health'!H22*'Step B weights'!AL$50</f>
        <v>0.52534750320110024</v>
      </c>
      <c r="AM21" s="5">
        <f>'5.Environmental_health'!I22*'Step B weights'!AM$50</f>
        <v>0.48907217975207246</v>
      </c>
    </row>
    <row r="22" spans="1:39">
      <c r="A22" s="22" t="str">
        <f>HLOs!D20</f>
        <v xml:space="preserve">HLO 5.5.1: Enhancing scaling science for societal impact </v>
      </c>
      <c r="B22" s="5">
        <f>'1.Food_security'!D23*'Step B weights'!B$50</f>
        <v>0.12793336829685956</v>
      </c>
      <c r="C22" s="5">
        <f>'1.Food_security'!E23*'Step B weights'!C$50</f>
        <v>0.18699717780648359</v>
      </c>
      <c r="D22" s="5">
        <f>'1.Food_security'!F23*'Step B weights'!D$50</f>
        <v>0.40013201724889436</v>
      </c>
      <c r="E22" s="5">
        <f>'1.Food_security'!G23*'Step B weights'!E$50</f>
        <v>0.45855129727924204</v>
      </c>
      <c r="F22" s="5">
        <f>'1.Food_security'!H23*'Step B weights'!F$50</f>
        <v>1.0466855629698002</v>
      </c>
      <c r="G22" s="5">
        <f>'1.Food_security'!I23*'Step B weights'!G$50</f>
        <v>0.12859576405532053</v>
      </c>
      <c r="I22" s="21" t="str">
        <f t="shared" si="0"/>
        <v xml:space="preserve">HLO 5.5.1: Enhancing scaling science for societal impact </v>
      </c>
      <c r="J22" s="5">
        <f>'2.Poverty_reduction'!D23*'Step B weights'!J$50</f>
        <v>9.4732216685328399E-2</v>
      </c>
      <c r="K22" s="5">
        <f>'2.Poverty_reduction'!E23*'Step B weights'!K$50</f>
        <v>6.7617578729630742E-2</v>
      </c>
      <c r="L22" s="5">
        <f>'2.Poverty_reduction'!F23*'Step B weights'!L$50</f>
        <v>0.65151068566902137</v>
      </c>
      <c r="M22" s="5">
        <f>'2.Poverty_reduction'!G23*'Step B weights'!M$50</f>
        <v>0.73839656239125684</v>
      </c>
      <c r="N22" s="5">
        <f>'2.Poverty_reduction'!H23*'Step B weights'!N$50</f>
        <v>0.64647084333479465</v>
      </c>
      <c r="O22" s="5">
        <f>'2.Poverty_reduction'!I23*'Step B weights'!O$50</f>
        <v>1.6762394301566518E-2</v>
      </c>
      <c r="Q22" s="21" t="str">
        <f t="shared" si="1"/>
        <v xml:space="preserve">HLO 5.5.1: Enhancing scaling science for societal impact </v>
      </c>
      <c r="R22" s="5">
        <f>'3.Social_inclusion'!D23*'Step B weights'!R$50</f>
        <v>0.28889736741701638</v>
      </c>
      <c r="S22" s="5">
        <f>'3.Social_inclusion'!E23*'Step B weights'!S$50</f>
        <v>0.32064097672644032</v>
      </c>
      <c r="T22" s="5">
        <f>'3.Social_inclusion'!F23*'Step B weights'!T$50</f>
        <v>0.46959175887066001</v>
      </c>
      <c r="U22" s="5">
        <f>'3.Social_inclusion'!G23*'Step B weights'!U$50</f>
        <v>0.38916444105303322</v>
      </c>
      <c r="V22" s="5">
        <f>'3.Social_inclusion'!H23*'Step B weights'!V$50</f>
        <v>0.51987790919496368</v>
      </c>
      <c r="W22" s="5">
        <f>'3.Social_inclusion'!I23*'Step B weights'!W$50</f>
        <v>0.18512018313620757</v>
      </c>
      <c r="Y22" s="21" t="str">
        <f t="shared" si="2"/>
        <v xml:space="preserve">HLO 5.5.1: Enhancing scaling science for societal impact </v>
      </c>
      <c r="Z22" s="5">
        <f>'4.Climate_adaptation'!D23*'Step B weights'!Z$50</f>
        <v>0.45149719734120053</v>
      </c>
      <c r="AA22" s="5">
        <f>'4.Climate_adaptation'!E23*'Step B weights'!AA$50</f>
        <v>0.12179303517809369</v>
      </c>
      <c r="AB22" s="5">
        <f>'4.Climate_adaptation'!F23*'Step B weights'!AB$50</f>
        <v>0.1639449586644986</v>
      </c>
      <c r="AC22" s="5">
        <f>'4.Climate_adaptation'!G23*'Step B weights'!AC$50</f>
        <v>0.24834512586303437</v>
      </c>
      <c r="AD22" s="5">
        <f>'4.Climate_adaptation'!H23*'Step B weights'!AD$50</f>
        <v>0.78802125480165031</v>
      </c>
      <c r="AE22" s="5">
        <f>'4.Climate_adaptation'!I23*'Step B weights'!AE$50</f>
        <v>0.48907217975207246</v>
      </c>
      <c r="AG22" s="21" t="str">
        <f t="shared" si="3"/>
        <v xml:space="preserve">HLO 5.5.1: Enhancing scaling science for societal impact </v>
      </c>
      <c r="AH22" s="5">
        <f>'5.Environmental_health'!D23*'Step B weights'!AH$50</f>
        <v>0.45149719734120053</v>
      </c>
      <c r="AI22" s="5">
        <f>'5.Environmental_health'!E23*'Step B weights'!AI$50</f>
        <v>0.12179303517809369</v>
      </c>
      <c r="AJ22" s="5">
        <f>'5.Environmental_health'!F23*'Step B weights'!AJ$50</f>
        <v>0.1639449586644986</v>
      </c>
      <c r="AK22" s="5">
        <f>'5.Environmental_health'!G23*'Step B weights'!AK$50</f>
        <v>0.24834512586303437</v>
      </c>
      <c r="AL22" s="5">
        <f>'5.Environmental_health'!H23*'Step B weights'!AL$50</f>
        <v>0.78802125480165031</v>
      </c>
      <c r="AM22" s="5">
        <f>'5.Environmental_health'!I23*'Step B weights'!AM$50</f>
        <v>0.48907217975207246</v>
      </c>
    </row>
    <row r="23" spans="1:39">
      <c r="A23" s="22" t="str">
        <f>HLOs!D21</f>
        <v>HLO 5.5.2: Insights for CGIAR scaling success through impact assessments</v>
      </c>
      <c r="B23" s="5">
        <f>'1.Food_security'!D24*'Step B weights'!B$50</f>
        <v>0.12793336829685956</v>
      </c>
      <c r="C23" s="5">
        <f>'1.Food_security'!E24*'Step B weights'!C$50</f>
        <v>0.18699717780648359</v>
      </c>
      <c r="D23" s="5">
        <f>'1.Food_security'!F24*'Step B weights'!D$50</f>
        <v>0.60019802587334148</v>
      </c>
      <c r="E23" s="5">
        <f>'1.Food_security'!G24*'Step B weights'!E$50</f>
        <v>0.68782694591886306</v>
      </c>
      <c r="F23" s="5">
        <f>'1.Food_security'!H24*'Step B weights'!F$50</f>
        <v>1.0466855629698002</v>
      </c>
      <c r="G23" s="5">
        <f>'1.Food_security'!I24*'Step B weights'!G$50</f>
        <v>0.12859576405532053</v>
      </c>
      <c r="I23" s="21" t="str">
        <f t="shared" si="0"/>
        <v>HLO 5.5.2: Insights for CGIAR scaling success through impact assessments</v>
      </c>
      <c r="J23" s="5">
        <f>'2.Poverty_reduction'!D24*'Step B weights'!J$50</f>
        <v>9.4732216685328399E-2</v>
      </c>
      <c r="K23" s="5">
        <f>'2.Poverty_reduction'!E24*'Step B weights'!K$50</f>
        <v>6.7617578729630742E-2</v>
      </c>
      <c r="L23" s="5">
        <f>'2.Poverty_reduction'!F24*'Step B weights'!L$50</f>
        <v>0.65151068566902137</v>
      </c>
      <c r="M23" s="5">
        <f>'2.Poverty_reduction'!G24*'Step B weights'!M$50</f>
        <v>1.1075948435868852</v>
      </c>
      <c r="N23" s="5">
        <f>'2.Poverty_reduction'!H24*'Step B weights'!N$50</f>
        <v>0.64647084333479465</v>
      </c>
      <c r="O23" s="5">
        <f>'2.Poverty_reduction'!I24*'Step B weights'!O$50</f>
        <v>1.6762394301566518E-2</v>
      </c>
      <c r="Q23" s="21" t="str">
        <f t="shared" si="1"/>
        <v>HLO 5.5.2: Insights for CGIAR scaling success through impact assessments</v>
      </c>
      <c r="R23" s="5">
        <f>'3.Social_inclusion'!D24*'Step B weights'!R$50</f>
        <v>0.28889736741701638</v>
      </c>
      <c r="S23" s="5">
        <f>'3.Social_inclusion'!E24*'Step B weights'!S$50</f>
        <v>0.32064097672644032</v>
      </c>
      <c r="T23" s="5">
        <f>'3.Social_inclusion'!F24*'Step B weights'!T$50</f>
        <v>0.70438763830599005</v>
      </c>
      <c r="U23" s="5">
        <f>'3.Social_inclusion'!G24*'Step B weights'!U$50</f>
        <v>0.38916444105303322</v>
      </c>
      <c r="V23" s="5">
        <f>'3.Social_inclusion'!H24*'Step B weights'!V$50</f>
        <v>0.51987790919496368</v>
      </c>
      <c r="W23" s="5">
        <f>'3.Social_inclusion'!I24*'Step B weights'!W$50</f>
        <v>0.18512018313620757</v>
      </c>
      <c r="Y23" s="21" t="str">
        <f t="shared" si="2"/>
        <v>HLO 5.5.2: Insights for CGIAR scaling success through impact assessments</v>
      </c>
      <c r="Z23" s="5">
        <f>'4.Climate_adaptation'!D24*'Step B weights'!Z$50</f>
        <v>0.45149719734120053</v>
      </c>
      <c r="AA23" s="5">
        <f>'4.Climate_adaptation'!E24*'Step B weights'!AA$50</f>
        <v>0.12179303517809369</v>
      </c>
      <c r="AB23" s="5">
        <f>'4.Climate_adaptation'!F24*'Step B weights'!AB$50</f>
        <v>0.1639449586644986</v>
      </c>
      <c r="AC23" s="5">
        <f>'4.Climate_adaptation'!G24*'Step B weights'!AC$50</f>
        <v>0.37251768879455155</v>
      </c>
      <c r="AD23" s="5">
        <f>'4.Climate_adaptation'!H24*'Step B weights'!AD$50</f>
        <v>0.78802125480165031</v>
      </c>
      <c r="AE23" s="5">
        <f>'4.Climate_adaptation'!I24*'Step B weights'!AE$50</f>
        <v>0.73360826962810866</v>
      </c>
      <c r="AG23" s="21" t="str">
        <f t="shared" si="3"/>
        <v>HLO 5.5.2: Insights for CGIAR scaling success through impact assessments</v>
      </c>
      <c r="AH23" s="5">
        <f>'5.Environmental_health'!D24*'Step B weights'!AH$50</f>
        <v>0.45149719734120053</v>
      </c>
      <c r="AI23" s="5">
        <f>'5.Environmental_health'!E24*'Step B weights'!AI$50</f>
        <v>0.12179303517809369</v>
      </c>
      <c r="AJ23" s="5">
        <f>'5.Environmental_health'!F24*'Step B weights'!AJ$50</f>
        <v>0.1639449586644986</v>
      </c>
      <c r="AK23" s="5">
        <f>'5.Environmental_health'!G24*'Step B weights'!AK$50</f>
        <v>0.37251768879455155</v>
      </c>
      <c r="AL23" s="5">
        <f>'5.Environmental_health'!H24*'Step B weights'!AL$50</f>
        <v>0.78802125480165031</v>
      </c>
      <c r="AM23" s="5">
        <f>'5.Environmental_health'!I24*'Step B weights'!AM$50</f>
        <v>0.48907217975207246</v>
      </c>
    </row>
    <row r="24" spans="1:39">
      <c r="A24" s="22" t="str">
        <f>HLOs!D22</f>
        <v>HLO 5.5.3: Custom analytics for managing innovation portfolios and decision-making</v>
      </c>
      <c r="B24" s="5">
        <f>'1.Food_security'!D25*'Step B weights'!B$50</f>
        <v>6.3966684148429778E-2</v>
      </c>
      <c r="C24" s="5">
        <f>'1.Food_security'!E25*'Step B weights'!C$50</f>
        <v>9.3498588903241794E-2</v>
      </c>
      <c r="D24" s="5">
        <f>'1.Food_security'!F25*'Step B weights'!D$50</f>
        <v>0.40013201724889436</v>
      </c>
      <c r="E24" s="5">
        <f>'1.Food_security'!G25*'Step B weights'!E$50</f>
        <v>0.45855129727924204</v>
      </c>
      <c r="F24" s="5">
        <f>'1.Food_security'!H25*'Step B weights'!F$50</f>
        <v>0.6977903753132001</v>
      </c>
      <c r="G24" s="5">
        <f>'1.Food_security'!I25*'Step B weights'!G$50</f>
        <v>6.4297882027660264E-2</v>
      </c>
      <c r="I24" s="21" t="str">
        <f t="shared" si="0"/>
        <v>HLO 5.5.3: Custom analytics for managing innovation portfolios and decision-making</v>
      </c>
      <c r="J24" s="5">
        <f>'2.Poverty_reduction'!D25*'Step B weights'!J$50</f>
        <v>4.73661083426642E-2</v>
      </c>
      <c r="K24" s="5">
        <f>'2.Poverty_reduction'!E25*'Step B weights'!K$50</f>
        <v>3.3808789364815371E-2</v>
      </c>
      <c r="L24" s="5">
        <f>'2.Poverty_reduction'!F25*'Step B weights'!L$50</f>
        <v>0.65151068566902137</v>
      </c>
      <c r="M24" s="5">
        <f>'2.Poverty_reduction'!G25*'Step B weights'!M$50</f>
        <v>0.73839656239125684</v>
      </c>
      <c r="N24" s="5">
        <f>'2.Poverty_reduction'!H25*'Step B weights'!N$50</f>
        <v>0.43098056222319642</v>
      </c>
      <c r="O24" s="5">
        <f>'2.Poverty_reduction'!I25*'Step B weights'!O$50</f>
        <v>8.3811971507832591E-3</v>
      </c>
      <c r="Q24" s="21" t="str">
        <f t="shared" si="1"/>
        <v>HLO 5.5.3: Custom analytics for managing innovation portfolios and decision-making</v>
      </c>
      <c r="R24" s="5">
        <f>'3.Social_inclusion'!D25*'Step B weights'!R$50</f>
        <v>0.14444868370850819</v>
      </c>
      <c r="S24" s="5">
        <f>'3.Social_inclusion'!E25*'Step B weights'!S$50</f>
        <v>0.16032048836322016</v>
      </c>
      <c r="T24" s="5">
        <f>'3.Social_inclusion'!F25*'Step B weights'!T$50</f>
        <v>0.46959175887066001</v>
      </c>
      <c r="U24" s="5">
        <f>'3.Social_inclusion'!G25*'Step B weights'!U$50</f>
        <v>0.38916444105303322</v>
      </c>
      <c r="V24" s="5">
        <f>'3.Social_inclusion'!H25*'Step B weights'!V$50</f>
        <v>0.34658527279664247</v>
      </c>
      <c r="W24" s="5">
        <f>'3.Social_inclusion'!I25*'Step B weights'!W$50</f>
        <v>9.2560091568103783E-2</v>
      </c>
      <c r="Y24" s="21" t="str">
        <f t="shared" si="2"/>
        <v>HLO 5.5.3: Custom analytics for managing innovation portfolios and decision-making</v>
      </c>
      <c r="Z24" s="5">
        <f>'4.Climate_adaptation'!D25*'Step B weights'!Z$50</f>
        <v>0.22574859867060026</v>
      </c>
      <c r="AA24" s="5">
        <f>'4.Climate_adaptation'!E25*'Step B weights'!AA$50</f>
        <v>6.0896517589046843E-2</v>
      </c>
      <c r="AB24" s="5">
        <f>'4.Climate_adaptation'!F25*'Step B weights'!AB$50</f>
        <v>8.1972479332249298E-2</v>
      </c>
      <c r="AC24" s="5">
        <f>'4.Climate_adaptation'!G25*'Step B weights'!AC$50</f>
        <v>0.24834512586303437</v>
      </c>
      <c r="AD24" s="5">
        <f>'4.Climate_adaptation'!H25*'Step B weights'!AD$50</f>
        <v>0.52534750320110024</v>
      </c>
      <c r="AE24" s="5">
        <f>'4.Climate_adaptation'!I25*'Step B weights'!AE$50</f>
        <v>0.48907217975207246</v>
      </c>
      <c r="AG24" s="21" t="str">
        <f t="shared" si="3"/>
        <v>HLO 5.5.3: Custom analytics for managing innovation portfolios and decision-making</v>
      </c>
      <c r="AH24" s="5">
        <f>'5.Environmental_health'!D25*'Step B weights'!AH$50</f>
        <v>0.22574859867060026</v>
      </c>
      <c r="AI24" s="5">
        <f>'5.Environmental_health'!E25*'Step B weights'!AI$50</f>
        <v>0.12179303517809369</v>
      </c>
      <c r="AJ24" s="5">
        <f>'5.Environmental_health'!F25*'Step B weights'!AJ$50</f>
        <v>8.1972479332249298E-2</v>
      </c>
      <c r="AK24" s="5">
        <f>'5.Environmental_health'!G25*'Step B weights'!AK$50</f>
        <v>0.24834512586303437</v>
      </c>
      <c r="AL24" s="5">
        <f>'5.Environmental_health'!H25*'Step B weights'!AL$50</f>
        <v>0.52534750320110024</v>
      </c>
      <c r="AM24" s="5">
        <f>'5.Environmental_health'!I25*'Step B weights'!AM$50</f>
        <v>0.48907217975207246</v>
      </c>
    </row>
  </sheetData>
  <mergeCells count="1">
    <mergeCell ref="A1:P1"/>
  </mergeCells>
  <phoneticPr fontId="12" type="noConversion"/>
  <conditionalFormatting sqref="B10:G24">
    <cfRule type="colorScale" priority="25">
      <colorScale>
        <cfvo type="min"/>
        <cfvo type="percentile" val="50"/>
        <cfvo type="max"/>
        <color rgb="FFF8696B"/>
        <color rgb="FFFFEB84"/>
        <color rgb="FF63BE7B"/>
      </colorScale>
    </cfRule>
  </conditionalFormatting>
  <conditionalFormatting sqref="J10:O24">
    <cfRule type="colorScale" priority="26">
      <colorScale>
        <cfvo type="min"/>
        <cfvo type="percentile" val="50"/>
        <cfvo type="max"/>
        <color rgb="FFF8696B"/>
        <color rgb="FFFFEB84"/>
        <color rgb="FF63BE7B"/>
      </colorScale>
    </cfRule>
  </conditionalFormatting>
  <conditionalFormatting sqref="R10:W24">
    <cfRule type="colorScale" priority="27">
      <colorScale>
        <cfvo type="min"/>
        <cfvo type="percentile" val="50"/>
        <cfvo type="max"/>
        <color rgb="FFF8696B"/>
        <color rgb="FFFFEB84"/>
        <color rgb="FF63BE7B"/>
      </colorScale>
    </cfRule>
  </conditionalFormatting>
  <conditionalFormatting sqref="Z10:AE24">
    <cfRule type="colorScale" priority="28">
      <colorScale>
        <cfvo type="min"/>
        <cfvo type="percentile" val="50"/>
        <cfvo type="max"/>
        <color rgb="FFF8696B"/>
        <color rgb="FFFFEB84"/>
        <color rgb="FF63BE7B"/>
      </colorScale>
    </cfRule>
  </conditionalFormatting>
  <conditionalFormatting sqref="AH10:AM24">
    <cfRule type="colorScale" priority="29">
      <colorScale>
        <cfvo type="min"/>
        <cfvo type="percentile" val="50"/>
        <cfvo type="max"/>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144C-8145-4F90-954B-F33ACD1542C9}">
  <dimension ref="A1:AM50"/>
  <sheetViews>
    <sheetView workbookViewId="0">
      <selection activeCell="H14" sqref="H14"/>
    </sheetView>
  </sheetViews>
  <sheetFormatPr defaultColWidth="8.85546875" defaultRowHeight="14.45"/>
  <sheetData>
    <row r="1" spans="1:39">
      <c r="A1" s="32" t="s">
        <v>621</v>
      </c>
      <c r="B1" s="31"/>
      <c r="C1" s="31"/>
      <c r="D1" s="31"/>
      <c r="E1" s="31"/>
      <c r="F1" s="31"/>
      <c r="G1" s="31"/>
      <c r="H1" s="31"/>
    </row>
    <row r="2" spans="1:39">
      <c r="A2" s="16" t="s">
        <v>616</v>
      </c>
      <c r="B2" s="15"/>
      <c r="C2" s="15"/>
      <c r="D2" s="15"/>
      <c r="E2" s="15"/>
      <c r="F2" s="15"/>
      <c r="G2" s="15"/>
      <c r="I2" s="16" t="s">
        <v>617</v>
      </c>
      <c r="J2" s="15"/>
      <c r="K2" s="15"/>
      <c r="L2" s="15"/>
      <c r="M2" s="15"/>
      <c r="N2" s="15"/>
      <c r="O2" s="15"/>
      <c r="Q2" s="16" t="s">
        <v>618</v>
      </c>
      <c r="R2" s="15"/>
      <c r="S2" s="15"/>
      <c r="T2" s="15"/>
      <c r="U2" s="15"/>
      <c r="V2" s="15"/>
      <c r="W2" s="15"/>
      <c r="Y2" s="16" t="s">
        <v>619</v>
      </c>
      <c r="Z2" s="15"/>
      <c r="AA2" s="15"/>
      <c r="AB2" s="15"/>
      <c r="AC2" s="15"/>
      <c r="AD2" s="15"/>
      <c r="AE2" s="15"/>
      <c r="AG2" s="16" t="s">
        <v>620</v>
      </c>
      <c r="AH2" s="15"/>
      <c r="AI2" s="15"/>
      <c r="AJ2" s="15"/>
      <c r="AK2" s="15"/>
      <c r="AL2" s="15"/>
      <c r="AM2" s="15"/>
    </row>
    <row r="3" spans="1:39" ht="18.600000000000001">
      <c r="A3" s="29" t="s">
        <v>137</v>
      </c>
      <c r="I3" s="29" t="s">
        <v>622</v>
      </c>
      <c r="Q3" s="29" t="s">
        <v>623</v>
      </c>
      <c r="Y3" s="29" t="s">
        <v>144</v>
      </c>
      <c r="AG3" s="29" t="s">
        <v>144</v>
      </c>
    </row>
    <row r="4" spans="1:39">
      <c r="A4" s="1" t="s">
        <v>624</v>
      </c>
      <c r="B4" t="s">
        <v>625</v>
      </c>
      <c r="I4" s="1" t="s">
        <v>624</v>
      </c>
      <c r="J4" t="s">
        <v>625</v>
      </c>
      <c r="Q4" s="1" t="s">
        <v>624</v>
      </c>
      <c r="R4" t="s">
        <v>625</v>
      </c>
      <c r="Y4" s="1" t="s">
        <v>624</v>
      </c>
      <c r="Z4" t="s">
        <v>625</v>
      </c>
      <c r="AG4" s="1" t="s">
        <v>624</v>
      </c>
      <c r="AH4" t="s">
        <v>625</v>
      </c>
    </row>
    <row r="5" spans="1:39">
      <c r="A5" s="1" t="s">
        <v>626</v>
      </c>
      <c r="B5" t="s">
        <v>627</v>
      </c>
      <c r="I5" s="1" t="s">
        <v>626</v>
      </c>
      <c r="J5" t="s">
        <v>628</v>
      </c>
      <c r="Q5" s="1" t="s">
        <v>626</v>
      </c>
      <c r="Y5" s="1" t="s">
        <v>626</v>
      </c>
      <c r="Z5" t="s">
        <v>629</v>
      </c>
      <c r="AG5" s="1" t="s">
        <v>626</v>
      </c>
      <c r="AH5" t="s">
        <v>629</v>
      </c>
    </row>
    <row r="6" spans="1:39">
      <c r="A6" s="1" t="s">
        <v>630</v>
      </c>
      <c r="B6" s="1">
        <v>2021</v>
      </c>
      <c r="C6" s="1">
        <v>2022</v>
      </c>
      <c r="D6" s="1">
        <v>2023</v>
      </c>
      <c r="E6" s="1">
        <v>2024</v>
      </c>
      <c r="F6" s="1">
        <v>2025</v>
      </c>
      <c r="I6" s="1" t="s">
        <v>630</v>
      </c>
      <c r="J6" s="1">
        <v>2021</v>
      </c>
      <c r="K6" s="1">
        <v>2022</v>
      </c>
      <c r="L6" s="1">
        <v>2023</v>
      </c>
      <c r="M6" s="1">
        <v>2024</v>
      </c>
      <c r="N6" s="1">
        <v>2025</v>
      </c>
      <c r="Q6" s="1" t="s">
        <v>630</v>
      </c>
      <c r="R6" s="1"/>
      <c r="S6" s="1"/>
      <c r="T6" s="1"/>
      <c r="U6" s="1"/>
      <c r="V6" s="1">
        <v>2022</v>
      </c>
      <c r="Y6" s="1" t="s">
        <v>630</v>
      </c>
      <c r="Z6" s="1">
        <v>2021</v>
      </c>
      <c r="AA6" s="1">
        <v>2022</v>
      </c>
      <c r="AB6" s="1">
        <v>2023</v>
      </c>
      <c r="AC6" s="1">
        <v>2024</v>
      </c>
      <c r="AD6" s="1">
        <v>2025</v>
      </c>
      <c r="AG6" s="1" t="s">
        <v>630</v>
      </c>
      <c r="AH6" s="1">
        <v>2021</v>
      </c>
      <c r="AI6" s="1">
        <v>2022</v>
      </c>
      <c r="AJ6" s="1">
        <v>2023</v>
      </c>
      <c r="AK6" s="1">
        <v>2024</v>
      </c>
      <c r="AL6" s="1">
        <v>2025</v>
      </c>
    </row>
    <row r="7" spans="1:39">
      <c r="A7" t="s">
        <v>631</v>
      </c>
      <c r="B7" s="30">
        <v>8.8427009443168973</v>
      </c>
      <c r="C7" s="30">
        <v>8.2286612637084851</v>
      </c>
      <c r="D7" s="30">
        <v>7.6489308979425008</v>
      </c>
      <c r="E7" s="30">
        <v>7.1031772129091495</v>
      </c>
      <c r="F7" s="30">
        <v>6.590867907874717</v>
      </c>
      <c r="I7" t="s">
        <v>631</v>
      </c>
      <c r="J7" s="30">
        <v>751.13725176057392</v>
      </c>
      <c r="K7" s="30">
        <v>737.74175018406561</v>
      </c>
      <c r="L7" s="30">
        <v>726.16697833626461</v>
      </c>
      <c r="M7" s="30">
        <v>716.37814045217931</v>
      </c>
      <c r="N7" s="30">
        <v>708.31417309219535</v>
      </c>
      <c r="R7" s="30"/>
      <c r="S7" s="30"/>
      <c r="T7" s="30"/>
      <c r="U7" s="30"/>
      <c r="V7" s="30"/>
      <c r="Z7" s="30"/>
      <c r="AA7" s="30"/>
      <c r="AB7" s="30"/>
      <c r="AC7" s="30"/>
      <c r="AD7" s="30"/>
      <c r="AH7" s="30"/>
      <c r="AI7" s="30"/>
      <c r="AJ7" s="30"/>
      <c r="AK7" s="30"/>
      <c r="AL7" s="30"/>
    </row>
    <row r="8" spans="1:39">
      <c r="A8" t="s">
        <v>5</v>
      </c>
      <c r="B8" s="30">
        <v>7.189257788334638</v>
      </c>
      <c r="C8" s="30">
        <v>6.6888900090578529</v>
      </c>
      <c r="D8" s="30">
        <v>6.2115265699456517</v>
      </c>
      <c r="E8" s="30">
        <v>5.7570393132760787</v>
      </c>
      <c r="F8" s="30">
        <v>5.3252328623979217</v>
      </c>
      <c r="H8" s="33" t="s">
        <v>5</v>
      </c>
      <c r="I8" t="s">
        <v>94</v>
      </c>
      <c r="J8" s="30">
        <v>31.202645027541003</v>
      </c>
      <c r="K8" s="30">
        <v>31.753594603374466</v>
      </c>
      <c r="L8" s="30">
        <v>32.307094515051269</v>
      </c>
      <c r="M8" s="30">
        <v>32.86288486263301</v>
      </c>
      <c r="N8" s="30">
        <v>33.420693634221806</v>
      </c>
      <c r="P8" s="33" t="s">
        <v>5</v>
      </c>
      <c r="Q8" t="s">
        <v>94</v>
      </c>
      <c r="R8" s="30"/>
      <c r="S8" s="30"/>
      <c r="T8" s="30"/>
      <c r="U8" s="30"/>
      <c r="V8" s="53">
        <v>0.37859999999999999</v>
      </c>
      <c r="X8" s="33" t="s">
        <v>5</v>
      </c>
      <c r="Y8" t="s">
        <v>94</v>
      </c>
      <c r="Z8" s="30">
        <v>1062.1580331999901</v>
      </c>
      <c r="AA8" s="30">
        <v>1066.28860098679</v>
      </c>
      <c r="AB8" s="30">
        <v>1070.46887931063</v>
      </c>
      <c r="AC8" s="30">
        <v>1074.6999178165199</v>
      </c>
      <c r="AD8" s="30">
        <v>1078.9827968055399</v>
      </c>
      <c r="AF8" s="33" t="s">
        <v>5</v>
      </c>
      <c r="AG8" t="s">
        <v>94</v>
      </c>
      <c r="AH8" s="30">
        <v>1062.1580331999901</v>
      </c>
      <c r="AI8" s="30">
        <v>1066.28860098679</v>
      </c>
      <c r="AJ8" s="30">
        <v>1070.46887931063</v>
      </c>
      <c r="AK8" s="30">
        <v>1074.6999178165199</v>
      </c>
      <c r="AL8" s="30">
        <v>1078.9827968055399</v>
      </c>
    </row>
    <row r="9" spans="1:39">
      <c r="A9" t="s">
        <v>6</v>
      </c>
      <c r="B9" s="30">
        <v>9.1504665426194762</v>
      </c>
      <c r="C9" s="30">
        <v>8.9091661920724032</v>
      </c>
      <c r="D9" s="30">
        <v>8.6634743137498393</v>
      </c>
      <c r="E9" s="30">
        <v>8.4138443636594769</v>
      </c>
      <c r="F9" s="30">
        <v>8.1607439588173118</v>
      </c>
      <c r="H9" s="33" t="s">
        <v>6</v>
      </c>
      <c r="I9" t="s">
        <v>95</v>
      </c>
      <c r="J9" s="30">
        <v>26.653278776238004</v>
      </c>
      <c r="K9" s="30">
        <v>25.96567738406975</v>
      </c>
      <c r="L9" s="30">
        <v>25.269419835568133</v>
      </c>
      <c r="M9" s="30">
        <v>24.565485383062249</v>
      </c>
      <c r="N9" s="30">
        <v>23.854887619882447</v>
      </c>
      <c r="P9" s="33" t="s">
        <v>6</v>
      </c>
      <c r="Q9" t="s">
        <v>95</v>
      </c>
      <c r="R9" s="30"/>
      <c r="S9" s="30"/>
      <c r="T9" s="30"/>
      <c r="U9" s="30"/>
      <c r="V9" s="53">
        <v>0.42020000000000002</v>
      </c>
      <c r="X9" s="33" t="s">
        <v>6</v>
      </c>
      <c r="Y9" t="s">
        <v>95</v>
      </c>
      <c r="Z9" s="30">
        <v>267.73907960000003</v>
      </c>
      <c r="AA9" s="30">
        <v>273.34463420968098</v>
      </c>
      <c r="AB9" s="30">
        <v>279.09723013930602</v>
      </c>
      <c r="AC9" s="30">
        <v>285.00085062601102</v>
      </c>
      <c r="AD9" s="30">
        <v>291.05959129262402</v>
      </c>
      <c r="AF9" s="33" t="s">
        <v>6</v>
      </c>
      <c r="AG9" t="s">
        <v>95</v>
      </c>
      <c r="AH9" s="30">
        <v>267.73907960000003</v>
      </c>
      <c r="AI9" s="30">
        <v>273.34463420968098</v>
      </c>
      <c r="AJ9" s="30">
        <v>279.09723013930602</v>
      </c>
      <c r="AK9" s="30">
        <v>285.00085062601102</v>
      </c>
      <c r="AL9" s="30">
        <v>291.05959129262402</v>
      </c>
    </row>
    <row r="10" spans="1:39">
      <c r="A10" t="s">
        <v>7</v>
      </c>
      <c r="B10" s="30">
        <v>18.912089683887856</v>
      </c>
      <c r="C10" s="30">
        <v>18.415277888436794</v>
      </c>
      <c r="D10" s="30">
        <v>17.911491722528627</v>
      </c>
      <c r="E10" s="30">
        <v>17.401678259623136</v>
      </c>
      <c r="F10" s="30">
        <v>16.886799251922032</v>
      </c>
      <c r="H10" s="33" t="s">
        <v>7</v>
      </c>
      <c r="I10" t="s">
        <v>96</v>
      </c>
      <c r="J10" s="30">
        <v>208.51838245259097</v>
      </c>
      <c r="K10" s="30">
        <v>213.67868332096438</v>
      </c>
      <c r="L10" s="30">
        <v>218.95233510307645</v>
      </c>
      <c r="M10" s="30">
        <v>224.34122586995986</v>
      </c>
      <c r="N10" s="30">
        <v>229.84724507706335</v>
      </c>
      <c r="P10" s="33" t="s">
        <v>7</v>
      </c>
      <c r="Q10" t="s">
        <v>96</v>
      </c>
      <c r="R10" s="30"/>
      <c r="S10" s="30"/>
      <c r="T10" s="30"/>
      <c r="U10" s="30"/>
      <c r="V10" s="53">
        <v>0.61539999999999995</v>
      </c>
      <c r="X10" s="33" t="s">
        <v>7</v>
      </c>
      <c r="Y10" t="s">
        <v>96</v>
      </c>
      <c r="Z10" s="30">
        <v>354.39023769999898</v>
      </c>
      <c r="AA10" s="30">
        <v>363.35389500703599</v>
      </c>
      <c r="AB10" s="30">
        <v>372.57065881653199</v>
      </c>
      <c r="AC10" s="30">
        <v>382.04803712420397</v>
      </c>
      <c r="AD10" s="30">
        <v>391.79377206257402</v>
      </c>
      <c r="AF10" s="33" t="s">
        <v>7</v>
      </c>
      <c r="AG10" t="s">
        <v>96</v>
      </c>
      <c r="AH10" s="30">
        <v>354.39023769999898</v>
      </c>
      <c r="AI10" s="30">
        <v>363.35389500703599</v>
      </c>
      <c r="AJ10" s="30">
        <v>372.57065881653199</v>
      </c>
      <c r="AK10" s="30">
        <v>382.04803712420397</v>
      </c>
      <c r="AL10" s="30">
        <v>391.79377206257402</v>
      </c>
    </row>
    <row r="11" spans="1:39">
      <c r="A11" t="s">
        <v>8</v>
      </c>
      <c r="B11" s="30">
        <v>22.510157496840979</v>
      </c>
      <c r="C11" s="30">
        <v>21.490211492056954</v>
      </c>
      <c r="D11" s="30">
        <v>20.474437042882101</v>
      </c>
      <c r="E11" s="30">
        <v>19.465188117849685</v>
      </c>
      <c r="F11" s="30">
        <v>18.464847171557157</v>
      </c>
      <c r="H11" s="33" t="s">
        <v>8</v>
      </c>
      <c r="I11" t="s">
        <v>97</v>
      </c>
      <c r="J11" s="30">
        <v>236.00367301078398</v>
      </c>
      <c r="K11" s="30">
        <v>241.91652112312005</v>
      </c>
      <c r="L11" s="30">
        <v>247.9683413098237</v>
      </c>
      <c r="M11" s="30">
        <v>254.16185965965454</v>
      </c>
      <c r="N11" s="30">
        <v>260.49981891812621</v>
      </c>
      <c r="P11" s="33" t="s">
        <v>8</v>
      </c>
      <c r="Q11" t="s">
        <v>97</v>
      </c>
      <c r="R11" s="30"/>
      <c r="S11" s="30"/>
      <c r="T11" s="30"/>
      <c r="U11" s="30"/>
      <c r="V11" s="53">
        <v>0.51</v>
      </c>
      <c r="X11" s="33" t="s">
        <v>8</v>
      </c>
      <c r="Y11" t="s">
        <v>97</v>
      </c>
      <c r="Z11" s="30">
        <v>505.23433779999903</v>
      </c>
      <c r="AA11" s="30">
        <v>525.74193172002697</v>
      </c>
      <c r="AB11" s="30">
        <v>547.25019877286104</v>
      </c>
      <c r="AC11" s="30">
        <v>569.81421939826498</v>
      </c>
      <c r="AD11" s="30">
        <v>593.49231856741903</v>
      </c>
      <c r="AF11" s="33" t="s">
        <v>8</v>
      </c>
      <c r="AG11" t="s">
        <v>97</v>
      </c>
      <c r="AH11" s="30">
        <v>505.23433779999903</v>
      </c>
      <c r="AI11" s="30">
        <v>525.74193172002697</v>
      </c>
      <c r="AJ11" s="30">
        <v>547.25019877286104</v>
      </c>
      <c r="AK11" s="30">
        <v>569.81421939826498</v>
      </c>
      <c r="AL11" s="30">
        <v>593.49231856741903</v>
      </c>
    </row>
    <row r="12" spans="1:39">
      <c r="A12" t="s">
        <v>9</v>
      </c>
      <c r="B12" s="30">
        <v>15.036351706564599</v>
      </c>
      <c r="C12" s="30">
        <v>13.50078028350624</v>
      </c>
      <c r="D12" s="30">
        <v>12.058387451156024</v>
      </c>
      <c r="E12" s="30">
        <v>10.711231438637608</v>
      </c>
      <c r="F12" s="30">
        <v>9.4604490055199957</v>
      </c>
      <c r="H12" s="33" t="s">
        <v>9</v>
      </c>
      <c r="I12" t="s">
        <v>98</v>
      </c>
      <c r="J12" s="30">
        <v>218.39156405784001</v>
      </c>
      <c r="K12" s="30">
        <v>201.5897722148423</v>
      </c>
      <c r="L12" s="30">
        <v>184.85463916050571</v>
      </c>
      <c r="M12" s="30">
        <v>168.30041581248173</v>
      </c>
      <c r="N12" s="30">
        <v>152.04615532444177</v>
      </c>
      <c r="P12" s="33" t="s">
        <v>9</v>
      </c>
      <c r="Q12" t="s">
        <v>98</v>
      </c>
      <c r="R12" s="30"/>
      <c r="S12" s="30"/>
      <c r="T12" s="30"/>
      <c r="U12" s="30"/>
      <c r="V12" s="53">
        <v>0.45419999999999999</v>
      </c>
      <c r="X12" s="33" t="s">
        <v>9</v>
      </c>
      <c r="Y12" t="s">
        <v>98</v>
      </c>
      <c r="Z12" s="30">
        <v>1147.9064971</v>
      </c>
      <c r="AA12" s="30">
        <v>1173.4687375036799</v>
      </c>
      <c r="AB12" s="30">
        <v>1199.89171130677</v>
      </c>
      <c r="AC12" s="30">
        <v>1227.21236255293</v>
      </c>
      <c r="AD12" s="30">
        <v>1255.4694063147499</v>
      </c>
      <c r="AF12" s="33" t="s">
        <v>9</v>
      </c>
      <c r="AG12" t="s">
        <v>98</v>
      </c>
      <c r="AH12" s="30">
        <v>1147.9064971</v>
      </c>
      <c r="AI12" s="30">
        <v>1173.4687375036799</v>
      </c>
      <c r="AJ12" s="30">
        <v>1199.89171130677</v>
      </c>
      <c r="AK12" s="30">
        <v>1227.21236255293</v>
      </c>
      <c r="AL12" s="30">
        <v>1255.4694063147499</v>
      </c>
    </row>
    <row r="13" spans="1:39">
      <c r="A13" t="s">
        <v>10</v>
      </c>
      <c r="B13" s="30">
        <v>2.9870488021794319</v>
      </c>
      <c r="C13" s="30">
        <v>2.5739841419947318</v>
      </c>
      <c r="D13" s="30">
        <v>2.2066180562943205</v>
      </c>
      <c r="E13" s="30">
        <v>1.8817104779205431</v>
      </c>
      <c r="F13" s="30">
        <v>1.5959853639845589</v>
      </c>
      <c r="H13" s="33" t="s">
        <v>10</v>
      </c>
      <c r="I13" t="s">
        <v>99</v>
      </c>
      <c r="J13" s="30">
        <v>26.133490986860004</v>
      </c>
      <c r="K13" s="30">
        <v>19.027453374174026</v>
      </c>
      <c r="L13" s="30">
        <v>13.39578296965856</v>
      </c>
      <c r="M13" s="30">
        <v>9.0857768127044309</v>
      </c>
      <c r="N13" s="30">
        <v>5.9136254183677561</v>
      </c>
      <c r="P13" s="33" t="s">
        <v>10</v>
      </c>
      <c r="Q13" t="s">
        <v>99</v>
      </c>
      <c r="R13" s="30"/>
      <c r="S13" s="30"/>
      <c r="T13" s="30"/>
      <c r="U13" s="30"/>
      <c r="V13" s="53">
        <v>0.24260000000000001</v>
      </c>
      <c r="X13" s="33" t="s">
        <v>10</v>
      </c>
      <c r="Y13" t="s">
        <v>99</v>
      </c>
      <c r="Z13" s="30">
        <v>1143.6131478</v>
      </c>
      <c r="AA13" s="30">
        <v>1149.66145638643</v>
      </c>
      <c r="AB13" s="30">
        <v>1155.8696368969599</v>
      </c>
      <c r="AC13" s="30">
        <v>1162.2410301637799</v>
      </c>
      <c r="AD13" s="30">
        <v>1168.7790565616399</v>
      </c>
      <c r="AF13" s="33" t="s">
        <v>10</v>
      </c>
      <c r="AG13" t="s">
        <v>99</v>
      </c>
      <c r="AH13" s="30">
        <v>1143.6131478</v>
      </c>
      <c r="AI13" s="30">
        <v>1149.66145638643</v>
      </c>
      <c r="AJ13" s="30">
        <v>1155.8696368969599</v>
      </c>
      <c r="AK13" s="30">
        <v>1162.2410301637799</v>
      </c>
      <c r="AL13" s="30">
        <v>1168.7790565616399</v>
      </c>
    </row>
    <row r="14" spans="1:39">
      <c r="A14" t="s">
        <v>632</v>
      </c>
      <c r="B14" s="30">
        <v>0.19396867700303067</v>
      </c>
      <c r="C14" s="30">
        <v>0.16222959464390801</v>
      </c>
      <c r="D14" s="30">
        <v>0.13500923981592319</v>
      </c>
      <c r="E14" s="30">
        <v>0.11178664942711797</v>
      </c>
      <c r="F14" s="30">
        <v>9.2080432363058851E-2</v>
      </c>
      <c r="I14" t="s">
        <v>632</v>
      </c>
      <c r="J14" s="30">
        <v>4.2342174487200008</v>
      </c>
      <c r="K14" s="30">
        <v>3.8100481635207495</v>
      </c>
      <c r="L14" s="30">
        <v>3.4193654425808968</v>
      </c>
      <c r="M14" s="30">
        <v>3.0604920516834158</v>
      </c>
      <c r="N14" s="30">
        <v>2.7317471000920599</v>
      </c>
      <c r="R14" s="30"/>
      <c r="S14" s="30"/>
      <c r="T14" s="30"/>
      <c r="U14" s="30"/>
      <c r="V14" s="30"/>
      <c r="Y14" t="s">
        <v>632</v>
      </c>
      <c r="Z14" s="30">
        <v>1235.3439584999901</v>
      </c>
      <c r="AA14" s="30">
        <v>1232.40275979129</v>
      </c>
      <c r="AB14" s="30">
        <v>1229.5572147294399</v>
      </c>
      <c r="AC14" s="30">
        <v>1226.8079964993999</v>
      </c>
      <c r="AD14" s="30">
        <v>1224.1558080457801</v>
      </c>
      <c r="AG14" t="s">
        <v>632</v>
      </c>
      <c r="AH14" s="30">
        <v>1235.3439584999901</v>
      </c>
      <c r="AI14" s="30">
        <v>1232.40275979129</v>
      </c>
      <c r="AJ14" s="30">
        <v>1229.5572147294399</v>
      </c>
      <c r="AK14" s="30">
        <v>1226.8079964993999</v>
      </c>
      <c r="AL14" s="30">
        <v>1224.1558080457801</v>
      </c>
    </row>
    <row r="16" spans="1:39" ht="18.600000000000001">
      <c r="A16" s="29" t="s">
        <v>633</v>
      </c>
    </row>
    <row r="17" spans="1:38">
      <c r="A17" s="1" t="s">
        <v>624</v>
      </c>
      <c r="B17" t="s">
        <v>625</v>
      </c>
    </row>
    <row r="18" spans="1:38">
      <c r="A18" s="1" t="s">
        <v>626</v>
      </c>
      <c r="B18" t="s">
        <v>634</v>
      </c>
      <c r="C18" s="1"/>
    </row>
    <row r="19" spans="1:38">
      <c r="A19" s="1" t="s">
        <v>630</v>
      </c>
      <c r="B19" s="1">
        <v>2021</v>
      </c>
      <c r="C19" s="1">
        <v>2022</v>
      </c>
      <c r="D19" s="1">
        <v>2023</v>
      </c>
      <c r="E19" s="1">
        <v>2024</v>
      </c>
      <c r="F19" s="1">
        <v>2025</v>
      </c>
    </row>
    <row r="20" spans="1:38">
      <c r="A20" t="s">
        <v>94</v>
      </c>
      <c r="B20" s="30">
        <v>0.62585913000000004</v>
      </c>
      <c r="C20" s="30">
        <v>0.63200592704091596</v>
      </c>
      <c r="D20" s="30">
        <v>0.63821309407893101</v>
      </c>
      <c r="E20" s="30">
        <v>0.64448122403040797</v>
      </c>
      <c r="F20" s="30">
        <v>0.65081091563496496</v>
      </c>
      <c r="H20" s="33" t="s">
        <v>5</v>
      </c>
      <c r="P20" s="33" t="s">
        <v>5</v>
      </c>
      <c r="X20" s="33" t="s">
        <v>5</v>
      </c>
      <c r="AF20" s="33" t="s">
        <v>5</v>
      </c>
    </row>
    <row r="21" spans="1:38">
      <c r="A21" t="s">
        <v>95</v>
      </c>
      <c r="B21" s="30">
        <v>0.57952241000000004</v>
      </c>
      <c r="C21" s="30">
        <v>0.58956460225483898</v>
      </c>
      <c r="D21" s="30">
        <v>0.59978080956680702</v>
      </c>
      <c r="E21" s="30">
        <v>0.610174047337255</v>
      </c>
      <c r="F21" s="30">
        <v>0.62074738321959699</v>
      </c>
      <c r="H21" s="33" t="s">
        <v>6</v>
      </c>
      <c r="P21" s="33" t="s">
        <v>6</v>
      </c>
      <c r="X21" s="33" t="s">
        <v>6</v>
      </c>
      <c r="AF21" s="33" t="s">
        <v>6</v>
      </c>
    </row>
    <row r="22" spans="1:38">
      <c r="A22" t="s">
        <v>96</v>
      </c>
      <c r="B22" s="30">
        <v>0.57430313</v>
      </c>
      <c r="C22" s="30">
        <v>0.59050323005799599</v>
      </c>
      <c r="D22" s="30">
        <v>0.60716030697747903</v>
      </c>
      <c r="E22" s="30">
        <v>0.62428725128697404</v>
      </c>
      <c r="F22" s="30">
        <v>0.64189731713456999</v>
      </c>
      <c r="H22" s="33" t="s">
        <v>7</v>
      </c>
      <c r="P22" s="33" t="s">
        <v>7</v>
      </c>
      <c r="X22" s="33" t="s">
        <v>7</v>
      </c>
      <c r="AF22" s="33" t="s">
        <v>7</v>
      </c>
    </row>
    <row r="23" spans="1:38">
      <c r="A23" t="s">
        <v>97</v>
      </c>
      <c r="B23" s="30">
        <v>0.60676063000000002</v>
      </c>
      <c r="C23" s="30">
        <v>0.622624200128016</v>
      </c>
      <c r="D23" s="30">
        <v>0.63890251841990997</v>
      </c>
      <c r="E23" s="30">
        <v>0.65560642833891702</v>
      </c>
      <c r="F23" s="30">
        <v>0.67274705684728398</v>
      </c>
      <c r="H23" s="33" t="s">
        <v>8</v>
      </c>
      <c r="P23" s="33" t="s">
        <v>8</v>
      </c>
      <c r="X23" s="33" t="s">
        <v>8</v>
      </c>
      <c r="AF23" s="33" t="s">
        <v>8</v>
      </c>
    </row>
    <row r="24" spans="1:38">
      <c r="A24" t="s">
        <v>98</v>
      </c>
      <c r="B24" s="30">
        <v>1.9019116</v>
      </c>
      <c r="C24" s="30">
        <v>1.92552185042086</v>
      </c>
      <c r="D24" s="30">
        <v>1.94942519749507</v>
      </c>
      <c r="E24" s="30">
        <v>1.9736252797121301</v>
      </c>
      <c r="F24" s="30">
        <v>1.9981257807296</v>
      </c>
      <c r="H24" s="33" t="s">
        <v>9</v>
      </c>
      <c r="P24" s="33" t="s">
        <v>9</v>
      </c>
      <c r="X24" s="33" t="s">
        <v>9</v>
      </c>
      <c r="AF24" s="33" t="s">
        <v>9</v>
      </c>
    </row>
    <row r="25" spans="1:38">
      <c r="A25" t="s">
        <v>99</v>
      </c>
      <c r="B25" s="30">
        <v>2.1236554000000001</v>
      </c>
      <c r="C25" s="30">
        <v>2.1382814767136402</v>
      </c>
      <c r="D25" s="30">
        <v>2.1530082863993201</v>
      </c>
      <c r="E25" s="30">
        <v>2.1678365228269301</v>
      </c>
      <c r="F25" s="30">
        <v>2.1827668845445101</v>
      </c>
      <c r="H25" s="33" t="s">
        <v>10</v>
      </c>
      <c r="P25" s="33" t="s">
        <v>10</v>
      </c>
      <c r="X25" s="33" t="s">
        <v>10</v>
      </c>
      <c r="AF25" s="33" t="s">
        <v>10</v>
      </c>
    </row>
    <row r="26" spans="1:38">
      <c r="A26" t="s">
        <v>632</v>
      </c>
      <c r="B26" s="30">
        <v>1.4526614</v>
      </c>
      <c r="C26" s="30">
        <v>1.45796043266939</v>
      </c>
      <c r="D26" s="30">
        <v>1.46327879520274</v>
      </c>
      <c r="E26" s="30">
        <v>1.4686165581117101</v>
      </c>
      <c r="F26" s="30">
        <v>1.4739737921651801</v>
      </c>
    </row>
    <row r="28" spans="1:38" ht="18.600000000000001">
      <c r="A28" s="29" t="s">
        <v>635</v>
      </c>
      <c r="I28" s="29" t="s">
        <v>636</v>
      </c>
      <c r="Q28" s="29" t="s">
        <v>637</v>
      </c>
      <c r="Y28" s="29" t="s">
        <v>638</v>
      </c>
      <c r="AG28" s="29" t="s">
        <v>638</v>
      </c>
    </row>
    <row r="29" spans="1:38">
      <c r="F29" s="1">
        <v>2025</v>
      </c>
      <c r="N29" s="1">
        <v>2025</v>
      </c>
      <c r="V29" s="1">
        <v>2022</v>
      </c>
      <c r="AD29" s="1">
        <v>2025</v>
      </c>
      <c r="AL29" s="1">
        <v>2025</v>
      </c>
    </row>
    <row r="30" spans="1:38">
      <c r="A30" s="33" t="s">
        <v>5</v>
      </c>
      <c r="F30" s="35">
        <f>F20*F8</f>
        <v>3.4657196751465968</v>
      </c>
      <c r="H30" s="33" t="s">
        <v>5</v>
      </c>
      <c r="N30" s="35">
        <f>N8</f>
        <v>33.420693634221806</v>
      </c>
      <c r="P30" s="33" t="s">
        <v>5</v>
      </c>
      <c r="V30" s="35">
        <f>V8</f>
        <v>0.37859999999999999</v>
      </c>
      <c r="X30" s="33" t="s">
        <v>5</v>
      </c>
      <c r="AD30" s="35">
        <f>AD8</f>
        <v>1078.9827968055399</v>
      </c>
      <c r="AF30" s="33" t="s">
        <v>5</v>
      </c>
      <c r="AL30" s="35">
        <f>AL8</f>
        <v>1078.9827968055399</v>
      </c>
    </row>
    <row r="31" spans="1:38">
      <c r="A31" s="33" t="s">
        <v>6</v>
      </c>
      <c r="F31" s="35">
        <f t="shared" ref="F31:F35" si="0">F21*F9</f>
        <v>5.0657604575609811</v>
      </c>
      <c r="H31" s="33" t="s">
        <v>6</v>
      </c>
      <c r="N31" s="35">
        <f t="shared" ref="N31:N35" si="1">N9</f>
        <v>23.854887619882447</v>
      </c>
      <c r="P31" s="33" t="s">
        <v>6</v>
      </c>
      <c r="V31" s="35">
        <f t="shared" ref="V31:V35" si="2">V9</f>
        <v>0.42020000000000002</v>
      </c>
      <c r="X31" s="33" t="s">
        <v>6</v>
      </c>
      <c r="AD31" s="35">
        <f t="shared" ref="AD31:AD35" si="3">AD9</f>
        <v>291.05959129262402</v>
      </c>
      <c r="AF31" s="33" t="s">
        <v>6</v>
      </c>
      <c r="AL31" s="35">
        <f t="shared" ref="AL31:AL35" si="4">AL9</f>
        <v>291.05959129262402</v>
      </c>
    </row>
    <row r="32" spans="1:38">
      <c r="A32" s="33" t="s">
        <v>7</v>
      </c>
      <c r="F32" s="35">
        <f t="shared" si="0"/>
        <v>10.839591134798816</v>
      </c>
      <c r="H32" s="33" t="s">
        <v>7</v>
      </c>
      <c r="N32" s="35">
        <f t="shared" si="1"/>
        <v>229.84724507706335</v>
      </c>
      <c r="P32" s="33" t="s">
        <v>7</v>
      </c>
      <c r="V32" s="35">
        <f t="shared" si="2"/>
        <v>0.61539999999999995</v>
      </c>
      <c r="X32" s="33" t="s">
        <v>7</v>
      </c>
      <c r="AD32" s="35">
        <f t="shared" si="3"/>
        <v>391.79377206257402</v>
      </c>
      <c r="AF32" s="33" t="s">
        <v>7</v>
      </c>
      <c r="AL32" s="35">
        <f t="shared" si="4"/>
        <v>391.79377206257402</v>
      </c>
    </row>
    <row r="33" spans="1:39">
      <c r="A33" s="33" t="s">
        <v>8</v>
      </c>
      <c r="F33" s="35">
        <f t="shared" si="0"/>
        <v>12.422171589799973</v>
      </c>
      <c r="H33" s="33" t="s">
        <v>8</v>
      </c>
      <c r="N33" s="35">
        <f t="shared" si="1"/>
        <v>260.49981891812621</v>
      </c>
      <c r="P33" s="33" t="s">
        <v>8</v>
      </c>
      <c r="V33" s="35">
        <f t="shared" si="2"/>
        <v>0.51</v>
      </c>
      <c r="X33" s="33" t="s">
        <v>8</v>
      </c>
      <c r="AD33" s="35">
        <f t="shared" si="3"/>
        <v>593.49231856741903</v>
      </c>
      <c r="AF33" s="33" t="s">
        <v>8</v>
      </c>
      <c r="AL33" s="35">
        <f t="shared" si="4"/>
        <v>593.49231856741903</v>
      </c>
    </row>
    <row r="34" spans="1:39">
      <c r="A34" s="33" t="s">
        <v>9</v>
      </c>
      <c r="F34" s="35">
        <f t="shared" si="0"/>
        <v>18.903167055207209</v>
      </c>
      <c r="H34" s="33" t="s">
        <v>9</v>
      </c>
      <c r="N34" s="35">
        <f t="shared" si="1"/>
        <v>152.04615532444177</v>
      </c>
      <c r="P34" s="33" t="s">
        <v>9</v>
      </c>
      <c r="V34" s="35">
        <f t="shared" si="2"/>
        <v>0.45419999999999999</v>
      </c>
      <c r="X34" s="33" t="s">
        <v>9</v>
      </c>
      <c r="AD34" s="35">
        <f t="shared" si="3"/>
        <v>1255.4694063147499</v>
      </c>
      <c r="AF34" s="33" t="s">
        <v>9</v>
      </c>
      <c r="AL34" s="35">
        <f t="shared" si="4"/>
        <v>1255.4694063147499</v>
      </c>
    </row>
    <row r="35" spans="1:39">
      <c r="A35" s="33" t="s">
        <v>10</v>
      </c>
      <c r="F35" s="35">
        <f t="shared" si="0"/>
        <v>3.4836640007232118</v>
      </c>
      <c r="H35" s="33" t="s">
        <v>10</v>
      </c>
      <c r="N35" s="35">
        <f t="shared" si="1"/>
        <v>5.9136254183677561</v>
      </c>
      <c r="P35" s="33" t="s">
        <v>10</v>
      </c>
      <c r="V35" s="35">
        <f t="shared" si="2"/>
        <v>0.24260000000000001</v>
      </c>
      <c r="X35" s="33" t="s">
        <v>10</v>
      </c>
      <c r="AD35" s="35">
        <f t="shared" si="3"/>
        <v>1168.7790565616399</v>
      </c>
      <c r="AF35" s="33" t="s">
        <v>10</v>
      </c>
      <c r="AL35" s="35">
        <f t="shared" si="4"/>
        <v>1168.7790565616399</v>
      </c>
    </row>
    <row r="37" spans="1:39" ht="18.600000000000001">
      <c r="A37" s="29" t="s">
        <v>639</v>
      </c>
    </row>
    <row r="38" spans="1:39">
      <c r="F38" s="1">
        <v>2025</v>
      </c>
      <c r="N38" s="1">
        <v>2025</v>
      </c>
      <c r="V38" s="1">
        <v>2022</v>
      </c>
      <c r="AD38" s="1">
        <v>2025</v>
      </c>
      <c r="AL38" s="1">
        <v>2025</v>
      </c>
    </row>
    <row r="39" spans="1:39">
      <c r="A39" s="33" t="s">
        <v>5</v>
      </c>
      <c r="F39" s="35">
        <f>F30/SUM($F$30:$F$35)</f>
        <v>6.3966684148429778E-2</v>
      </c>
      <c r="H39" s="33" t="s">
        <v>5</v>
      </c>
      <c r="N39" s="35">
        <f>N30/SUM($N$30:$N$35)</f>
        <v>4.73661083426642E-2</v>
      </c>
      <c r="P39" s="33" t="s">
        <v>5</v>
      </c>
      <c r="V39" s="35">
        <f>V30/SUM($V$30:$V$35)</f>
        <v>0.14444868370850819</v>
      </c>
      <c r="X39" s="33" t="s">
        <v>5</v>
      </c>
      <c r="AD39" s="35">
        <f>AD30/SUM($AD$30:$AD$35)</f>
        <v>0.22574859867060026</v>
      </c>
      <c r="AF39" s="33" t="s">
        <v>5</v>
      </c>
      <c r="AL39" s="35">
        <f>AL30/SUM($AL$30:$AL$35)</f>
        <v>0.22574859867060026</v>
      </c>
    </row>
    <row r="40" spans="1:39">
      <c r="A40" s="33" t="s">
        <v>6</v>
      </c>
      <c r="F40" s="35">
        <f t="shared" ref="F40:F44" si="5">F31/SUM($F$30:$F$35)</f>
        <v>9.3498588903241794E-2</v>
      </c>
      <c r="H40" s="33" t="s">
        <v>6</v>
      </c>
      <c r="N40" s="35">
        <f t="shared" ref="N40:N44" si="6">N31/SUM($N$30:$N$35)</f>
        <v>3.3808789364815371E-2</v>
      </c>
      <c r="P40" s="33" t="s">
        <v>6</v>
      </c>
      <c r="V40" s="35">
        <f t="shared" ref="V40:V44" si="7">V31/SUM($V$30:$V$35)</f>
        <v>0.16032048836322016</v>
      </c>
      <c r="X40" s="33" t="s">
        <v>6</v>
      </c>
      <c r="AD40" s="35">
        <f t="shared" ref="AD40:AD44" si="8">AD31/SUM($AD$30:$AD$35)</f>
        <v>6.0896517589046843E-2</v>
      </c>
      <c r="AF40" s="33" t="s">
        <v>6</v>
      </c>
      <c r="AL40" s="35">
        <f t="shared" ref="AL40:AL44" si="9">AL31/SUM($AL$30:$AL$35)</f>
        <v>6.0896517589046843E-2</v>
      </c>
    </row>
    <row r="41" spans="1:39">
      <c r="A41" s="33" t="s">
        <v>7</v>
      </c>
      <c r="F41" s="35">
        <f t="shared" si="5"/>
        <v>0.20006600862444718</v>
      </c>
      <c r="H41" s="33" t="s">
        <v>7</v>
      </c>
      <c r="N41" s="35">
        <f t="shared" si="6"/>
        <v>0.32575534283451069</v>
      </c>
      <c r="P41" s="33" t="s">
        <v>7</v>
      </c>
      <c r="V41" s="35">
        <f t="shared" si="7"/>
        <v>0.23479587943533001</v>
      </c>
      <c r="X41" s="33" t="s">
        <v>7</v>
      </c>
      <c r="AD41" s="35">
        <f t="shared" si="8"/>
        <v>8.1972479332249298E-2</v>
      </c>
      <c r="AF41" s="33" t="s">
        <v>7</v>
      </c>
      <c r="AL41" s="35">
        <f t="shared" si="9"/>
        <v>8.1972479332249298E-2</v>
      </c>
    </row>
    <row r="42" spans="1:39">
      <c r="A42" s="33" t="s">
        <v>8</v>
      </c>
      <c r="F42" s="35">
        <f t="shared" si="5"/>
        <v>0.22927564863962102</v>
      </c>
      <c r="H42" s="33" t="s">
        <v>8</v>
      </c>
      <c r="N42" s="35">
        <f t="shared" si="6"/>
        <v>0.36919828119562842</v>
      </c>
      <c r="P42" s="33" t="s">
        <v>8</v>
      </c>
      <c r="V42" s="35">
        <f t="shared" si="7"/>
        <v>0.19458222052651661</v>
      </c>
      <c r="X42" s="33" t="s">
        <v>8</v>
      </c>
      <c r="AD42" s="35">
        <f t="shared" si="8"/>
        <v>0.12417256293151718</v>
      </c>
      <c r="AF42" s="33" t="s">
        <v>8</v>
      </c>
      <c r="AL42" s="35">
        <f t="shared" si="9"/>
        <v>0.12417256293151718</v>
      </c>
    </row>
    <row r="43" spans="1:39">
      <c r="A43" s="33" t="s">
        <v>9</v>
      </c>
      <c r="F43" s="35">
        <f t="shared" si="5"/>
        <v>0.34889518765660005</v>
      </c>
      <c r="H43" s="33" t="s">
        <v>9</v>
      </c>
      <c r="N43" s="35">
        <f t="shared" si="6"/>
        <v>0.21549028111159821</v>
      </c>
      <c r="P43" s="33" t="s">
        <v>9</v>
      </c>
      <c r="V43" s="35">
        <f t="shared" si="7"/>
        <v>0.17329263639832124</v>
      </c>
      <c r="X43" s="33" t="s">
        <v>9</v>
      </c>
      <c r="AD43" s="35">
        <f t="shared" si="8"/>
        <v>0.26267375160055012</v>
      </c>
      <c r="AF43" s="33" t="s">
        <v>9</v>
      </c>
      <c r="AL43" s="35">
        <f t="shared" si="9"/>
        <v>0.26267375160055012</v>
      </c>
    </row>
    <row r="44" spans="1:39">
      <c r="A44" s="33" t="s">
        <v>10</v>
      </c>
      <c r="F44" s="35">
        <f t="shared" si="5"/>
        <v>6.4297882027660264E-2</v>
      </c>
      <c r="H44" s="33" t="s">
        <v>10</v>
      </c>
      <c r="N44" s="35">
        <f t="shared" si="6"/>
        <v>8.3811971507832591E-3</v>
      </c>
      <c r="P44" s="33" t="s">
        <v>10</v>
      </c>
      <c r="V44" s="35">
        <f t="shared" si="7"/>
        <v>9.2560091568103783E-2</v>
      </c>
      <c r="X44" s="33" t="s">
        <v>10</v>
      </c>
      <c r="AD44" s="35">
        <f t="shared" si="8"/>
        <v>0.24453608987603623</v>
      </c>
      <c r="AF44" s="33" t="s">
        <v>10</v>
      </c>
      <c r="AL44" s="35">
        <f t="shared" si="9"/>
        <v>0.24453608987603623</v>
      </c>
    </row>
    <row r="45" spans="1:39">
      <c r="F45" s="35"/>
    </row>
    <row r="46" spans="1:39" ht="18.600000000000001">
      <c r="A46" s="29" t="s">
        <v>640</v>
      </c>
    </row>
    <row r="47" spans="1:39">
      <c r="A47" s="16" t="s">
        <v>616</v>
      </c>
      <c r="B47" s="15"/>
      <c r="C47" s="15"/>
      <c r="D47" s="15"/>
      <c r="E47" s="15"/>
      <c r="F47" s="15"/>
      <c r="G47" s="15"/>
      <c r="I47" s="16" t="s">
        <v>617</v>
      </c>
      <c r="J47" s="15"/>
      <c r="K47" s="15"/>
      <c r="L47" s="15"/>
      <c r="M47" s="15"/>
      <c r="N47" s="15"/>
      <c r="O47" s="15"/>
      <c r="Q47" s="16" t="s">
        <v>618</v>
      </c>
      <c r="R47" s="15"/>
      <c r="S47" s="15"/>
      <c r="T47" s="15"/>
      <c r="U47" s="15"/>
      <c r="V47" s="15"/>
      <c r="W47" s="15"/>
      <c r="Y47" s="16" t="s">
        <v>619</v>
      </c>
      <c r="Z47" s="15"/>
      <c r="AA47" s="15"/>
      <c r="AB47" s="15"/>
      <c r="AC47" s="15"/>
      <c r="AD47" s="15"/>
      <c r="AE47" s="15"/>
      <c r="AG47" s="16" t="s">
        <v>620</v>
      </c>
      <c r="AH47" s="15"/>
      <c r="AI47" s="15"/>
      <c r="AJ47" s="15"/>
      <c r="AK47" s="15"/>
      <c r="AL47" s="15"/>
      <c r="AM47" s="15"/>
    </row>
    <row r="48" spans="1:39" ht="15" thickBot="1"/>
    <row r="49" spans="2:39" ht="15" thickBot="1">
      <c r="B49" s="6" t="s">
        <v>5</v>
      </c>
      <c r="C49" s="7" t="s">
        <v>6</v>
      </c>
      <c r="D49" s="7" t="s">
        <v>7</v>
      </c>
      <c r="E49" s="7" t="s">
        <v>8</v>
      </c>
      <c r="F49" s="7" t="s">
        <v>9</v>
      </c>
      <c r="G49" s="8" t="s">
        <v>10</v>
      </c>
      <c r="J49" s="6" t="s">
        <v>5</v>
      </c>
      <c r="K49" s="7" t="s">
        <v>6</v>
      </c>
      <c r="L49" s="7" t="s">
        <v>7</v>
      </c>
      <c r="M49" s="7" t="s">
        <v>8</v>
      </c>
      <c r="N49" s="7" t="s">
        <v>9</v>
      </c>
      <c r="O49" s="8" t="s">
        <v>10</v>
      </c>
      <c r="R49" s="6" t="s">
        <v>5</v>
      </c>
      <c r="S49" s="7" t="s">
        <v>6</v>
      </c>
      <c r="T49" s="7" t="s">
        <v>7</v>
      </c>
      <c r="U49" s="7" t="s">
        <v>8</v>
      </c>
      <c r="V49" s="7" t="s">
        <v>9</v>
      </c>
      <c r="W49" s="8" t="s">
        <v>10</v>
      </c>
      <c r="Z49" s="6" t="s">
        <v>5</v>
      </c>
      <c r="AA49" s="7" t="s">
        <v>6</v>
      </c>
      <c r="AB49" s="7" t="s">
        <v>7</v>
      </c>
      <c r="AC49" s="7" t="s">
        <v>8</v>
      </c>
      <c r="AD49" s="7" t="s">
        <v>9</v>
      </c>
      <c r="AE49" s="8" t="s">
        <v>10</v>
      </c>
      <c r="AH49" s="6" t="s">
        <v>5</v>
      </c>
      <c r="AI49" s="7" t="s">
        <v>6</v>
      </c>
      <c r="AJ49" s="7" t="s">
        <v>7</v>
      </c>
      <c r="AK49" s="7" t="s">
        <v>8</v>
      </c>
      <c r="AL49" s="7" t="s">
        <v>9</v>
      </c>
      <c r="AM49" s="8" t="s">
        <v>10</v>
      </c>
    </row>
    <row r="50" spans="2:39">
      <c r="B50" s="35">
        <f>F39</f>
        <v>6.3966684148429778E-2</v>
      </c>
      <c r="C50" s="35">
        <f>F40</f>
        <v>9.3498588903241794E-2</v>
      </c>
      <c r="D50" s="35">
        <f>F41</f>
        <v>0.20006600862444718</v>
      </c>
      <c r="E50" s="35">
        <f>F42</f>
        <v>0.22927564863962102</v>
      </c>
      <c r="F50" s="35">
        <f>F43</f>
        <v>0.34889518765660005</v>
      </c>
      <c r="G50" s="35">
        <f>F44</f>
        <v>6.4297882027660264E-2</v>
      </c>
      <c r="J50" s="35">
        <f>N39</f>
        <v>4.73661083426642E-2</v>
      </c>
      <c r="K50" s="35">
        <f>N40</f>
        <v>3.3808789364815371E-2</v>
      </c>
      <c r="L50" s="35">
        <f>N41</f>
        <v>0.32575534283451069</v>
      </c>
      <c r="M50" s="35">
        <f>N42</f>
        <v>0.36919828119562842</v>
      </c>
      <c r="N50" s="35">
        <f>N43</f>
        <v>0.21549028111159821</v>
      </c>
      <c r="O50" s="35">
        <f>N44</f>
        <v>8.3811971507832591E-3</v>
      </c>
      <c r="R50" s="35">
        <f>V39</f>
        <v>0.14444868370850819</v>
      </c>
      <c r="S50" s="35">
        <f>V40</f>
        <v>0.16032048836322016</v>
      </c>
      <c r="T50" s="35">
        <f>V41</f>
        <v>0.23479587943533001</v>
      </c>
      <c r="U50" s="35">
        <f>V42</f>
        <v>0.19458222052651661</v>
      </c>
      <c r="V50" s="35">
        <f>V43</f>
        <v>0.17329263639832124</v>
      </c>
      <c r="W50" s="35">
        <f>V44</f>
        <v>9.2560091568103783E-2</v>
      </c>
      <c r="Z50" s="35">
        <f>AD39</f>
        <v>0.22574859867060026</v>
      </c>
      <c r="AA50" s="35">
        <f>AD40</f>
        <v>6.0896517589046843E-2</v>
      </c>
      <c r="AB50" s="35">
        <f>AD41</f>
        <v>8.1972479332249298E-2</v>
      </c>
      <c r="AC50" s="35">
        <f>AD42</f>
        <v>0.12417256293151718</v>
      </c>
      <c r="AD50" s="35">
        <f>AD43</f>
        <v>0.26267375160055012</v>
      </c>
      <c r="AE50" s="35">
        <f>AD44</f>
        <v>0.24453608987603623</v>
      </c>
      <c r="AH50" s="35">
        <f>AL39</f>
        <v>0.22574859867060026</v>
      </c>
      <c r="AI50" s="35">
        <f>AL40</f>
        <v>6.0896517589046843E-2</v>
      </c>
      <c r="AJ50" s="35">
        <f>AL41</f>
        <v>8.1972479332249298E-2</v>
      </c>
      <c r="AK50" s="35">
        <f>AL42</f>
        <v>0.12417256293151718</v>
      </c>
      <c r="AL50" s="35">
        <f>AL43</f>
        <v>0.26267375160055012</v>
      </c>
      <c r="AM50" s="35">
        <f>AL44</f>
        <v>0.24453608987603623</v>
      </c>
    </row>
  </sheetData>
  <sheetProtection algorithmName="SHA-512" hashValue="qVJzz+GEha3UN/YusHZqRbPM/Ww9xITmNkIoTVzR3jICybsmOCnXoHq/OKidkCzDS/WtkRD7Fsm1BW5NWnRyhA==" saltValue="YVnjBvAVsijmrUgOAw44sQ==" spinCount="100000" sheet="1" objects="1" scenarios="1"/>
  <hyperlinks>
    <hyperlink ref="A1" r:id="rId1" display="../../../../../../../:x:/s/CGIARTransitionandInception-Generaldocsandinfo/EUrrNnmcbpxJp6h1nzB3aVoB2rjCi2V55kl0yLoR5PVrqA?e=1fWTnL" xr:uid="{CE7E3214-F671-4C6C-A01A-28682387FEA9}"/>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DABE-6049-4560-9FFE-BA028B1DD554}">
  <dimension ref="A1:D84"/>
  <sheetViews>
    <sheetView zoomScale="162" zoomScaleNormal="162" workbookViewId="0">
      <pane ySplit="4" topLeftCell="A5" activePane="bottomLeft" state="frozen"/>
      <selection pane="bottomLeft" activeCell="C6" sqref="C6"/>
    </sheetView>
  </sheetViews>
  <sheetFormatPr defaultColWidth="8.42578125" defaultRowHeight="15.6"/>
  <cols>
    <col min="1" max="1" width="30" style="106" customWidth="1"/>
    <col min="2" max="2" width="54.85546875" style="106" customWidth="1"/>
    <col min="3" max="3" width="59" style="106" customWidth="1"/>
    <col min="4" max="4" width="52.140625" style="106" customWidth="1"/>
    <col min="5" max="16384" width="8.42578125" style="105"/>
  </cols>
  <sheetData>
    <row r="1" spans="1:4" s="104" customFormat="1" ht="36" customHeight="1">
      <c r="A1" s="141" t="s">
        <v>641</v>
      </c>
      <c r="B1" s="142"/>
      <c r="C1" s="142"/>
      <c r="D1" s="142"/>
    </row>
    <row r="2" spans="1:4" s="104" customFormat="1" hidden="1">
      <c r="A2" s="106"/>
      <c r="B2" s="106"/>
      <c r="C2" s="106"/>
      <c r="D2" s="106"/>
    </row>
    <row r="3" spans="1:4" s="104" customFormat="1" hidden="1">
      <c r="A3" s="106"/>
      <c r="B3" s="106"/>
      <c r="C3" s="106"/>
      <c r="D3" s="106"/>
    </row>
    <row r="4" spans="1:4" s="104" customFormat="1" ht="30.95">
      <c r="A4" s="107" t="s">
        <v>642</v>
      </c>
      <c r="B4" s="107" t="s">
        <v>643</v>
      </c>
      <c r="C4" s="107" t="s">
        <v>644</v>
      </c>
      <c r="D4" s="107" t="s">
        <v>645</v>
      </c>
    </row>
    <row r="5" spans="1:4" s="104" customFormat="1">
      <c r="A5" s="108" t="s">
        <v>646</v>
      </c>
      <c r="B5" s="108"/>
      <c r="C5" s="108"/>
      <c r="D5" s="108"/>
    </row>
    <row r="6" spans="1:4" ht="341.1">
      <c r="A6" s="109" t="str">
        <f>HLOs!D8</f>
        <v xml:space="preserve">HLO 1.1.1: Demand signaling </v>
      </c>
      <c r="B6" s="109" t="s">
        <v>647</v>
      </c>
      <c r="C6" s="109" t="s">
        <v>648</v>
      </c>
      <c r="D6" s="109" t="s">
        <v>649</v>
      </c>
    </row>
    <row r="7" spans="1:4" ht="279">
      <c r="A7" s="109" t="str">
        <f>HLOs!D9</f>
        <v>HLO 1.1.2: Feedback and adaptive research and scaling prioritization</v>
      </c>
      <c r="B7" s="109" t="s">
        <v>650</v>
      </c>
      <c r="C7" s="109" t="s">
        <v>651</v>
      </c>
      <c r="D7" s="109" t="s">
        <v>652</v>
      </c>
    </row>
    <row r="8" spans="1:4" ht="409.5">
      <c r="A8" s="109" t="str">
        <f>HLOs!D10</f>
        <v>HLO 1.1.3: Enhance strategies and coordination</v>
      </c>
      <c r="B8" s="109" t="s">
        <v>653</v>
      </c>
      <c r="C8" s="109" t="s">
        <v>654</v>
      </c>
      <c r="D8" s="109" t="s">
        <v>655</v>
      </c>
    </row>
    <row r="9" spans="1:4" ht="387.6">
      <c r="A9" s="109" t="str">
        <f>HLOs!D11</f>
        <v xml:space="preserve">HLO 2.2.1: Innovation networks enhance agrifood system solution scaling </v>
      </c>
      <c r="B9" s="109" t="s">
        <v>656</v>
      </c>
      <c r="C9" s="109" t="s">
        <v>657</v>
      </c>
      <c r="D9" s="109" t="s">
        <v>658</v>
      </c>
    </row>
    <row r="10" spans="1:4" ht="402.95">
      <c r="A10" s="109" t="str">
        <f>HLOs!D12</f>
        <v xml:space="preserve">HLO 2.2.2: Methods evaluating agrifood system solutions for scale </v>
      </c>
      <c r="B10" s="109" t="s">
        <v>659</v>
      </c>
      <c r="C10" s="109" t="s">
        <v>660</v>
      </c>
      <c r="D10" s="109" t="s">
        <v>661</v>
      </c>
    </row>
    <row r="11" spans="1:4" ht="356.45">
      <c r="A11" s="109" t="str">
        <f>HLOs!D13</f>
        <v xml:space="preserve">HLO 2.2.3: Scale-ready agrifood system solution bundles and packages </v>
      </c>
      <c r="B11" s="109" t="s">
        <v>662</v>
      </c>
      <c r="C11" s="109" t="s">
        <v>663</v>
      </c>
      <c r="D11" s="109" t="s">
        <v>664</v>
      </c>
    </row>
    <row r="12" spans="1:4" ht="236.1" customHeight="1">
      <c r="A12" s="109" t="str">
        <f>HLOs!D14</f>
        <v xml:space="preserve">HLO 2.2.4: Agrifood system solution scaling strategies </v>
      </c>
      <c r="B12" s="109" t="s">
        <v>665</v>
      </c>
      <c r="C12" s="109" t="s">
        <v>666</v>
      </c>
      <c r="D12" s="109" t="s">
        <v>667</v>
      </c>
    </row>
    <row r="13" spans="1:4" ht="387.6">
      <c r="A13" s="109" t="str">
        <f>HLOs!D15</f>
        <v xml:space="preserve">HLO 3.3.1: Enabling environment diagnostics </v>
      </c>
      <c r="B13" s="109" t="s">
        <v>668</v>
      </c>
      <c r="C13" s="109" t="s">
        <v>669</v>
      </c>
      <c r="D13" s="109" t="s">
        <v>670</v>
      </c>
    </row>
    <row r="14" spans="1:4" ht="356.45">
      <c r="A14" s="109" t="str">
        <f>HLOs!D16</f>
        <v xml:space="preserve">HLO 3.3.2: Scaling support services for enabling 
environments and institutions </v>
      </c>
      <c r="B14" s="109" t="s">
        <v>671</v>
      </c>
      <c r="C14" s="109" t="s">
        <v>672</v>
      </c>
      <c r="D14" s="109" t="s">
        <v>673</v>
      </c>
    </row>
    <row r="15" spans="1:4" ht="387.6">
      <c r="A15" s="109" t="str">
        <f>HLOs!D17</f>
        <v xml:space="preserve">HLO 3.3.3: Science-policy partnership interfaces for responsible scaling </v>
      </c>
      <c r="B15" s="109" t="s">
        <v>674</v>
      </c>
      <c r="C15" s="109" t="s">
        <v>675</v>
      </c>
      <c r="D15" s="109" t="s">
        <v>676</v>
      </c>
    </row>
    <row r="16" spans="1:4" ht="341.1">
      <c r="A16" s="109" t="str">
        <f>HLOs!D18</f>
        <v>HLO 4.4.1: CGIAR Expertise and Solutions Embedded in Development Investments and Partnerships</v>
      </c>
      <c r="B16" s="109" t="s">
        <v>677</v>
      </c>
      <c r="C16" s="109" t="s">
        <v>678</v>
      </c>
      <c r="D16" s="109" t="s">
        <v>679</v>
      </c>
    </row>
    <row r="17" spans="1:4" ht="372">
      <c r="A17" s="109" t="str">
        <f>HLOs!D19</f>
        <v>HLO 4.4.2: Innovation portfolio management and scaling strategy support teams</v>
      </c>
      <c r="B17" s="109" t="s">
        <v>680</v>
      </c>
      <c r="C17" s="109" t="s">
        <v>681</v>
      </c>
      <c r="D17" s="109" t="s">
        <v>682</v>
      </c>
    </row>
    <row r="18" spans="1:4" ht="341.1">
      <c r="A18" s="109" t="str">
        <f>HLOs!D20</f>
        <v xml:space="preserve">HLO 5.5.1: Enhancing scaling science for societal impact </v>
      </c>
      <c r="B18" s="109" t="s">
        <v>683</v>
      </c>
      <c r="C18" s="109" t="s">
        <v>684</v>
      </c>
      <c r="D18" s="109" t="s">
        <v>685</v>
      </c>
    </row>
    <row r="19" spans="1:4" ht="294.60000000000002">
      <c r="A19" s="109" t="str">
        <f>HLOs!D21</f>
        <v>HLO 5.5.2: Insights for CGIAR scaling success through impact assessments</v>
      </c>
      <c r="B19" s="109" t="s">
        <v>686</v>
      </c>
      <c r="C19" s="109" t="s">
        <v>687</v>
      </c>
      <c r="D19" s="109" t="s">
        <v>688</v>
      </c>
    </row>
    <row r="20" spans="1:4" ht="387.6">
      <c r="A20" s="109" t="str">
        <f>HLOs!D22</f>
        <v>HLO 5.5.3: Custom analytics for managing innovation portfolios and decision-making</v>
      </c>
      <c r="B20" s="109" t="s">
        <v>689</v>
      </c>
      <c r="C20" s="109" t="s">
        <v>690</v>
      </c>
      <c r="D20" s="109" t="s">
        <v>691</v>
      </c>
    </row>
    <row r="21" spans="1:4">
      <c r="A21" s="110" t="s">
        <v>617</v>
      </c>
      <c r="B21" s="110"/>
      <c r="C21" s="110"/>
      <c r="D21" s="110"/>
    </row>
    <row r="22" spans="1:4" ht="309.95">
      <c r="A22" s="109" t="str">
        <f>HLOs!D8</f>
        <v xml:space="preserve">HLO 1.1.1: Demand signaling </v>
      </c>
      <c r="B22" s="109" t="s">
        <v>692</v>
      </c>
      <c r="C22" s="109" t="s">
        <v>693</v>
      </c>
      <c r="D22" s="109" t="s">
        <v>694</v>
      </c>
    </row>
    <row r="23" spans="1:4" ht="294.60000000000002">
      <c r="A23" s="109" t="str">
        <f>HLOs!D9</f>
        <v>HLO 1.1.2: Feedback and adaptive research and scaling prioritization</v>
      </c>
      <c r="B23" s="109" t="s">
        <v>695</v>
      </c>
      <c r="C23" s="109" t="s">
        <v>696</v>
      </c>
      <c r="D23" s="109" t="s">
        <v>697</v>
      </c>
    </row>
    <row r="24" spans="1:4" ht="279">
      <c r="A24" s="109" t="str">
        <f>HLOs!D10</f>
        <v>HLO 1.1.3: Enhance strategies and coordination</v>
      </c>
      <c r="B24" s="109" t="s">
        <v>698</v>
      </c>
      <c r="C24" s="109" t="s">
        <v>699</v>
      </c>
      <c r="D24" s="109" t="s">
        <v>655</v>
      </c>
    </row>
    <row r="25" spans="1:4" ht="309.95">
      <c r="A25" s="109" t="str">
        <f>HLOs!D11</f>
        <v xml:space="preserve">HLO 2.2.1: Innovation networks enhance agrifood system solution scaling </v>
      </c>
      <c r="B25" s="109" t="s">
        <v>700</v>
      </c>
      <c r="C25" s="109" t="s">
        <v>701</v>
      </c>
      <c r="D25" s="109" t="s">
        <v>702</v>
      </c>
    </row>
    <row r="26" spans="1:4" ht="309.95">
      <c r="A26" s="109" t="str">
        <f>HLOs!D12</f>
        <v xml:space="preserve">HLO 2.2.2: Methods evaluating agrifood system solutions for scale </v>
      </c>
      <c r="B26" s="109" t="s">
        <v>703</v>
      </c>
      <c r="C26" s="109" t="s">
        <v>704</v>
      </c>
      <c r="D26" s="109" t="s">
        <v>705</v>
      </c>
    </row>
    <row r="27" spans="1:4" ht="294.60000000000002">
      <c r="A27" s="109" t="str">
        <f>HLOs!D13</f>
        <v xml:space="preserve">HLO 2.2.3: Scale-ready agrifood system solution bundles and packages </v>
      </c>
      <c r="B27" s="109" t="s">
        <v>706</v>
      </c>
      <c r="C27" s="109" t="s">
        <v>707</v>
      </c>
      <c r="D27" s="109" t="s">
        <v>708</v>
      </c>
    </row>
    <row r="28" spans="1:4" ht="294.60000000000002">
      <c r="A28" s="109" t="str">
        <f>HLOs!D14</f>
        <v xml:space="preserve">HLO 2.2.4: Agrifood system solution scaling strategies </v>
      </c>
      <c r="B28" s="109" t="s">
        <v>709</v>
      </c>
      <c r="C28" s="109" t="s">
        <v>710</v>
      </c>
      <c r="D28" s="109" t="s">
        <v>711</v>
      </c>
    </row>
    <row r="29" spans="1:4" ht="294.60000000000002">
      <c r="A29" s="109" t="str">
        <f>HLOs!D15</f>
        <v xml:space="preserve">HLO 3.3.1: Enabling environment diagnostics </v>
      </c>
      <c r="B29" s="109" t="s">
        <v>712</v>
      </c>
      <c r="C29" s="109" t="s">
        <v>713</v>
      </c>
      <c r="D29" s="109" t="s">
        <v>714</v>
      </c>
    </row>
    <row r="30" spans="1:4" ht="309.95">
      <c r="A30" s="109" t="str">
        <f>HLOs!D16</f>
        <v xml:space="preserve">HLO 3.3.2: Scaling support services for enabling 
environments and institutions </v>
      </c>
      <c r="B30" s="109" t="s">
        <v>715</v>
      </c>
      <c r="C30" s="109" t="s">
        <v>716</v>
      </c>
      <c r="D30" s="109" t="s">
        <v>717</v>
      </c>
    </row>
    <row r="31" spans="1:4" ht="309.95">
      <c r="A31" s="109" t="str">
        <f>HLOs!D17</f>
        <v xml:space="preserve">HLO 3.3.3: Science-policy partnership interfaces for responsible scaling </v>
      </c>
      <c r="B31" s="109" t="s">
        <v>718</v>
      </c>
      <c r="C31" s="109" t="s">
        <v>719</v>
      </c>
      <c r="D31" s="109" t="s">
        <v>720</v>
      </c>
    </row>
    <row r="32" spans="1:4" ht="294.60000000000002">
      <c r="A32" s="109" t="str">
        <f>HLOs!D18</f>
        <v>HLO 4.4.1: CGIAR Expertise and Solutions Embedded in Development Investments and Partnerships</v>
      </c>
      <c r="B32" s="109" t="s">
        <v>721</v>
      </c>
      <c r="C32" s="109" t="s">
        <v>722</v>
      </c>
      <c r="D32" s="109" t="s">
        <v>723</v>
      </c>
    </row>
    <row r="33" spans="1:4" ht="279">
      <c r="A33" s="109" t="str">
        <f>HLOs!D19</f>
        <v>HLO 4.4.2: Innovation portfolio management and scaling strategy support teams</v>
      </c>
      <c r="B33" s="109" t="s">
        <v>724</v>
      </c>
      <c r="C33" s="109" t="s">
        <v>725</v>
      </c>
      <c r="D33" s="109" t="s">
        <v>726</v>
      </c>
    </row>
    <row r="34" spans="1:4" ht="279">
      <c r="A34" s="109" t="str">
        <f>HLOs!D20</f>
        <v xml:space="preserve">HLO 5.5.1: Enhancing scaling science for societal impact </v>
      </c>
      <c r="B34" s="109" t="s">
        <v>727</v>
      </c>
      <c r="C34" s="109" t="s">
        <v>728</v>
      </c>
      <c r="D34" s="109" t="s">
        <v>729</v>
      </c>
    </row>
    <row r="35" spans="1:4" ht="263.45">
      <c r="A35" s="109" t="str">
        <f>HLOs!D21</f>
        <v>HLO 5.5.2: Insights for CGIAR scaling success through impact assessments</v>
      </c>
      <c r="B35" s="109" t="s">
        <v>730</v>
      </c>
      <c r="C35" s="109" t="s">
        <v>731</v>
      </c>
      <c r="D35" s="109" t="s">
        <v>732</v>
      </c>
    </row>
    <row r="36" spans="1:4" ht="263.45">
      <c r="A36" s="109" t="str">
        <f>HLOs!D22</f>
        <v>HLO 5.5.3: Custom analytics for managing innovation portfolios and decision-making</v>
      </c>
      <c r="B36" s="109" t="s">
        <v>733</v>
      </c>
      <c r="C36" s="109" t="s">
        <v>734</v>
      </c>
      <c r="D36" s="109" t="s">
        <v>735</v>
      </c>
    </row>
    <row r="37" spans="1:4">
      <c r="A37" s="108" t="s">
        <v>736</v>
      </c>
      <c r="B37" s="108"/>
      <c r="C37" s="108"/>
      <c r="D37" s="108"/>
    </row>
    <row r="38" spans="1:4" ht="325.5">
      <c r="A38" s="109" t="str">
        <f>HLOs!D8</f>
        <v xml:space="preserve">HLO 1.1.1: Demand signaling </v>
      </c>
      <c r="B38" s="109" t="s">
        <v>737</v>
      </c>
      <c r="C38" s="109" t="s">
        <v>738</v>
      </c>
      <c r="D38" s="109" t="s">
        <v>739</v>
      </c>
    </row>
    <row r="39" spans="1:4" ht="341.1">
      <c r="A39" s="109" t="str">
        <f>HLOs!D9</f>
        <v>HLO 1.1.2: Feedback and adaptive research and scaling prioritization</v>
      </c>
      <c r="B39" s="109" t="s">
        <v>740</v>
      </c>
      <c r="C39" s="109" t="s">
        <v>741</v>
      </c>
      <c r="D39" s="109" t="s">
        <v>742</v>
      </c>
    </row>
    <row r="40" spans="1:4" ht="341.1">
      <c r="A40" s="109" t="str">
        <f>HLOs!D10</f>
        <v>HLO 1.1.3: Enhance strategies and coordination</v>
      </c>
      <c r="B40" s="109" t="s">
        <v>743</v>
      </c>
      <c r="C40" s="109" t="s">
        <v>744</v>
      </c>
      <c r="D40" s="109" t="s">
        <v>745</v>
      </c>
    </row>
    <row r="41" spans="1:4" ht="294.60000000000002">
      <c r="A41" s="109" t="str">
        <f>HLOs!D11</f>
        <v xml:space="preserve">HLO 2.2.1: Innovation networks enhance agrifood system solution scaling </v>
      </c>
      <c r="B41" s="109" t="s">
        <v>746</v>
      </c>
      <c r="C41" s="109" t="s">
        <v>747</v>
      </c>
      <c r="D41" s="109" t="s">
        <v>748</v>
      </c>
    </row>
    <row r="42" spans="1:4" ht="325.5">
      <c r="A42" s="109" t="str">
        <f>HLOs!D12</f>
        <v xml:space="preserve">HLO 2.2.2: Methods evaluating agrifood system solutions for scale </v>
      </c>
      <c r="B42" s="109" t="s">
        <v>749</v>
      </c>
      <c r="C42" s="109" t="s">
        <v>750</v>
      </c>
      <c r="D42" s="109" t="s">
        <v>751</v>
      </c>
    </row>
    <row r="43" spans="1:4" ht="341.1">
      <c r="A43" s="109" t="str">
        <f>HLOs!D13</f>
        <v xml:space="preserve">HLO 2.2.3: Scale-ready agrifood system solution bundles and packages </v>
      </c>
      <c r="B43" s="109" t="s">
        <v>752</v>
      </c>
      <c r="C43" s="109" t="s">
        <v>753</v>
      </c>
      <c r="D43" s="109" t="s">
        <v>754</v>
      </c>
    </row>
    <row r="44" spans="1:4" ht="294.60000000000002">
      <c r="A44" s="109" t="str">
        <f>HLOs!D14</f>
        <v xml:space="preserve">HLO 2.2.4: Agrifood system solution scaling strategies </v>
      </c>
      <c r="B44" s="109" t="s">
        <v>755</v>
      </c>
      <c r="C44" s="109" t="s">
        <v>756</v>
      </c>
      <c r="D44" s="109" t="s">
        <v>757</v>
      </c>
    </row>
    <row r="45" spans="1:4" ht="325.5">
      <c r="A45" s="109" t="str">
        <f>HLOs!D15</f>
        <v xml:space="preserve">HLO 3.3.1: Enabling environment diagnostics </v>
      </c>
      <c r="B45" s="109" t="s">
        <v>758</v>
      </c>
      <c r="C45" s="109" t="s">
        <v>759</v>
      </c>
      <c r="D45" s="109" t="s">
        <v>760</v>
      </c>
    </row>
    <row r="46" spans="1:4" ht="294.60000000000002">
      <c r="A46" s="109" t="str">
        <f>HLOs!D16</f>
        <v xml:space="preserve">HLO 3.3.2: Scaling support services for enabling 
environments and institutions </v>
      </c>
      <c r="B46" s="109" t="s">
        <v>761</v>
      </c>
      <c r="C46" s="109" t="s">
        <v>762</v>
      </c>
      <c r="D46" s="109" t="s">
        <v>763</v>
      </c>
    </row>
    <row r="47" spans="1:4" ht="294.60000000000002">
      <c r="A47" s="109" t="str">
        <f>HLOs!D17</f>
        <v xml:space="preserve">HLO 3.3.3: Science-policy partnership interfaces for responsible scaling </v>
      </c>
      <c r="B47" s="109" t="s">
        <v>764</v>
      </c>
      <c r="C47" s="109" t="s">
        <v>765</v>
      </c>
      <c r="D47" s="109" t="s">
        <v>766</v>
      </c>
    </row>
    <row r="48" spans="1:4" ht="279">
      <c r="A48" s="109" t="str">
        <f>HLOs!D18</f>
        <v>HLO 4.4.1: CGIAR Expertise and Solutions Embedded in Development Investments and Partnerships</v>
      </c>
      <c r="B48" s="109" t="s">
        <v>767</v>
      </c>
      <c r="C48" s="109" t="s">
        <v>768</v>
      </c>
      <c r="D48" s="109" t="s">
        <v>769</v>
      </c>
    </row>
    <row r="49" spans="1:4" ht="248.1">
      <c r="A49" s="109" t="str">
        <f>HLOs!D19</f>
        <v>HLO 4.4.2: Innovation portfolio management and scaling strategy support teams</v>
      </c>
      <c r="B49" s="109" t="s">
        <v>770</v>
      </c>
      <c r="C49" s="109" t="s">
        <v>771</v>
      </c>
      <c r="D49" s="109" t="s">
        <v>772</v>
      </c>
    </row>
    <row r="50" spans="1:4" ht="232.5">
      <c r="A50" s="109" t="str">
        <f>HLOs!D20</f>
        <v xml:space="preserve">HLO 5.5.1: Enhancing scaling science for societal impact </v>
      </c>
      <c r="B50" s="109" t="s">
        <v>773</v>
      </c>
      <c r="C50" s="109" t="s">
        <v>774</v>
      </c>
      <c r="D50" s="109" t="s">
        <v>775</v>
      </c>
    </row>
    <row r="51" spans="1:4" ht="216.95">
      <c r="A51" s="109" t="str">
        <f>HLOs!D21</f>
        <v>HLO 5.5.2: Insights for CGIAR scaling success through impact assessments</v>
      </c>
      <c r="B51" s="109" t="s">
        <v>776</v>
      </c>
      <c r="C51" s="109" t="s">
        <v>777</v>
      </c>
      <c r="D51" s="109" t="s">
        <v>778</v>
      </c>
    </row>
    <row r="52" spans="1:4" ht="201.6">
      <c r="A52" s="109" t="str">
        <f>HLOs!D22</f>
        <v>HLO 5.5.3: Custom analytics for managing innovation portfolios and decision-making</v>
      </c>
      <c r="B52" s="109" t="s">
        <v>779</v>
      </c>
      <c r="C52" s="109" t="s">
        <v>780</v>
      </c>
      <c r="D52" s="109" t="s">
        <v>781</v>
      </c>
    </row>
    <row r="53" spans="1:4">
      <c r="A53" s="108" t="s">
        <v>782</v>
      </c>
      <c r="B53" s="108"/>
      <c r="C53" s="108"/>
      <c r="D53" s="108"/>
    </row>
    <row r="54" spans="1:4" ht="325.5">
      <c r="A54" s="109" t="str">
        <f>HLOs!D8</f>
        <v xml:space="preserve">HLO 1.1.1: Demand signaling </v>
      </c>
      <c r="B54" s="109" t="s">
        <v>783</v>
      </c>
      <c r="C54" s="109" t="s">
        <v>784</v>
      </c>
      <c r="D54" s="109" t="s">
        <v>785</v>
      </c>
    </row>
    <row r="55" spans="1:4" ht="263.45">
      <c r="A55" s="109" t="str">
        <f>HLOs!D9</f>
        <v>HLO 1.1.2: Feedback and adaptive research and scaling prioritization</v>
      </c>
      <c r="B55" s="109" t="s">
        <v>786</v>
      </c>
      <c r="C55" s="109" t="s">
        <v>787</v>
      </c>
      <c r="D55" s="109" t="s">
        <v>788</v>
      </c>
    </row>
    <row r="56" spans="1:4" ht="263.45">
      <c r="A56" s="109" t="str">
        <f>HLOs!D10</f>
        <v>HLO 1.1.3: Enhance strategies and coordination</v>
      </c>
      <c r="B56" s="109" t="s">
        <v>789</v>
      </c>
      <c r="C56" s="109" t="s">
        <v>790</v>
      </c>
      <c r="D56" s="109" t="s">
        <v>791</v>
      </c>
    </row>
    <row r="57" spans="1:4" ht="294.60000000000002">
      <c r="A57" s="109" t="str">
        <f>HLOs!D11</f>
        <v xml:space="preserve">HLO 2.2.1: Innovation networks enhance agrifood system solution scaling </v>
      </c>
      <c r="B57" s="109" t="s">
        <v>792</v>
      </c>
      <c r="C57" s="109" t="s">
        <v>793</v>
      </c>
      <c r="D57" s="109" t="s">
        <v>794</v>
      </c>
    </row>
    <row r="58" spans="1:4" ht="294.60000000000002">
      <c r="A58" s="109" t="str">
        <f>HLOs!D12</f>
        <v xml:space="preserve">HLO 2.2.2: Methods evaluating agrifood system solutions for scale </v>
      </c>
      <c r="B58" s="109" t="s">
        <v>795</v>
      </c>
      <c r="C58" s="109" t="s">
        <v>796</v>
      </c>
      <c r="D58" s="109" t="s">
        <v>797</v>
      </c>
    </row>
    <row r="59" spans="1:4" ht="263.45">
      <c r="A59" s="109" t="str">
        <f>HLOs!D13</f>
        <v xml:space="preserve">HLO 2.2.3: Scale-ready agrifood system solution bundles and packages </v>
      </c>
      <c r="B59" s="109" t="s">
        <v>798</v>
      </c>
      <c r="C59" s="109" t="s">
        <v>799</v>
      </c>
      <c r="D59" s="109" t="s">
        <v>800</v>
      </c>
    </row>
    <row r="60" spans="1:4" ht="263.45">
      <c r="A60" s="109" t="str">
        <f>HLOs!D14</f>
        <v xml:space="preserve">HLO 2.2.4: Agrifood system solution scaling strategies </v>
      </c>
      <c r="B60" s="109" t="s">
        <v>801</v>
      </c>
      <c r="C60" s="109" t="s">
        <v>802</v>
      </c>
      <c r="D60" s="109" t="s">
        <v>803</v>
      </c>
    </row>
    <row r="61" spans="1:4" ht="309.95">
      <c r="A61" s="109" t="str">
        <f>HLOs!D15</f>
        <v xml:space="preserve">HLO 3.3.1: Enabling environment diagnostics </v>
      </c>
      <c r="B61" s="109" t="s">
        <v>804</v>
      </c>
      <c r="C61" s="109" t="s">
        <v>805</v>
      </c>
      <c r="D61" s="109" t="s">
        <v>806</v>
      </c>
    </row>
    <row r="62" spans="1:4" ht="294.60000000000002">
      <c r="A62" s="109" t="str">
        <f>HLOs!D16</f>
        <v xml:space="preserve">HLO 3.3.2: Scaling support services for enabling 
environments and institutions </v>
      </c>
      <c r="B62" s="109" t="s">
        <v>807</v>
      </c>
      <c r="C62" s="109" t="s">
        <v>808</v>
      </c>
      <c r="D62" s="109" t="s">
        <v>809</v>
      </c>
    </row>
    <row r="63" spans="1:4" ht="279">
      <c r="A63" s="109" t="str">
        <f>HLOs!D17</f>
        <v xml:space="preserve">HLO 3.3.3: Science-policy partnership interfaces for responsible scaling </v>
      </c>
      <c r="B63" s="109" t="s">
        <v>810</v>
      </c>
      <c r="C63" s="109" t="s">
        <v>811</v>
      </c>
      <c r="D63" s="109" t="s">
        <v>812</v>
      </c>
    </row>
    <row r="64" spans="1:4" ht="309.95">
      <c r="A64" s="109" t="str">
        <f>HLOs!D18</f>
        <v>HLO 4.4.1: CGIAR Expertise and Solutions Embedded in Development Investments and Partnerships</v>
      </c>
      <c r="B64" s="109" t="s">
        <v>813</v>
      </c>
      <c r="C64" s="109" t="s">
        <v>814</v>
      </c>
      <c r="D64" s="109" t="s">
        <v>815</v>
      </c>
    </row>
    <row r="65" spans="1:4" ht="294.60000000000002">
      <c r="A65" s="109" t="str">
        <f>HLOs!D19</f>
        <v>HLO 4.4.2: Innovation portfolio management and scaling strategy support teams</v>
      </c>
      <c r="B65" s="109" t="s">
        <v>816</v>
      </c>
      <c r="C65" s="109" t="s">
        <v>817</v>
      </c>
      <c r="D65" s="109" t="s">
        <v>818</v>
      </c>
    </row>
    <row r="66" spans="1:4" ht="294.60000000000002">
      <c r="A66" s="109" t="str">
        <f>HLOs!D20</f>
        <v xml:space="preserve">HLO 5.5.1: Enhancing scaling science for societal impact </v>
      </c>
      <c r="B66" s="109" t="s">
        <v>819</v>
      </c>
      <c r="C66" s="109" t="s">
        <v>820</v>
      </c>
      <c r="D66" s="109" t="s">
        <v>821</v>
      </c>
    </row>
    <row r="67" spans="1:4" ht="294.60000000000002">
      <c r="A67" s="109" t="str">
        <f>HLOs!D21</f>
        <v>HLO 5.5.2: Insights for CGIAR scaling success through impact assessments</v>
      </c>
      <c r="B67" s="109" t="s">
        <v>822</v>
      </c>
      <c r="C67" s="109" t="s">
        <v>823</v>
      </c>
      <c r="D67" s="109" t="s">
        <v>824</v>
      </c>
    </row>
    <row r="68" spans="1:4" ht="263.45">
      <c r="A68" s="109" t="str">
        <f>HLOs!D22</f>
        <v>HLO 5.5.3: Custom analytics for managing innovation portfolios and decision-making</v>
      </c>
      <c r="B68" s="109" t="s">
        <v>825</v>
      </c>
      <c r="C68" s="109" t="s">
        <v>826</v>
      </c>
      <c r="D68" s="109" t="s">
        <v>827</v>
      </c>
    </row>
    <row r="69" spans="1:4">
      <c r="A69" s="108" t="s">
        <v>620</v>
      </c>
      <c r="B69" s="108"/>
      <c r="C69" s="108"/>
      <c r="D69" s="108"/>
    </row>
    <row r="70" spans="1:4" ht="263.45">
      <c r="A70" s="109" t="str">
        <f>HLOs!D8</f>
        <v xml:space="preserve">HLO 1.1.1: Demand signaling </v>
      </c>
      <c r="B70" s="109" t="s">
        <v>828</v>
      </c>
      <c r="C70" s="109" t="s">
        <v>829</v>
      </c>
      <c r="D70" s="109" t="s">
        <v>830</v>
      </c>
    </row>
    <row r="71" spans="1:4" ht="216.95">
      <c r="A71" s="109" t="str">
        <f>HLOs!D9</f>
        <v>HLO 1.1.2: Feedback and adaptive research and scaling prioritization</v>
      </c>
      <c r="B71" s="109" t="s">
        <v>831</v>
      </c>
      <c r="C71" s="109" t="s">
        <v>832</v>
      </c>
      <c r="D71" s="109" t="s">
        <v>833</v>
      </c>
    </row>
    <row r="72" spans="1:4" ht="216.95">
      <c r="A72" s="109" t="str">
        <f>HLOs!D10</f>
        <v>HLO 1.1.3: Enhance strategies and coordination</v>
      </c>
      <c r="B72" s="109" t="s">
        <v>834</v>
      </c>
      <c r="C72" s="109" t="s">
        <v>835</v>
      </c>
      <c r="D72" s="109" t="s">
        <v>836</v>
      </c>
    </row>
    <row r="73" spans="1:4" ht="216.95">
      <c r="A73" s="109" t="str">
        <f>HLOs!D11</f>
        <v xml:space="preserve">HLO 2.2.1: Innovation networks enhance agrifood system solution scaling </v>
      </c>
      <c r="B73" s="109" t="s">
        <v>837</v>
      </c>
      <c r="C73" s="109" t="s">
        <v>838</v>
      </c>
      <c r="D73" s="109" t="s">
        <v>839</v>
      </c>
    </row>
    <row r="74" spans="1:4" ht="216.95">
      <c r="A74" s="109" t="str">
        <f>HLOs!D12</f>
        <v xml:space="preserve">HLO 2.2.2: Methods evaluating agrifood system solutions for scale </v>
      </c>
      <c r="B74" s="109" t="s">
        <v>840</v>
      </c>
      <c r="C74" s="109" t="s">
        <v>841</v>
      </c>
      <c r="D74" s="109" t="s">
        <v>842</v>
      </c>
    </row>
    <row r="75" spans="1:4" ht="216.95">
      <c r="A75" s="109" t="str">
        <f>HLOs!D13</f>
        <v xml:space="preserve">HLO 2.2.3: Scale-ready agrifood system solution bundles and packages </v>
      </c>
      <c r="B75" s="109" t="s">
        <v>843</v>
      </c>
      <c r="C75" s="109" t="s">
        <v>844</v>
      </c>
      <c r="D75" s="109" t="s">
        <v>845</v>
      </c>
    </row>
    <row r="76" spans="1:4" ht="201.6">
      <c r="A76" s="109" t="str">
        <f>HLOs!D14</f>
        <v xml:space="preserve">HLO 2.2.4: Agrifood system solution scaling strategies </v>
      </c>
      <c r="B76" s="109" t="s">
        <v>846</v>
      </c>
      <c r="C76" s="109" t="s">
        <v>847</v>
      </c>
      <c r="D76" s="109" t="s">
        <v>848</v>
      </c>
    </row>
    <row r="77" spans="1:4" ht="248.1">
      <c r="A77" s="109" t="str">
        <f>HLOs!D15</f>
        <v xml:space="preserve">HLO 3.3.1: Enabling environment diagnostics </v>
      </c>
      <c r="B77" s="109" t="s">
        <v>849</v>
      </c>
      <c r="C77" s="109" t="s">
        <v>850</v>
      </c>
      <c r="D77" s="109" t="s">
        <v>851</v>
      </c>
    </row>
    <row r="78" spans="1:4" ht="216.95">
      <c r="A78" s="109" t="str">
        <f>HLOs!D16</f>
        <v xml:space="preserve">HLO 3.3.2: Scaling support services for enabling 
environments and institutions </v>
      </c>
      <c r="B78" s="109" t="s">
        <v>852</v>
      </c>
      <c r="C78" s="109" t="s">
        <v>853</v>
      </c>
      <c r="D78" s="109" t="s">
        <v>854</v>
      </c>
    </row>
    <row r="79" spans="1:4" ht="216.95">
      <c r="A79" s="109" t="str">
        <f>HLOs!D17</f>
        <v xml:space="preserve">HLO 3.3.3: Science-policy partnership interfaces for responsible scaling </v>
      </c>
      <c r="B79" s="109" t="s">
        <v>855</v>
      </c>
      <c r="C79" s="109" t="s">
        <v>856</v>
      </c>
      <c r="D79" s="109" t="s">
        <v>857</v>
      </c>
    </row>
    <row r="80" spans="1:4" ht="294.60000000000002">
      <c r="A80" s="109" t="str">
        <f>HLOs!D18</f>
        <v>HLO 4.4.1: CGIAR Expertise and Solutions Embedded in Development Investments and Partnerships</v>
      </c>
      <c r="B80" s="109" t="s">
        <v>858</v>
      </c>
      <c r="C80" s="109" t="s">
        <v>859</v>
      </c>
      <c r="D80" s="109" t="s">
        <v>860</v>
      </c>
    </row>
    <row r="81" spans="1:4" ht="201.6">
      <c r="A81" s="109" t="str">
        <f>HLOs!D19</f>
        <v>HLO 4.4.2: Innovation portfolio management and scaling strategy support teams</v>
      </c>
      <c r="B81" s="109" t="s">
        <v>861</v>
      </c>
      <c r="C81" s="109" t="s">
        <v>862</v>
      </c>
      <c r="D81" s="109" t="s">
        <v>863</v>
      </c>
    </row>
    <row r="82" spans="1:4" ht="294.60000000000002">
      <c r="A82" s="109" t="str">
        <f>HLOs!D20</f>
        <v xml:space="preserve">HLO 5.5.1: Enhancing scaling science for societal impact </v>
      </c>
      <c r="B82" s="109" t="s">
        <v>864</v>
      </c>
      <c r="C82" s="109" t="s">
        <v>865</v>
      </c>
      <c r="D82" s="109" t="s">
        <v>866</v>
      </c>
    </row>
    <row r="83" spans="1:4" ht="248.1">
      <c r="A83" s="109" t="str">
        <f>HLOs!D21</f>
        <v>HLO 5.5.2: Insights for CGIAR scaling success through impact assessments</v>
      </c>
      <c r="B83" s="109" t="s">
        <v>867</v>
      </c>
      <c r="C83" s="109" t="s">
        <v>868</v>
      </c>
      <c r="D83" s="109" t="s">
        <v>869</v>
      </c>
    </row>
    <row r="84" spans="1:4" ht="232.5">
      <c r="A84" s="109" t="str">
        <f>HLOs!D22</f>
        <v>HLO 5.5.3: Custom analytics for managing innovation portfolios and decision-making</v>
      </c>
      <c r="B84" s="109" t="s">
        <v>870</v>
      </c>
      <c r="C84" s="109" t="s">
        <v>871</v>
      </c>
      <c r="D84" s="109" t="s">
        <v>872</v>
      </c>
    </row>
  </sheetData>
  <mergeCells count="1">
    <mergeCell ref="A1:D1"/>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F8B4-1AA8-44AC-9EF4-A0BD45099B84}">
  <dimension ref="A1:H40"/>
  <sheetViews>
    <sheetView workbookViewId="0">
      <selection activeCell="L12" sqref="L12"/>
    </sheetView>
  </sheetViews>
  <sheetFormatPr defaultColWidth="8.85546875" defaultRowHeight="14.45"/>
  <cols>
    <col min="9" max="9" width="32.42578125" bestFit="1" customWidth="1"/>
    <col min="10" max="14" width="14.140625" customWidth="1"/>
  </cols>
  <sheetData>
    <row r="1" spans="1:8">
      <c r="A1" s="32"/>
      <c r="B1" s="31"/>
      <c r="C1" s="31"/>
      <c r="D1" s="31"/>
      <c r="E1" s="31"/>
      <c r="F1" s="31"/>
      <c r="G1" s="31"/>
      <c r="H1" s="31"/>
    </row>
    <row r="2" spans="1:8" ht="18.600000000000001">
      <c r="A2" s="29"/>
    </row>
    <row r="3" spans="1:8">
      <c r="A3" s="1"/>
    </row>
    <row r="4" spans="1:8">
      <c r="A4" s="1" t="s">
        <v>873</v>
      </c>
    </row>
    <row r="5" spans="1:8">
      <c r="A5" s="1"/>
      <c r="B5" s="1"/>
      <c r="C5" s="1" t="s">
        <v>874</v>
      </c>
      <c r="D5" s="1" t="s">
        <v>875</v>
      </c>
      <c r="E5" s="1" t="s">
        <v>875</v>
      </c>
      <c r="F5" s="1" t="s">
        <v>875</v>
      </c>
      <c r="G5" s="1" t="s">
        <v>874</v>
      </c>
    </row>
    <row r="6" spans="1:8">
      <c r="A6" s="1"/>
      <c r="B6" s="36" t="s">
        <v>630</v>
      </c>
      <c r="C6" s="36" t="s">
        <v>876</v>
      </c>
      <c r="D6" s="36" t="s">
        <v>877</v>
      </c>
      <c r="E6" s="36" t="s">
        <v>878</v>
      </c>
      <c r="F6" s="36" t="s">
        <v>879</v>
      </c>
      <c r="G6" s="36" t="s">
        <v>880</v>
      </c>
    </row>
    <row r="7" spans="1:8">
      <c r="A7" s="33" t="s">
        <v>5</v>
      </c>
      <c r="B7" t="s">
        <v>881</v>
      </c>
      <c r="C7" s="34">
        <v>0.54302380585249799</v>
      </c>
      <c r="D7" s="34">
        <v>34.42075546019808</v>
      </c>
      <c r="E7" s="34">
        <v>62.024683812869689</v>
      </c>
      <c r="F7" s="34">
        <v>10.48036477778391</v>
      </c>
      <c r="G7" s="34">
        <v>70.558656465902601</v>
      </c>
      <c r="H7" s="33" t="s">
        <v>5</v>
      </c>
    </row>
    <row r="8" spans="1:8">
      <c r="A8" s="33" t="s">
        <v>6</v>
      </c>
      <c r="B8" t="s">
        <v>882</v>
      </c>
      <c r="C8" s="34">
        <v>0.1258831715735762</v>
      </c>
      <c r="D8" s="34">
        <v>31.026146749705859</v>
      </c>
      <c r="E8" s="34">
        <v>59.67366365424607</v>
      </c>
      <c r="F8" s="34">
        <v>3.0737837831890231</v>
      </c>
      <c r="G8" s="34">
        <v>81.957032494455731</v>
      </c>
      <c r="H8" s="33" t="s">
        <v>6</v>
      </c>
    </row>
    <row r="9" spans="1:8">
      <c r="A9" s="33" t="s">
        <v>7</v>
      </c>
      <c r="B9" t="s">
        <v>883</v>
      </c>
      <c r="C9" s="34">
        <v>0.32215883118437388</v>
      </c>
      <c r="D9" s="34">
        <v>28.54820743798361</v>
      </c>
      <c r="E9" s="34">
        <v>51.795414166574673</v>
      </c>
      <c r="F9" s="34">
        <v>5.4335250271814521</v>
      </c>
      <c r="G9" s="34">
        <v>94.133002854204136</v>
      </c>
      <c r="H9" s="33" t="s">
        <v>7</v>
      </c>
    </row>
    <row r="10" spans="1:8">
      <c r="A10" s="33" t="s">
        <v>8</v>
      </c>
      <c r="B10" t="s">
        <v>884</v>
      </c>
      <c r="C10" s="34">
        <v>0.1178505837087607</v>
      </c>
      <c r="D10" s="34">
        <v>32.889927734365678</v>
      </c>
      <c r="E10" s="34">
        <v>54.702176187783763</v>
      </c>
      <c r="F10" s="34">
        <v>5.9487617403193669</v>
      </c>
      <c r="G10" s="34">
        <v>88.468946467438911</v>
      </c>
      <c r="H10" s="33" t="s">
        <v>8</v>
      </c>
    </row>
    <row r="11" spans="1:8">
      <c r="A11" s="33" t="s">
        <v>9</v>
      </c>
      <c r="B11" t="s">
        <v>885</v>
      </c>
      <c r="C11" s="34">
        <v>0.40586822017970792</v>
      </c>
      <c r="D11" s="34">
        <v>36.281215992879908</v>
      </c>
      <c r="E11" s="34">
        <v>67.183582712691134</v>
      </c>
      <c r="F11" s="34">
        <v>6.495346805043404</v>
      </c>
      <c r="G11" s="34">
        <v>77.355628943752635</v>
      </c>
      <c r="H11" s="33" t="s">
        <v>9</v>
      </c>
    </row>
    <row r="12" spans="1:8">
      <c r="A12" s="33" t="s">
        <v>10</v>
      </c>
      <c r="B12" t="s">
        <v>886</v>
      </c>
      <c r="C12" s="34">
        <v>6.9992242710021288E-2</v>
      </c>
      <c r="D12" s="34">
        <v>42.533783655618421</v>
      </c>
      <c r="E12" s="34">
        <v>74.72229623938037</v>
      </c>
      <c r="F12" s="34">
        <v>2.6347802142471139</v>
      </c>
      <c r="G12" s="34">
        <v>63.410872871462921</v>
      </c>
      <c r="H12" s="33" t="s">
        <v>10</v>
      </c>
    </row>
    <row r="13" spans="1:8">
      <c r="B13" s="37" t="s">
        <v>887</v>
      </c>
      <c r="C13" s="38">
        <v>0.1080281938897836</v>
      </c>
      <c r="D13" s="38">
        <v>55.441589599413227</v>
      </c>
      <c r="E13" s="38">
        <v>77.12072644091235</v>
      </c>
      <c r="F13" s="38">
        <v>9.1956478365800915</v>
      </c>
      <c r="G13" s="38">
        <v>49.207110977511689</v>
      </c>
    </row>
    <row r="14" spans="1:8">
      <c r="B14" s="37" t="s">
        <v>888</v>
      </c>
      <c r="C14" s="38">
        <v>1.986387719462113E-2</v>
      </c>
      <c r="D14" s="38">
        <v>69.711937111378845</v>
      </c>
      <c r="E14" s="38">
        <v>83.553626279793704</v>
      </c>
      <c r="F14" s="38">
        <v>11.10170530162555</v>
      </c>
      <c r="G14" s="38">
        <v>42.614980037085488</v>
      </c>
    </row>
    <row r="15" spans="1:8" ht="18.600000000000001">
      <c r="A15" s="29"/>
    </row>
    <row r="16" spans="1:8">
      <c r="A16" s="1"/>
    </row>
    <row r="17" spans="1:8">
      <c r="A17" s="1"/>
      <c r="C17" s="1"/>
    </row>
    <row r="18" spans="1:8">
      <c r="A18" s="1"/>
      <c r="B18" s="36" t="s">
        <v>630</v>
      </c>
      <c r="C18" s="1" t="s">
        <v>875</v>
      </c>
      <c r="D18" s="1" t="s">
        <v>875</v>
      </c>
      <c r="E18" s="1" t="s">
        <v>875</v>
      </c>
      <c r="F18" s="1" t="s">
        <v>875</v>
      </c>
      <c r="G18" s="1" t="s">
        <v>875</v>
      </c>
    </row>
    <row r="19" spans="1:8">
      <c r="A19" s="33" t="s">
        <v>5</v>
      </c>
      <c r="B19" t="s">
        <v>881</v>
      </c>
      <c r="C19" s="30">
        <f>1-(C7-0)</f>
        <v>0.45697619414750201</v>
      </c>
      <c r="D19" s="30">
        <f>D7/100</f>
        <v>0.34420755460198083</v>
      </c>
      <c r="E19" s="30">
        <f>E7/100</f>
        <v>0.62024683812869685</v>
      </c>
      <c r="F19" s="30">
        <f>(F7/14)</f>
        <v>0.74859748412742211</v>
      </c>
      <c r="G19" s="30">
        <f>1-(G7/100)</f>
        <v>0.29441343534097397</v>
      </c>
      <c r="H19" s="33" t="s">
        <v>5</v>
      </c>
    </row>
    <row r="20" spans="1:8">
      <c r="A20" s="33" t="s">
        <v>6</v>
      </c>
      <c r="B20" t="s">
        <v>882</v>
      </c>
      <c r="C20" s="30">
        <f t="shared" ref="C20:C24" si="0">1-(C8-0)</f>
        <v>0.8741168284264238</v>
      </c>
      <c r="D20" s="30">
        <f t="shared" ref="D20:E24" si="1">D8/100</f>
        <v>0.31026146749705857</v>
      </c>
      <c r="E20" s="30">
        <f t="shared" si="1"/>
        <v>0.59673663654246067</v>
      </c>
      <c r="F20" s="30">
        <f t="shared" ref="F20:F24" si="2">(F8/14)</f>
        <v>0.21955598451350164</v>
      </c>
      <c r="G20" s="30">
        <f t="shared" ref="G20:G24" si="3">1-(G8/100)</f>
        <v>0.18042967505544272</v>
      </c>
      <c r="H20" s="33" t="s">
        <v>6</v>
      </c>
    </row>
    <row r="21" spans="1:8">
      <c r="A21" s="33" t="s">
        <v>7</v>
      </c>
      <c r="B21" t="s">
        <v>883</v>
      </c>
      <c r="C21" s="30">
        <f t="shared" si="0"/>
        <v>0.67784116881562606</v>
      </c>
      <c r="D21" s="30">
        <f t="shared" si="1"/>
        <v>0.28548207437983608</v>
      </c>
      <c r="E21" s="30">
        <f t="shared" si="1"/>
        <v>0.51795414166574671</v>
      </c>
      <c r="F21" s="30">
        <f t="shared" si="2"/>
        <v>0.38810893051296086</v>
      </c>
      <c r="G21" s="30">
        <f t="shared" si="3"/>
        <v>5.8669971457958603E-2</v>
      </c>
      <c r="H21" s="33" t="s">
        <v>7</v>
      </c>
    </row>
    <row r="22" spans="1:8">
      <c r="A22" s="33" t="s">
        <v>8</v>
      </c>
      <c r="B22" t="s">
        <v>884</v>
      </c>
      <c r="C22" s="30">
        <f t="shared" si="0"/>
        <v>0.88214941629123933</v>
      </c>
      <c r="D22" s="30">
        <f t="shared" si="1"/>
        <v>0.32889927734365676</v>
      </c>
      <c r="E22" s="30">
        <f t="shared" si="1"/>
        <v>0.54702176187783769</v>
      </c>
      <c r="F22" s="30">
        <f t="shared" si="2"/>
        <v>0.4249115528799548</v>
      </c>
      <c r="G22" s="30">
        <f t="shared" si="3"/>
        <v>0.11531053532561086</v>
      </c>
      <c r="H22" s="33" t="s">
        <v>8</v>
      </c>
    </row>
    <row r="23" spans="1:8">
      <c r="A23" s="33" t="s">
        <v>9</v>
      </c>
      <c r="B23" t="s">
        <v>885</v>
      </c>
      <c r="C23" s="30">
        <f t="shared" si="0"/>
        <v>0.59413177982029208</v>
      </c>
      <c r="D23" s="30">
        <f t="shared" si="1"/>
        <v>0.36281215992879906</v>
      </c>
      <c r="E23" s="30">
        <f t="shared" si="1"/>
        <v>0.67183582712691137</v>
      </c>
      <c r="F23" s="30">
        <f t="shared" si="2"/>
        <v>0.46395334321738602</v>
      </c>
      <c r="G23" s="30">
        <f t="shared" si="3"/>
        <v>0.2264437105624737</v>
      </c>
      <c r="H23" s="33" t="s">
        <v>9</v>
      </c>
    </row>
    <row r="24" spans="1:8">
      <c r="A24" s="33" t="s">
        <v>10</v>
      </c>
      <c r="B24" t="s">
        <v>886</v>
      </c>
      <c r="C24" s="30">
        <f t="shared" si="0"/>
        <v>0.93000775728997875</v>
      </c>
      <c r="D24" s="30">
        <f t="shared" si="1"/>
        <v>0.42533783655618423</v>
      </c>
      <c r="E24" s="30">
        <f t="shared" si="1"/>
        <v>0.7472229623938037</v>
      </c>
      <c r="F24" s="30">
        <f t="shared" si="2"/>
        <v>0.18819858673193671</v>
      </c>
      <c r="G24" s="30">
        <f t="shared" si="3"/>
        <v>0.3658912712853708</v>
      </c>
      <c r="H24" s="33" t="s">
        <v>10</v>
      </c>
    </row>
    <row r="25" spans="1:8">
      <c r="B25" s="30"/>
      <c r="C25" s="30"/>
      <c r="D25" s="30"/>
      <c r="E25" s="30"/>
      <c r="F25" s="30"/>
    </row>
    <row r="27" spans="1:8" ht="18.600000000000001">
      <c r="A27" s="29" t="s">
        <v>889</v>
      </c>
    </row>
    <row r="28" spans="1:8">
      <c r="C28" t="s">
        <v>890</v>
      </c>
    </row>
    <row r="29" spans="1:8">
      <c r="A29" s="33" t="s">
        <v>5</v>
      </c>
      <c r="C29" s="30">
        <f>AVERAGE(C19:G19)</f>
        <v>0.49288830126931515</v>
      </c>
      <c r="H29" s="33" t="s">
        <v>5</v>
      </c>
    </row>
    <row r="30" spans="1:8">
      <c r="A30" s="33" t="s">
        <v>6</v>
      </c>
      <c r="C30" s="30">
        <f t="shared" ref="C30:C34" si="4">AVERAGE(C20:G20)</f>
        <v>0.4362201184069775</v>
      </c>
      <c r="H30" s="33" t="s">
        <v>6</v>
      </c>
    </row>
    <row r="31" spans="1:8">
      <c r="A31" s="33" t="s">
        <v>7</v>
      </c>
      <c r="C31" s="30">
        <f t="shared" si="4"/>
        <v>0.38561125736642565</v>
      </c>
      <c r="H31" s="33" t="s">
        <v>7</v>
      </c>
    </row>
    <row r="32" spans="1:8">
      <c r="A32" s="33" t="s">
        <v>8</v>
      </c>
      <c r="C32" s="30">
        <f t="shared" si="4"/>
        <v>0.45965850874365993</v>
      </c>
      <c r="H32" s="33" t="s">
        <v>8</v>
      </c>
    </row>
    <row r="33" spans="1:8">
      <c r="A33" s="33" t="s">
        <v>9</v>
      </c>
      <c r="C33" s="30">
        <f t="shared" si="4"/>
        <v>0.46383536413117243</v>
      </c>
      <c r="H33" s="33" t="s">
        <v>9</v>
      </c>
    </row>
    <row r="34" spans="1:8">
      <c r="A34" s="33" t="s">
        <v>10</v>
      </c>
      <c r="C34" s="30">
        <f t="shared" si="4"/>
        <v>0.53133168285145482</v>
      </c>
      <c r="H34" s="33" t="s">
        <v>10</v>
      </c>
    </row>
    <row r="36" spans="1:8">
      <c r="F36" s="35"/>
    </row>
    <row r="37" spans="1:8" ht="18.600000000000001">
      <c r="A37" s="29" t="s">
        <v>640</v>
      </c>
    </row>
    <row r="38" spans="1:8" ht="15" thickBot="1"/>
    <row r="39" spans="1:8" ht="15" thickBot="1">
      <c r="B39" s="6" t="s">
        <v>5</v>
      </c>
      <c r="C39" s="7" t="s">
        <v>6</v>
      </c>
      <c r="D39" s="7" t="s">
        <v>7</v>
      </c>
      <c r="E39" s="7" t="s">
        <v>8</v>
      </c>
      <c r="F39" s="7" t="s">
        <v>9</v>
      </c>
      <c r="G39" s="8" t="s">
        <v>10</v>
      </c>
    </row>
    <row r="40" spans="1:8">
      <c r="B40" s="35">
        <f>C29</f>
        <v>0.49288830126931515</v>
      </c>
      <c r="C40" s="35">
        <f>C30</f>
        <v>0.4362201184069775</v>
      </c>
      <c r="D40" s="35">
        <f>C31</f>
        <v>0.38561125736642565</v>
      </c>
      <c r="E40" s="35">
        <f>C32</f>
        <v>0.45965850874365993</v>
      </c>
      <c r="F40" s="35">
        <f>C33</f>
        <v>0.46383536413117243</v>
      </c>
      <c r="G40" s="35">
        <f>C34</f>
        <v>0.53133168285145482</v>
      </c>
    </row>
  </sheetData>
  <sheetProtection algorithmName="SHA-512" hashValue="8D+TPuqB2ch4SCmGhOdRCtld+AWG9+1e3aU6fi6au2PaLUJVBwj14vlP5A7EM7JCKMyPdo3qgXgZk7qh/aOp6w==" saltValue="fXY20RlVGQIM3tIoh+bj/Q==" spinCount="100000" sheet="1" objects="1" scenarios="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94A7-2FD3-46AD-A7C4-5D7EFB6B19F1}">
  <dimension ref="A1:AM30"/>
  <sheetViews>
    <sheetView workbookViewId="0">
      <selection activeCell="B36" sqref="B36"/>
    </sheetView>
  </sheetViews>
  <sheetFormatPr defaultColWidth="8.85546875" defaultRowHeight="14.45"/>
  <cols>
    <col min="1" max="1" width="30.140625" customWidth="1"/>
  </cols>
  <sheetData>
    <row r="1" spans="1:39" s="28" customFormat="1" ht="29.1" customHeight="1" thickBot="1">
      <c r="A1" s="143" t="s">
        <v>891</v>
      </c>
      <c r="B1" s="143"/>
      <c r="C1" s="143"/>
      <c r="D1" s="143"/>
      <c r="E1" s="143"/>
      <c r="F1" s="143"/>
      <c r="G1" s="143"/>
      <c r="H1" s="143"/>
      <c r="I1" s="143"/>
      <c r="J1" s="143"/>
      <c r="K1" s="143"/>
      <c r="L1" s="143"/>
      <c r="M1" s="143"/>
      <c r="N1" s="143"/>
      <c r="O1" s="143"/>
      <c r="P1" s="143"/>
    </row>
    <row r="2" spans="1:39" ht="13.5" customHeight="1">
      <c r="A2" s="9" t="s">
        <v>45</v>
      </c>
      <c r="B2" s="51"/>
      <c r="C2" s="51"/>
      <c r="D2" s="51"/>
      <c r="E2" s="51"/>
      <c r="F2" s="51"/>
      <c r="G2" s="51"/>
      <c r="H2" s="51"/>
      <c r="I2" s="51"/>
      <c r="J2" s="51"/>
      <c r="K2" s="51"/>
      <c r="L2" s="51"/>
      <c r="M2" s="51"/>
      <c r="N2" s="51"/>
      <c r="O2" s="51"/>
      <c r="P2" s="51"/>
    </row>
    <row r="3" spans="1:39" ht="13.5" customHeight="1">
      <c r="A3" s="10" t="s">
        <v>46</v>
      </c>
      <c r="B3" s="51"/>
      <c r="C3" s="51"/>
      <c r="D3" s="51"/>
      <c r="E3" s="51"/>
      <c r="F3" s="51"/>
      <c r="G3" s="51"/>
      <c r="H3" s="51"/>
      <c r="I3" s="51"/>
      <c r="J3" s="51"/>
      <c r="K3" s="51"/>
      <c r="L3" s="51"/>
      <c r="M3" s="51"/>
      <c r="N3" s="51"/>
      <c r="O3" s="51"/>
      <c r="P3" s="51"/>
    </row>
    <row r="4" spans="1:39" ht="13.5" customHeight="1">
      <c r="A4" s="11" t="s">
        <v>47</v>
      </c>
      <c r="B4" s="51"/>
      <c r="C4" s="51"/>
      <c r="D4" s="51"/>
      <c r="E4" s="51"/>
      <c r="F4" s="51"/>
      <c r="G4" s="51"/>
      <c r="H4" s="51"/>
      <c r="I4" s="51"/>
      <c r="J4" s="51"/>
      <c r="K4" s="51"/>
      <c r="L4" s="51"/>
      <c r="M4" s="51"/>
      <c r="N4" s="51"/>
      <c r="O4" s="51"/>
      <c r="P4" s="51"/>
    </row>
    <row r="5" spans="1:39" ht="13.5" customHeight="1">
      <c r="A5" s="12" t="s">
        <v>48</v>
      </c>
      <c r="B5" s="51"/>
      <c r="C5" s="51"/>
      <c r="D5" s="51"/>
      <c r="E5" s="51"/>
      <c r="F5" s="51"/>
      <c r="G5" s="51"/>
      <c r="H5" s="51"/>
      <c r="I5" s="51"/>
      <c r="J5" s="51"/>
      <c r="K5" s="51"/>
      <c r="L5" s="51"/>
      <c r="M5" s="51"/>
      <c r="N5" s="51"/>
      <c r="O5" s="51"/>
      <c r="P5" s="51"/>
    </row>
    <row r="6" spans="1:39" ht="13.5" customHeight="1" thickBot="1">
      <c r="A6" s="13" t="s">
        <v>49</v>
      </c>
      <c r="B6" s="51"/>
      <c r="C6" s="51"/>
      <c r="D6" s="51"/>
      <c r="E6" s="51"/>
      <c r="F6" s="51"/>
      <c r="G6" s="51"/>
      <c r="H6" s="51"/>
      <c r="I6" s="51"/>
      <c r="J6" s="51"/>
      <c r="K6" s="51"/>
      <c r="L6" s="51"/>
      <c r="M6" s="51"/>
      <c r="N6" s="51"/>
      <c r="O6" s="51"/>
      <c r="P6" s="51"/>
    </row>
    <row r="7" spans="1:39" ht="15" thickBot="1">
      <c r="A7" s="16" t="s">
        <v>616</v>
      </c>
      <c r="B7" s="15"/>
      <c r="C7" s="15"/>
      <c r="D7" s="15"/>
      <c r="E7" s="15"/>
      <c r="F7" s="15"/>
      <c r="G7" s="15"/>
      <c r="I7" s="16" t="s">
        <v>617</v>
      </c>
      <c r="J7" s="15"/>
      <c r="K7" s="15"/>
      <c r="L7" s="15"/>
      <c r="M7" s="15"/>
      <c r="N7" s="15"/>
      <c r="O7" s="15"/>
      <c r="Q7" s="16" t="s">
        <v>618</v>
      </c>
      <c r="R7" s="15"/>
      <c r="S7" s="15"/>
      <c r="T7" s="15"/>
      <c r="U7" s="15"/>
      <c r="V7" s="15"/>
      <c r="W7" s="15"/>
      <c r="Y7" s="16" t="s">
        <v>619</v>
      </c>
      <c r="Z7" s="15"/>
      <c r="AA7" s="15"/>
      <c r="AB7" s="15"/>
      <c r="AC7" s="15"/>
      <c r="AD7" s="15"/>
      <c r="AE7" s="15"/>
      <c r="AG7" s="16" t="s">
        <v>620</v>
      </c>
      <c r="AH7" s="15"/>
      <c r="AI7" s="15"/>
      <c r="AJ7" s="15"/>
      <c r="AK7" s="15"/>
      <c r="AL7" s="15"/>
      <c r="AM7" s="15"/>
    </row>
    <row r="8" spans="1:39" ht="15" thickBot="1">
      <c r="A8" s="17" t="s">
        <v>158</v>
      </c>
      <c r="B8" s="6" t="s">
        <v>5</v>
      </c>
      <c r="C8" s="7" t="s">
        <v>6</v>
      </c>
      <c r="D8" s="7" t="s">
        <v>7</v>
      </c>
      <c r="E8" s="7" t="s">
        <v>8</v>
      </c>
      <c r="F8" s="7" t="s">
        <v>9</v>
      </c>
      <c r="G8" s="8" t="s">
        <v>10</v>
      </c>
      <c r="I8" s="17" t="s">
        <v>158</v>
      </c>
      <c r="J8" s="6" t="s">
        <v>5</v>
      </c>
      <c r="K8" s="7" t="s">
        <v>6</v>
      </c>
      <c r="L8" s="7" t="s">
        <v>7</v>
      </c>
      <c r="M8" s="7" t="s">
        <v>8</v>
      </c>
      <c r="N8" s="7" t="s">
        <v>9</v>
      </c>
      <c r="O8" s="8" t="s">
        <v>10</v>
      </c>
      <c r="Q8" s="17" t="s">
        <v>158</v>
      </c>
      <c r="R8" s="6" t="s">
        <v>5</v>
      </c>
      <c r="S8" s="7" t="s">
        <v>6</v>
      </c>
      <c r="T8" s="7" t="s">
        <v>7</v>
      </c>
      <c r="U8" s="7" t="s">
        <v>8</v>
      </c>
      <c r="V8" s="7" t="s">
        <v>9</v>
      </c>
      <c r="W8" s="8" t="s">
        <v>10</v>
      </c>
      <c r="Y8" s="17" t="s">
        <v>158</v>
      </c>
      <c r="Z8" s="6" t="s">
        <v>5</v>
      </c>
      <c r="AA8" s="7" t="s">
        <v>6</v>
      </c>
      <c r="AB8" s="7" t="s">
        <v>7</v>
      </c>
      <c r="AC8" s="7" t="s">
        <v>8</v>
      </c>
      <c r="AD8" s="7" t="s">
        <v>9</v>
      </c>
      <c r="AE8" s="8" t="s">
        <v>10</v>
      </c>
      <c r="AG8" s="17" t="s">
        <v>158</v>
      </c>
      <c r="AH8" s="6" t="s">
        <v>5</v>
      </c>
      <c r="AI8" s="7" t="s">
        <v>6</v>
      </c>
      <c r="AJ8" s="7" t="s">
        <v>7</v>
      </c>
      <c r="AK8" s="7" t="s">
        <v>8</v>
      </c>
      <c r="AL8" s="7" t="s">
        <v>9</v>
      </c>
      <c r="AM8" s="8" t="s">
        <v>10</v>
      </c>
    </row>
    <row r="9" spans="1:39">
      <c r="A9" s="21" t="str">
        <f>IF(NOT(ISBLANK(HLOs!D8)),HLOs!D8,"")</f>
        <v xml:space="preserve">HLO 1.1.1: Demand signaling </v>
      </c>
      <c r="B9" s="5">
        <f>'Step B - Weight by Scl Impact'!B10*'Step C weights'!B$40</f>
        <v>0.12611372115100153</v>
      </c>
      <c r="C9" s="5">
        <f>'Step B - Weight by Scl Impact'!C10*'Step C weights'!C$40</f>
        <v>0.16314386208902978</v>
      </c>
      <c r="D9" s="5">
        <f>'Step B - Weight by Scl Impact'!D10*'Step C weights'!D$40</f>
        <v>0.30859082056782094</v>
      </c>
      <c r="E9" s="5">
        <f>'Step B - Weight by Scl Impact'!E10*'Step C weights'!E$40</f>
        <v>0.42155401097969419</v>
      </c>
      <c r="F9" s="5">
        <f>'Step B - Weight by Scl Impact'!F10*'Step C weights'!F$40</f>
        <v>0.80914963205156409</v>
      </c>
      <c r="G9" s="5">
        <f>'Step B - Weight by Scl Impact'!G10*'Step C weights'!G$40</f>
        <v>0.13665400744616416</v>
      </c>
      <c r="I9" s="21" t="str">
        <f>A9</f>
        <v xml:space="preserve">HLO 1.1.1: Demand signaling </v>
      </c>
      <c r="J9" s="5">
        <f>'Step B - Weight by Scl Impact'!J10*'Step C weights'!B$40</f>
        <v>9.3384802715016382E-2</v>
      </c>
      <c r="K9" s="5">
        <f>'Step B - Weight by Scl Impact'!K10*'Step C weights'!C$40</f>
        <v>5.8992296399665294E-2</v>
      </c>
      <c r="L9" s="5">
        <f>'Step B - Weight by Scl Impact'!L10*'Step C weights'!D$40</f>
        <v>0.50245970937698692</v>
      </c>
      <c r="M9" s="5">
        <f>'Step B - Weight by Scl Impact'!M10*'Step C weights'!E$40</f>
        <v>0.67882052546041993</v>
      </c>
      <c r="N9" s="5">
        <f>'Step B - Weight by Scl Impact'!N10*'Step C weights'!F$40</f>
        <v>0.39980805202450748</v>
      </c>
      <c r="O9" s="5">
        <f>'Step B - Weight by Scl Impact'!O10*'Step C weights'!G$40</f>
        <v>1.7812782345741948E-2</v>
      </c>
      <c r="Q9" s="21" t="str">
        <f>I9</f>
        <v xml:space="preserve">HLO 1.1.1: Demand signaling </v>
      </c>
      <c r="R9" s="5">
        <f>'Step B - Weight by Scl Impact'!R10*'Step C weights'!B$40</f>
        <v>0.28478826533470081</v>
      </c>
      <c r="S9" s="5">
        <f>'Step B - Weight by Scl Impact'!S10*'Step C weights'!C$40</f>
        <v>0.27974008966747343</v>
      </c>
      <c r="T9" s="5">
        <f>'Step B - Weight by Scl Impact'!T10*'Step C weights'!D$40</f>
        <v>0.36215973717405314</v>
      </c>
      <c r="U9" s="5">
        <f>'Step B - Weight by Scl Impact'!U10*'Step C weights'!E$40</f>
        <v>0.35776549326099438</v>
      </c>
      <c r="V9" s="5">
        <f>'Step B - Weight by Scl Impact'!V10*'Step C weights'!F$40</f>
        <v>0.40189626552533098</v>
      </c>
      <c r="W9" s="5">
        <f>'Step B - Weight by Scl Impact'!W10*'Step C weights'!G$40</f>
        <v>0.19672043687106136</v>
      </c>
      <c r="Y9" s="21" t="str">
        <f>A9</f>
        <v xml:space="preserve">HLO 1.1.1: Demand signaling </v>
      </c>
      <c r="Z9" s="5">
        <f>'Step B - Weight by Scl Impact'!Z10*'Step C weights'!B$40</f>
        <v>0.44507537325072216</v>
      </c>
      <c r="AA9" s="5">
        <f>'Step B - Weight by Scl Impact'!AA10*'Step C weights'!C$40</f>
        <v>0.1062571444530664</v>
      </c>
      <c r="AB9" s="5">
        <f>'Step B - Weight by Scl Impact'!AB10*'Step C weights'!D$40</f>
        <v>0.12643804329900796</v>
      </c>
      <c r="AC9" s="5">
        <f>'Step B - Weight by Scl Impact'!AC10*'Step C weights'!E$40</f>
        <v>0.22830790041591781</v>
      </c>
      <c r="AD9" s="5">
        <f>'Step B - Weight by Scl Impact'!AD10*'Step C weights'!F$40</f>
        <v>0.48734950088536921</v>
      </c>
      <c r="AE9" s="5">
        <f>'Step B - Weight by Scl Impact'!AE10*'Step C weights'!G$40</f>
        <v>0.51971908860699578</v>
      </c>
      <c r="AG9" s="21" t="str">
        <f>A9</f>
        <v xml:space="preserve">HLO 1.1.1: Demand signaling </v>
      </c>
      <c r="AH9" s="5">
        <f>'Step B - Weight by Scl Impact'!AH10*'Step C weights'!B$40</f>
        <v>0.44507537325072216</v>
      </c>
      <c r="AI9" s="5">
        <f>'Step B - Weight by Scl Impact'!AI10*'Step C weights'!C$40</f>
        <v>0.1062571444530664</v>
      </c>
      <c r="AJ9" s="5">
        <f>'Step B - Weight by Scl Impact'!AJ10*'Step C weights'!D$40</f>
        <v>0.12643804329900796</v>
      </c>
      <c r="AK9" s="5">
        <f>'Step B - Weight by Scl Impact'!AK10*'Step C weights'!E$40</f>
        <v>0.22830790041591781</v>
      </c>
      <c r="AL9" s="5">
        <f>'Step B - Weight by Scl Impact'!AL10*'Step C weights'!F$40</f>
        <v>0.60918687610671152</v>
      </c>
      <c r="AM9" s="5">
        <f>'Step B - Weight by Scl Impact'!AM10*'Step C weights'!G$40</f>
        <v>0.51971908860699578</v>
      </c>
    </row>
    <row r="10" spans="1:39">
      <c r="A10" s="21" t="str">
        <f>IF(NOT(ISBLANK(HLOs!D9)),HLOs!D9,"")</f>
        <v>HLO 1.1.2: Feedback and adaptive research and scaling prioritization</v>
      </c>
      <c r="B10" s="5">
        <f>'Step B - Weight by Scl Impact'!B11*'Step C weights'!B$40</f>
        <v>9.4585290863251154E-2</v>
      </c>
      <c r="C10" s="5">
        <f>'Step B - Weight by Scl Impact'!C11*'Step C weights'!C$40</f>
        <v>0.12235789656677233</v>
      </c>
      <c r="D10" s="5">
        <f>'Step B - Weight by Scl Impact'!D11*'Step C weights'!D$40</f>
        <v>0.23144311542586568</v>
      </c>
      <c r="E10" s="5">
        <f>'Step B - Weight by Scl Impact'!E11*'Step C weights'!E$40</f>
        <v>0.31616550823477063</v>
      </c>
      <c r="F10" s="5">
        <f>'Step B - Weight by Scl Impact'!F11*'Step C weights'!F$40</f>
        <v>0.6473197056412513</v>
      </c>
      <c r="G10" s="5">
        <f>'Step B - Weight by Scl Impact'!G11*'Step C weights'!G$40</f>
        <v>0.10249050558462312</v>
      </c>
      <c r="I10" s="21" t="str">
        <f t="shared" ref="I10:I30" si="0">A10</f>
        <v>HLO 1.1.2: Feedback and adaptive research and scaling prioritization</v>
      </c>
      <c r="J10" s="5">
        <f>'Step B - Weight by Scl Impact'!J11*'Step C weights'!B$40</f>
        <v>7.003860203626229E-2</v>
      </c>
      <c r="K10" s="5">
        <f>'Step B - Weight by Scl Impact'!K11*'Step C weights'!C$40</f>
        <v>4.4244222299748968E-2</v>
      </c>
      <c r="L10" s="5">
        <f>'Step B - Weight by Scl Impact'!L11*'Step C weights'!D$40</f>
        <v>0.37684478203274019</v>
      </c>
      <c r="M10" s="5">
        <f>'Step B - Weight by Scl Impact'!M11*'Step C weights'!E$40</f>
        <v>0.50911539409531492</v>
      </c>
      <c r="N10" s="5">
        <f>'Step B - Weight by Scl Impact'!N11*'Step C weights'!F$40</f>
        <v>0.39980805202450748</v>
      </c>
      <c r="O10" s="5">
        <f>'Step B - Weight by Scl Impact'!O11*'Step C weights'!G$40</f>
        <v>1.3359586759306461E-2</v>
      </c>
      <c r="Q10" s="21" t="str">
        <f t="shared" ref="Q10:Q30" si="1">I10</f>
        <v>HLO 1.1.2: Feedback and adaptive research and scaling prioritization</v>
      </c>
      <c r="R10" s="5">
        <f>'Step B - Weight by Scl Impact'!R11*'Step C weights'!B$40</f>
        <v>0.21359119900102561</v>
      </c>
      <c r="S10" s="5">
        <f>'Step B - Weight by Scl Impact'!S11*'Step C weights'!C$40</f>
        <v>0.20980506725060508</v>
      </c>
      <c r="T10" s="5">
        <f>'Step B - Weight by Scl Impact'!T11*'Step C weights'!D$40</f>
        <v>0.27161980288053988</v>
      </c>
      <c r="U10" s="5">
        <f>'Step B - Weight by Scl Impact'!U11*'Step C weights'!E$40</f>
        <v>0.26832411994574579</v>
      </c>
      <c r="V10" s="5">
        <f>'Step B - Weight by Scl Impact'!V11*'Step C weights'!F$40</f>
        <v>0.32151701242026481</v>
      </c>
      <c r="W10" s="5">
        <f>'Step B - Weight by Scl Impact'!W11*'Step C weights'!G$40</f>
        <v>0.147540327653296</v>
      </c>
      <c r="Y10" s="21" t="str">
        <f t="shared" ref="Y10:Y30" si="2">Q10</f>
        <v>HLO 1.1.2: Feedback and adaptive research and scaling prioritization</v>
      </c>
      <c r="Z10" s="5">
        <f>'Step B - Weight by Scl Impact'!Z11*'Step C weights'!B$40</f>
        <v>0.33380652993804161</v>
      </c>
      <c r="AA10" s="5">
        <f>'Step B - Weight by Scl Impact'!AA11*'Step C weights'!C$40</f>
        <v>7.9692858339799805E-2</v>
      </c>
      <c r="AB10" s="5">
        <f>'Step B - Weight by Scl Impact'!AB11*'Step C weights'!D$40</f>
        <v>9.4828532474255975E-2</v>
      </c>
      <c r="AC10" s="5">
        <f>'Step B - Weight by Scl Impact'!AC11*'Step C weights'!E$40</f>
        <v>0.17123092531193837</v>
      </c>
      <c r="AD10" s="5">
        <f>'Step B - Weight by Scl Impact'!AD11*'Step C weights'!F$40</f>
        <v>0.48734950088536921</v>
      </c>
      <c r="AE10" s="5">
        <f>'Step B - Weight by Scl Impact'!AE11*'Step C weights'!G$40</f>
        <v>0.38978931645524678</v>
      </c>
      <c r="AG10" s="21" t="str">
        <f t="shared" ref="AG10:AG30" si="3">A10</f>
        <v>HLO 1.1.2: Feedback and adaptive research and scaling prioritization</v>
      </c>
      <c r="AH10" s="5">
        <f>'Step B - Weight by Scl Impact'!AH11*'Step C weights'!B$40</f>
        <v>0.33380652993804161</v>
      </c>
      <c r="AI10" s="5">
        <f>'Step B - Weight by Scl Impact'!AI11*'Step C weights'!C$40</f>
        <v>7.9692858339799805E-2</v>
      </c>
      <c r="AJ10" s="5">
        <f>'Step B - Weight by Scl Impact'!AJ11*'Step C weights'!D$40</f>
        <v>9.4828532474255975E-2</v>
      </c>
      <c r="AK10" s="5">
        <f>'Step B - Weight by Scl Impact'!AK11*'Step C weights'!E$40</f>
        <v>0.17123092531193837</v>
      </c>
      <c r="AL10" s="5">
        <f>'Step B - Weight by Scl Impact'!AL11*'Step C weights'!F$40</f>
        <v>0.48734950088536921</v>
      </c>
      <c r="AM10" s="5">
        <f>'Step B - Weight by Scl Impact'!AM11*'Step C weights'!G$40</f>
        <v>0.38978931645524678</v>
      </c>
    </row>
    <row r="11" spans="1:39">
      <c r="A11" s="21" t="str">
        <f>IF(NOT(ISBLANK(HLOs!D10)),HLOs!D10,"")</f>
        <v>HLO 1.1.3: Enhance strategies and coordination</v>
      </c>
      <c r="B11" s="5">
        <f>'Step B - Weight by Scl Impact'!B12*'Step C weights'!B$40</f>
        <v>6.3056860575500764E-2</v>
      </c>
      <c r="C11" s="5">
        <f>'Step B - Weight by Scl Impact'!C12*'Step C weights'!C$40</f>
        <v>8.1571931044514892E-2</v>
      </c>
      <c r="D11" s="5">
        <f>'Step B - Weight by Scl Impact'!D12*'Step C weights'!D$40</f>
        <v>0.23144311542586568</v>
      </c>
      <c r="E11" s="5">
        <f>'Step B - Weight by Scl Impact'!E12*'Step C weights'!E$40</f>
        <v>0.31616550823477063</v>
      </c>
      <c r="F11" s="5">
        <f>'Step B - Weight by Scl Impact'!F12*'Step C weights'!F$40</f>
        <v>0.4854897792309385</v>
      </c>
      <c r="G11" s="5">
        <f>'Step B - Weight by Scl Impact'!G12*'Step C weights'!G$40</f>
        <v>6.8327003723082078E-2</v>
      </c>
      <c r="I11" s="21" t="str">
        <f t="shared" si="0"/>
        <v>HLO 1.1.3: Enhance strategies and coordination</v>
      </c>
      <c r="J11" s="5">
        <f>'Step B - Weight by Scl Impact'!J12*'Step C weights'!B$40</f>
        <v>4.6692401357508191E-2</v>
      </c>
      <c r="K11" s="5">
        <f>'Step B - Weight by Scl Impact'!K12*'Step C weights'!C$40</f>
        <v>2.9496148199832647E-2</v>
      </c>
      <c r="L11" s="5">
        <f>'Step B - Weight by Scl Impact'!L12*'Step C weights'!D$40</f>
        <v>0.25122985468849346</v>
      </c>
      <c r="M11" s="5">
        <f>'Step B - Weight by Scl Impact'!M12*'Step C weights'!E$40</f>
        <v>0.50911539409531492</v>
      </c>
      <c r="N11" s="5">
        <f>'Step B - Weight by Scl Impact'!N12*'Step C weights'!F$40</f>
        <v>0.29985603901838059</v>
      </c>
      <c r="O11" s="5">
        <f>'Step B - Weight by Scl Impact'!O12*'Step C weights'!G$40</f>
        <v>8.9063911728709741E-3</v>
      </c>
      <c r="Q11" s="21" t="str">
        <f t="shared" si="1"/>
        <v>HLO 1.1.3: Enhance strategies and coordination</v>
      </c>
      <c r="R11" s="5">
        <f>'Step B - Weight by Scl Impact'!R12*'Step C weights'!B$40</f>
        <v>0.1423941326673504</v>
      </c>
      <c r="S11" s="5">
        <f>'Step B - Weight by Scl Impact'!S12*'Step C weights'!C$40</f>
        <v>0.13987004483373672</v>
      </c>
      <c r="T11" s="5">
        <f>'Step B - Weight by Scl Impact'!T12*'Step C weights'!D$40</f>
        <v>0.27161980288053988</v>
      </c>
      <c r="U11" s="5">
        <f>'Step B - Weight by Scl Impact'!U12*'Step C weights'!E$40</f>
        <v>0.17888274663049719</v>
      </c>
      <c r="V11" s="5">
        <f>'Step B - Weight by Scl Impact'!V12*'Step C weights'!F$40</f>
        <v>0.24113775931519857</v>
      </c>
      <c r="W11" s="5">
        <f>'Step B - Weight by Scl Impact'!W12*'Step C weights'!G$40</f>
        <v>9.836021843553068E-2</v>
      </c>
      <c r="Y11" s="21" t="str">
        <f t="shared" si="2"/>
        <v>HLO 1.1.3: Enhance strategies and coordination</v>
      </c>
      <c r="Z11" s="5">
        <f>'Step B - Weight by Scl Impact'!Z12*'Step C weights'!B$40</f>
        <v>0.22253768662536108</v>
      </c>
      <c r="AA11" s="5">
        <f>'Step B - Weight by Scl Impact'!AA12*'Step C weights'!C$40</f>
        <v>5.3128572226533201E-2</v>
      </c>
      <c r="AB11" s="5">
        <f>'Step B - Weight by Scl Impact'!AB12*'Step C weights'!D$40</f>
        <v>6.3219021649503979E-2</v>
      </c>
      <c r="AC11" s="5">
        <f>'Step B - Weight by Scl Impact'!AC12*'Step C weights'!E$40</f>
        <v>0.17123092531193837</v>
      </c>
      <c r="AD11" s="5">
        <f>'Step B - Weight by Scl Impact'!AD12*'Step C weights'!F$40</f>
        <v>0.36551212566402691</v>
      </c>
      <c r="AE11" s="5">
        <f>'Step B - Weight by Scl Impact'!AE12*'Step C weights'!G$40</f>
        <v>0.38978931645524678</v>
      </c>
      <c r="AG11" s="21" t="str">
        <f t="shared" si="3"/>
        <v>HLO 1.1.3: Enhance strategies and coordination</v>
      </c>
      <c r="AH11" s="5">
        <f>'Step B - Weight by Scl Impact'!AH12*'Step C weights'!B$40</f>
        <v>0.22253768662536108</v>
      </c>
      <c r="AI11" s="5">
        <f>'Step B - Weight by Scl Impact'!AI12*'Step C weights'!C$40</f>
        <v>5.3128572226533201E-2</v>
      </c>
      <c r="AJ11" s="5">
        <f>'Step B - Weight by Scl Impact'!AJ12*'Step C weights'!D$40</f>
        <v>6.3219021649503979E-2</v>
      </c>
      <c r="AK11" s="5">
        <f>'Step B - Weight by Scl Impact'!AK12*'Step C weights'!E$40</f>
        <v>0.17123092531193837</v>
      </c>
      <c r="AL11" s="5">
        <f>'Step B - Weight by Scl Impact'!AL12*'Step C weights'!F$40</f>
        <v>0.36551212566402691</v>
      </c>
      <c r="AM11" s="5">
        <f>'Step B - Weight by Scl Impact'!AM12*'Step C weights'!G$40</f>
        <v>0.25985954430349789</v>
      </c>
    </row>
    <row r="12" spans="1:39">
      <c r="A12" s="21" t="str">
        <f>IF(NOT(ISBLANK(HLOs!D11)),HLOs!D11,"")</f>
        <v xml:space="preserve">HLO 2.2.1: Innovation networks enhance agrifood system solution scaling </v>
      </c>
      <c r="B12" s="5">
        <f>'Step B - Weight by Scl Impact'!B13*'Step C weights'!B$40</f>
        <v>3.1528430287750382E-2</v>
      </c>
      <c r="C12" s="5">
        <f>'Step B - Weight by Scl Impact'!C13*'Step C weights'!C$40</f>
        <v>4.0785965522257446E-2</v>
      </c>
      <c r="D12" s="5">
        <f>'Step B - Weight by Scl Impact'!D13*'Step C weights'!D$40</f>
        <v>7.7147705141955236E-2</v>
      </c>
      <c r="E12" s="5">
        <f>'Step B - Weight by Scl Impact'!E13*'Step C weights'!E$40</f>
        <v>0.10538850274492355</v>
      </c>
      <c r="F12" s="5">
        <f>'Step B - Weight by Scl Impact'!F13*'Step C weights'!F$40</f>
        <v>0.16182992641031282</v>
      </c>
      <c r="G12" s="5">
        <f>'Step B - Weight by Scl Impact'!G13*'Step C weights'!G$40</f>
        <v>3.4163501861541039E-2</v>
      </c>
      <c r="I12" s="21" t="str">
        <f t="shared" si="0"/>
        <v xml:space="preserve">HLO 2.2.1: Innovation networks enhance agrifood system solution scaling </v>
      </c>
      <c r="J12" s="5">
        <f>'Step B - Weight by Scl Impact'!J13*'Step C weights'!B$40</f>
        <v>2.3346200678754096E-2</v>
      </c>
      <c r="K12" s="5">
        <f>'Step B - Weight by Scl Impact'!K13*'Step C weights'!C$40</f>
        <v>1.4748074099916323E-2</v>
      </c>
      <c r="L12" s="5">
        <f>'Step B - Weight by Scl Impact'!L13*'Step C weights'!D$40</f>
        <v>0.12561492734424673</v>
      </c>
      <c r="M12" s="5">
        <f>'Step B - Weight by Scl Impact'!M13*'Step C weights'!E$40</f>
        <v>0.16970513136510498</v>
      </c>
      <c r="N12" s="5">
        <f>'Step B - Weight by Scl Impact'!N13*'Step C weights'!F$40</f>
        <v>9.9952013006126869E-2</v>
      </c>
      <c r="O12" s="5">
        <f>'Step B - Weight by Scl Impact'!O13*'Step C weights'!G$40</f>
        <v>4.453195586435487E-3</v>
      </c>
      <c r="Q12" s="21" t="str">
        <f t="shared" si="1"/>
        <v xml:space="preserve">HLO 2.2.1: Innovation networks enhance agrifood system solution scaling </v>
      </c>
      <c r="R12" s="5">
        <f>'Step B - Weight by Scl Impact'!R13*'Step C weights'!B$40</f>
        <v>7.1197066333675202E-2</v>
      </c>
      <c r="S12" s="5">
        <f>'Step B - Weight by Scl Impact'!S13*'Step C weights'!C$40</f>
        <v>6.9935022416868359E-2</v>
      </c>
      <c r="T12" s="5">
        <f>'Step B - Weight by Scl Impact'!T13*'Step C weights'!D$40</f>
        <v>9.0539934293513286E-2</v>
      </c>
      <c r="U12" s="5">
        <f>'Step B - Weight by Scl Impact'!U13*'Step C weights'!E$40</f>
        <v>8.9441373315248596E-2</v>
      </c>
      <c r="V12" s="5">
        <f>'Step B - Weight by Scl Impact'!V13*'Step C weights'!F$40</f>
        <v>8.0379253105066203E-2</v>
      </c>
      <c r="W12" s="5">
        <f>'Step B - Weight by Scl Impact'!W13*'Step C weights'!G$40</f>
        <v>4.918010921776534E-2</v>
      </c>
      <c r="Y12" s="21" t="str">
        <f t="shared" si="2"/>
        <v xml:space="preserve">HLO 2.2.1: Innovation networks enhance agrifood system solution scaling </v>
      </c>
      <c r="Z12" s="5">
        <f>'Step B - Weight by Scl Impact'!Z13*'Step C weights'!B$40</f>
        <v>0.11126884331268054</v>
      </c>
      <c r="AA12" s="5">
        <f>'Step B - Weight by Scl Impact'!AA13*'Step C weights'!C$40</f>
        <v>2.65642861132666E-2</v>
      </c>
      <c r="AB12" s="5">
        <f>'Step B - Weight by Scl Impact'!AB13*'Step C weights'!D$40</f>
        <v>3.1609510824751989E-2</v>
      </c>
      <c r="AC12" s="5">
        <f>'Step B - Weight by Scl Impact'!AC13*'Step C weights'!E$40</f>
        <v>5.7076975103979452E-2</v>
      </c>
      <c r="AD12" s="5">
        <f>'Step B - Weight by Scl Impact'!AD13*'Step C weights'!F$40</f>
        <v>0.1218373752213423</v>
      </c>
      <c r="AE12" s="5">
        <f>'Step B - Weight by Scl Impact'!AE13*'Step C weights'!G$40</f>
        <v>0.12992977215174895</v>
      </c>
      <c r="AG12" s="21" t="str">
        <f t="shared" si="3"/>
        <v xml:space="preserve">HLO 2.2.1: Innovation networks enhance agrifood system solution scaling </v>
      </c>
      <c r="AH12" s="5">
        <f>'Step B - Weight by Scl Impact'!AH13*'Step C weights'!B$40</f>
        <v>0.11126884331268054</v>
      </c>
      <c r="AI12" s="5">
        <f>'Step B - Weight by Scl Impact'!AI13*'Step C weights'!C$40</f>
        <v>2.65642861132666E-2</v>
      </c>
      <c r="AJ12" s="5">
        <f>'Step B - Weight by Scl Impact'!AJ13*'Step C weights'!D$40</f>
        <v>3.1609510824751989E-2</v>
      </c>
      <c r="AK12" s="5">
        <f>'Step B - Weight by Scl Impact'!AK13*'Step C weights'!E$40</f>
        <v>5.7076975103979452E-2</v>
      </c>
      <c r="AL12" s="5">
        <f>'Step B - Weight by Scl Impact'!AL13*'Step C weights'!F$40</f>
        <v>0.1218373752213423</v>
      </c>
      <c r="AM12" s="5">
        <f>'Step B - Weight by Scl Impact'!AM13*'Step C weights'!G$40</f>
        <v>0.12992977215174895</v>
      </c>
    </row>
    <row r="13" spans="1:39">
      <c r="A13" s="21" t="str">
        <f>IF(NOT(ISBLANK(HLOs!D12)),HLOs!D12,"")</f>
        <v xml:space="preserve">HLO 2.2.2: Methods evaluating agrifood system solutions for scale </v>
      </c>
      <c r="B13" s="5">
        <f>'Step B - Weight by Scl Impact'!B14*'Step C weights'!B$40</f>
        <v>3.1528430287750382E-2</v>
      </c>
      <c r="C13" s="5">
        <f>'Step B - Weight by Scl Impact'!C14*'Step C weights'!C$40</f>
        <v>4.0785965522257446E-2</v>
      </c>
      <c r="D13" s="5">
        <f>'Step B - Weight by Scl Impact'!D14*'Step C weights'!D$40</f>
        <v>0.15429541028391047</v>
      </c>
      <c r="E13" s="5">
        <f>'Step B - Weight by Scl Impact'!E14*'Step C weights'!E$40</f>
        <v>0.2107770054898471</v>
      </c>
      <c r="F13" s="5">
        <f>'Step B - Weight by Scl Impact'!F14*'Step C weights'!F$40</f>
        <v>0.32365985282062565</v>
      </c>
      <c r="G13" s="5">
        <f>'Step B - Weight by Scl Impact'!G14*'Step C weights'!G$40</f>
        <v>3.4163501861541039E-2</v>
      </c>
      <c r="I13" s="21" t="str">
        <f t="shared" si="0"/>
        <v xml:space="preserve">HLO 2.2.2: Methods evaluating agrifood system solutions for scale </v>
      </c>
      <c r="J13" s="5">
        <f>'Step B - Weight by Scl Impact'!J14*'Step C weights'!B$40</f>
        <v>2.3346200678754096E-2</v>
      </c>
      <c r="K13" s="5">
        <f>'Step B - Weight by Scl Impact'!K14*'Step C weights'!C$40</f>
        <v>1.4748074099916323E-2</v>
      </c>
      <c r="L13" s="5">
        <f>'Step B - Weight by Scl Impact'!L14*'Step C weights'!D$40</f>
        <v>0.25122985468849346</v>
      </c>
      <c r="M13" s="5">
        <f>'Step B - Weight by Scl Impact'!M14*'Step C weights'!E$40</f>
        <v>0.33941026273020997</v>
      </c>
      <c r="N13" s="5">
        <f>'Step B - Weight by Scl Impact'!N14*'Step C weights'!F$40</f>
        <v>0.19990402601225374</v>
      </c>
      <c r="O13" s="5">
        <f>'Step B - Weight by Scl Impact'!O14*'Step C weights'!G$40</f>
        <v>4.453195586435487E-3</v>
      </c>
      <c r="Q13" s="21" t="str">
        <f t="shared" si="1"/>
        <v xml:space="preserve">HLO 2.2.2: Methods evaluating agrifood system solutions for scale </v>
      </c>
      <c r="R13" s="5">
        <f>'Step B - Weight by Scl Impact'!R14*'Step C weights'!B$40</f>
        <v>7.1197066333675202E-2</v>
      </c>
      <c r="S13" s="5">
        <f>'Step B - Weight by Scl Impact'!S14*'Step C weights'!C$40</f>
        <v>6.9935022416868359E-2</v>
      </c>
      <c r="T13" s="5">
        <f>'Step B - Weight by Scl Impact'!T14*'Step C weights'!D$40</f>
        <v>0.18107986858702657</v>
      </c>
      <c r="U13" s="5">
        <f>'Step B - Weight by Scl Impact'!U14*'Step C weights'!E$40</f>
        <v>0.17888274663049719</v>
      </c>
      <c r="V13" s="5">
        <f>'Step B - Weight by Scl Impact'!V14*'Step C weights'!F$40</f>
        <v>0.16075850621013241</v>
      </c>
      <c r="W13" s="5">
        <f>'Step B - Weight by Scl Impact'!W14*'Step C weights'!G$40</f>
        <v>4.918010921776534E-2</v>
      </c>
      <c r="Y13" s="21" t="str">
        <f t="shared" si="2"/>
        <v xml:space="preserve">HLO 2.2.2: Methods evaluating agrifood system solutions for scale </v>
      </c>
      <c r="Z13" s="5">
        <f>'Step B - Weight by Scl Impact'!Z14*'Step C weights'!B$40</f>
        <v>0.11126884331268054</v>
      </c>
      <c r="AA13" s="5">
        <f>'Step B - Weight by Scl Impact'!AA14*'Step C weights'!C$40</f>
        <v>2.65642861132666E-2</v>
      </c>
      <c r="AB13" s="5">
        <f>'Step B - Weight by Scl Impact'!AB14*'Step C weights'!D$40</f>
        <v>3.1609510824751989E-2</v>
      </c>
      <c r="AC13" s="5">
        <f>'Step B - Weight by Scl Impact'!AC14*'Step C weights'!E$40</f>
        <v>0.1141539502079589</v>
      </c>
      <c r="AD13" s="5">
        <f>'Step B - Weight by Scl Impact'!AD14*'Step C weights'!F$40</f>
        <v>0.24367475044268461</v>
      </c>
      <c r="AE13" s="5">
        <f>'Step B - Weight by Scl Impact'!AE14*'Step C weights'!G$40</f>
        <v>0.25985954430349789</v>
      </c>
      <c r="AG13" s="21" t="str">
        <f t="shared" si="3"/>
        <v xml:space="preserve">HLO 2.2.2: Methods evaluating agrifood system solutions for scale </v>
      </c>
      <c r="AH13" s="5">
        <f>'Step B - Weight by Scl Impact'!AH14*'Step C weights'!B$40</f>
        <v>0.11126884331268054</v>
      </c>
      <c r="AI13" s="5">
        <f>'Step B - Weight by Scl Impact'!AI14*'Step C weights'!C$40</f>
        <v>5.3128572226533201E-2</v>
      </c>
      <c r="AJ13" s="5">
        <f>'Step B - Weight by Scl Impact'!AJ14*'Step C weights'!D$40</f>
        <v>3.1609510824751989E-2</v>
      </c>
      <c r="AK13" s="5">
        <f>'Step B - Weight by Scl Impact'!AK14*'Step C weights'!E$40</f>
        <v>0.1141539502079589</v>
      </c>
      <c r="AL13" s="5">
        <f>'Step B - Weight by Scl Impact'!AL14*'Step C weights'!F$40</f>
        <v>0.24367475044268461</v>
      </c>
      <c r="AM13" s="5">
        <f>'Step B - Weight by Scl Impact'!AM14*'Step C weights'!G$40</f>
        <v>0.25985954430349789</v>
      </c>
    </row>
    <row r="14" spans="1:39">
      <c r="A14" s="21" t="str">
        <f>IF(NOT(ISBLANK(HLOs!D13)),HLOs!D13,"")</f>
        <v xml:space="preserve">HLO 2.2.3: Scale-ready agrifood system solution bundles and packages </v>
      </c>
      <c r="B14" s="5">
        <f>'Step B - Weight by Scl Impact'!B15*'Step C weights'!B$40</f>
        <v>9.4585290863251154E-2</v>
      </c>
      <c r="C14" s="5">
        <f>'Step B - Weight by Scl Impact'!C15*'Step C weights'!C$40</f>
        <v>0.12235789656677233</v>
      </c>
      <c r="D14" s="5">
        <f>'Step B - Weight by Scl Impact'!D15*'Step C weights'!D$40</f>
        <v>0.23144311542586568</v>
      </c>
      <c r="E14" s="5">
        <f>'Step B - Weight by Scl Impact'!E15*'Step C weights'!E$40</f>
        <v>0.31616550823477063</v>
      </c>
      <c r="F14" s="5">
        <f>'Step B - Weight by Scl Impact'!F15*'Step C weights'!F$40</f>
        <v>0.6473197056412513</v>
      </c>
      <c r="G14" s="5">
        <f>'Step B - Weight by Scl Impact'!G15*'Step C weights'!G$40</f>
        <v>0.10249050558462312</v>
      </c>
      <c r="I14" s="21" t="str">
        <f t="shared" si="0"/>
        <v xml:space="preserve">HLO 2.2.3: Scale-ready agrifood system solution bundles and packages </v>
      </c>
      <c r="J14" s="5">
        <f>'Step B - Weight by Scl Impact'!J15*'Step C weights'!B$40</f>
        <v>7.003860203626229E-2</v>
      </c>
      <c r="K14" s="5">
        <f>'Step B - Weight by Scl Impact'!K15*'Step C weights'!C$40</f>
        <v>4.4244222299748968E-2</v>
      </c>
      <c r="L14" s="5">
        <f>'Step B - Weight by Scl Impact'!L15*'Step C weights'!D$40</f>
        <v>0.37684478203274019</v>
      </c>
      <c r="M14" s="5">
        <f>'Step B - Weight by Scl Impact'!M15*'Step C weights'!E$40</f>
        <v>0.50911539409531492</v>
      </c>
      <c r="N14" s="5">
        <f>'Step B - Weight by Scl Impact'!N15*'Step C weights'!F$40</f>
        <v>0.39980805202450748</v>
      </c>
      <c r="O14" s="5">
        <f>'Step B - Weight by Scl Impact'!O15*'Step C weights'!G$40</f>
        <v>1.3359586759306461E-2</v>
      </c>
      <c r="Q14" s="21" t="str">
        <f t="shared" si="1"/>
        <v xml:space="preserve">HLO 2.2.3: Scale-ready agrifood system solution bundles and packages </v>
      </c>
      <c r="R14" s="5">
        <f>'Step B - Weight by Scl Impact'!R15*'Step C weights'!B$40</f>
        <v>0.21359119900102561</v>
      </c>
      <c r="S14" s="5">
        <f>'Step B - Weight by Scl Impact'!S15*'Step C weights'!C$40</f>
        <v>0.20980506725060508</v>
      </c>
      <c r="T14" s="5">
        <f>'Step B - Weight by Scl Impact'!T15*'Step C weights'!D$40</f>
        <v>0.27161980288053988</v>
      </c>
      <c r="U14" s="5">
        <f>'Step B - Weight by Scl Impact'!U15*'Step C weights'!E$40</f>
        <v>0.26832411994574579</v>
      </c>
      <c r="V14" s="5">
        <f>'Step B - Weight by Scl Impact'!V15*'Step C weights'!F$40</f>
        <v>0.32151701242026481</v>
      </c>
      <c r="W14" s="5">
        <f>'Step B - Weight by Scl Impact'!W15*'Step C weights'!G$40</f>
        <v>0.147540327653296</v>
      </c>
      <c r="Y14" s="21" t="str">
        <f t="shared" si="2"/>
        <v xml:space="preserve">HLO 2.2.3: Scale-ready agrifood system solution bundles and packages </v>
      </c>
      <c r="Z14" s="5">
        <f>'Step B - Weight by Scl Impact'!Z15*'Step C weights'!B$40</f>
        <v>0.33380652993804161</v>
      </c>
      <c r="AA14" s="5">
        <f>'Step B - Weight by Scl Impact'!AA15*'Step C weights'!C$40</f>
        <v>7.9692858339799805E-2</v>
      </c>
      <c r="AB14" s="5">
        <f>'Step B - Weight by Scl Impact'!AB15*'Step C weights'!D$40</f>
        <v>9.4828532474255975E-2</v>
      </c>
      <c r="AC14" s="5">
        <f>'Step B - Weight by Scl Impact'!AC15*'Step C weights'!E$40</f>
        <v>0.17123092531193837</v>
      </c>
      <c r="AD14" s="5">
        <f>'Step B - Weight by Scl Impact'!AD15*'Step C weights'!F$40</f>
        <v>0.48734950088536921</v>
      </c>
      <c r="AE14" s="5">
        <f>'Step B - Weight by Scl Impact'!AE15*'Step C weights'!G$40</f>
        <v>0.38978931645524678</v>
      </c>
      <c r="AG14" s="21" t="str">
        <f t="shared" si="3"/>
        <v xml:space="preserve">HLO 2.2.3: Scale-ready agrifood system solution bundles and packages </v>
      </c>
      <c r="AH14" s="5">
        <f>'Step B - Weight by Scl Impact'!AH15*'Step C weights'!B$40</f>
        <v>0.33380652993804161</v>
      </c>
      <c r="AI14" s="5">
        <f>'Step B - Weight by Scl Impact'!AI15*'Step C weights'!C$40</f>
        <v>7.9692858339799805E-2</v>
      </c>
      <c r="AJ14" s="5">
        <f>'Step B - Weight by Scl Impact'!AJ15*'Step C weights'!D$40</f>
        <v>9.4828532474255975E-2</v>
      </c>
      <c r="AK14" s="5">
        <f>'Step B - Weight by Scl Impact'!AK15*'Step C weights'!E$40</f>
        <v>0.17123092531193837</v>
      </c>
      <c r="AL14" s="5">
        <f>'Step B - Weight by Scl Impact'!AL15*'Step C weights'!F$40</f>
        <v>0.48734950088536921</v>
      </c>
      <c r="AM14" s="5">
        <f>'Step B - Weight by Scl Impact'!AM15*'Step C weights'!G$40</f>
        <v>0.38978931645524678</v>
      </c>
    </row>
    <row r="15" spans="1:39">
      <c r="A15" s="21" t="str">
        <f>IF(NOT(ISBLANK(HLOs!D14)),HLOs!D14,"")</f>
        <v xml:space="preserve">HLO 2.2.4: Agrifood system solution scaling strategies </v>
      </c>
      <c r="B15" s="5">
        <f>'Step B - Weight by Scl Impact'!B16*'Step C weights'!B$40</f>
        <v>0.12611372115100153</v>
      </c>
      <c r="C15" s="5">
        <f>'Step B - Weight by Scl Impact'!C16*'Step C weights'!C$40</f>
        <v>0.16314386208902978</v>
      </c>
      <c r="D15" s="5">
        <f>'Step B - Weight by Scl Impact'!D16*'Step C weights'!D$40</f>
        <v>0.30859082056782094</v>
      </c>
      <c r="E15" s="5">
        <f>'Step B - Weight by Scl Impact'!E16*'Step C weights'!E$40</f>
        <v>0.42155401097969419</v>
      </c>
      <c r="F15" s="5">
        <f>'Step B - Weight by Scl Impact'!F16*'Step C weights'!F$40</f>
        <v>0.80914963205156409</v>
      </c>
      <c r="G15" s="5">
        <f>'Step B - Weight by Scl Impact'!G16*'Step C weights'!G$40</f>
        <v>0.13665400744616416</v>
      </c>
      <c r="I15" s="21" t="str">
        <f t="shared" si="0"/>
        <v xml:space="preserve">HLO 2.2.4: Agrifood system solution scaling strategies </v>
      </c>
      <c r="J15" s="5">
        <f>'Step B - Weight by Scl Impact'!J16*'Step C weights'!B$40</f>
        <v>9.3384802715016382E-2</v>
      </c>
      <c r="K15" s="5">
        <f>'Step B - Weight by Scl Impact'!K16*'Step C weights'!C$40</f>
        <v>5.8992296399665294E-2</v>
      </c>
      <c r="L15" s="5">
        <f>'Step B - Weight by Scl Impact'!L16*'Step C weights'!D$40</f>
        <v>0.50245970937698692</v>
      </c>
      <c r="M15" s="5">
        <f>'Step B - Weight by Scl Impact'!M16*'Step C weights'!E$40</f>
        <v>0.67882052546041993</v>
      </c>
      <c r="N15" s="5">
        <f>'Step B - Weight by Scl Impact'!N16*'Step C weights'!F$40</f>
        <v>0.39980805202450748</v>
      </c>
      <c r="O15" s="5">
        <f>'Step B - Weight by Scl Impact'!O16*'Step C weights'!G$40</f>
        <v>1.7812782345741948E-2</v>
      </c>
      <c r="Q15" s="21" t="str">
        <f t="shared" si="1"/>
        <v xml:space="preserve">HLO 2.2.4: Agrifood system solution scaling strategies </v>
      </c>
      <c r="R15" s="5">
        <f>'Step B - Weight by Scl Impact'!R16*'Step C weights'!B$40</f>
        <v>0.28478826533470081</v>
      </c>
      <c r="S15" s="5">
        <f>'Step B - Weight by Scl Impact'!S16*'Step C weights'!C$40</f>
        <v>0.27974008966747343</v>
      </c>
      <c r="T15" s="5">
        <f>'Step B - Weight by Scl Impact'!T16*'Step C weights'!D$40</f>
        <v>0.36215973717405314</v>
      </c>
      <c r="U15" s="5">
        <f>'Step B - Weight by Scl Impact'!U16*'Step C weights'!E$40</f>
        <v>0.35776549326099438</v>
      </c>
      <c r="V15" s="5">
        <f>'Step B - Weight by Scl Impact'!V16*'Step C weights'!F$40</f>
        <v>0.40189626552533098</v>
      </c>
      <c r="W15" s="5">
        <f>'Step B - Weight by Scl Impact'!W16*'Step C weights'!G$40</f>
        <v>0.19672043687106136</v>
      </c>
      <c r="Y15" s="21" t="str">
        <f t="shared" si="2"/>
        <v xml:space="preserve">HLO 2.2.4: Agrifood system solution scaling strategies </v>
      </c>
      <c r="Z15" s="5">
        <f>'Step B - Weight by Scl Impact'!Z16*'Step C weights'!B$40</f>
        <v>0.44507537325072216</v>
      </c>
      <c r="AA15" s="5">
        <f>'Step B - Weight by Scl Impact'!AA16*'Step C weights'!C$40</f>
        <v>0.1062571444530664</v>
      </c>
      <c r="AB15" s="5">
        <f>'Step B - Weight by Scl Impact'!AB16*'Step C weights'!D$40</f>
        <v>0.12643804329900796</v>
      </c>
      <c r="AC15" s="5">
        <f>'Step B - Weight by Scl Impact'!AC16*'Step C weights'!E$40</f>
        <v>0.22830790041591781</v>
      </c>
      <c r="AD15" s="5">
        <f>'Step B - Weight by Scl Impact'!AD16*'Step C weights'!F$40</f>
        <v>0.48734950088536921</v>
      </c>
      <c r="AE15" s="5">
        <f>'Step B - Weight by Scl Impact'!AE16*'Step C weights'!G$40</f>
        <v>0.51971908860699578</v>
      </c>
      <c r="AG15" s="21" t="str">
        <f t="shared" si="3"/>
        <v xml:space="preserve">HLO 2.2.4: Agrifood system solution scaling strategies </v>
      </c>
      <c r="AH15" s="5">
        <f>'Step B - Weight by Scl Impact'!AH16*'Step C weights'!B$40</f>
        <v>0.44507537325072216</v>
      </c>
      <c r="AI15" s="5">
        <f>'Step B - Weight by Scl Impact'!AI16*'Step C weights'!C$40</f>
        <v>0.1062571444530664</v>
      </c>
      <c r="AJ15" s="5">
        <f>'Step B - Weight by Scl Impact'!AJ16*'Step C weights'!D$40</f>
        <v>0.12643804329900796</v>
      </c>
      <c r="AK15" s="5">
        <f>'Step B - Weight by Scl Impact'!AK16*'Step C weights'!E$40</f>
        <v>0.22830790041591781</v>
      </c>
      <c r="AL15" s="5">
        <f>'Step B - Weight by Scl Impact'!AL16*'Step C weights'!F$40</f>
        <v>0.60918687610671152</v>
      </c>
      <c r="AM15" s="5">
        <f>'Step B - Weight by Scl Impact'!AM16*'Step C weights'!G$40</f>
        <v>0.51971908860699578</v>
      </c>
    </row>
    <row r="16" spans="1:39">
      <c r="A16" s="21" t="str">
        <f>IF(NOT(ISBLANK(HLOs!D15)),HLOs!D15,"")</f>
        <v xml:space="preserve">HLO 3.3.1: Enabling environment diagnostics </v>
      </c>
      <c r="B16" s="5">
        <f>'Step B - Weight by Scl Impact'!B17*'Step C weights'!B$40</f>
        <v>6.3056860575500764E-2</v>
      </c>
      <c r="C16" s="5">
        <f>'Step B - Weight by Scl Impact'!C17*'Step C weights'!C$40</f>
        <v>8.1571931044514892E-2</v>
      </c>
      <c r="D16" s="5">
        <f>'Step B - Weight by Scl Impact'!D17*'Step C weights'!D$40</f>
        <v>0.23144311542586568</v>
      </c>
      <c r="E16" s="5">
        <f>'Step B - Weight by Scl Impact'!E17*'Step C weights'!E$40</f>
        <v>0.31616550823477063</v>
      </c>
      <c r="F16" s="5">
        <f>'Step B - Weight by Scl Impact'!F17*'Step C weights'!F$40</f>
        <v>0.4854897792309385</v>
      </c>
      <c r="G16" s="5">
        <f>'Step B - Weight by Scl Impact'!G17*'Step C weights'!G$40</f>
        <v>6.8327003723082078E-2</v>
      </c>
      <c r="I16" s="21" t="str">
        <f t="shared" si="0"/>
        <v xml:space="preserve">HLO 3.3.1: Enabling environment diagnostics </v>
      </c>
      <c r="J16" s="5">
        <f>'Step B - Weight by Scl Impact'!J17*'Step C weights'!B$40</f>
        <v>4.6692401357508191E-2</v>
      </c>
      <c r="K16" s="5">
        <f>'Step B - Weight by Scl Impact'!K17*'Step C weights'!C$40</f>
        <v>2.9496148199832647E-2</v>
      </c>
      <c r="L16" s="5">
        <f>'Step B - Weight by Scl Impact'!L17*'Step C weights'!D$40</f>
        <v>0.25122985468849346</v>
      </c>
      <c r="M16" s="5">
        <f>'Step B - Weight by Scl Impact'!M17*'Step C weights'!E$40</f>
        <v>0.50911539409531492</v>
      </c>
      <c r="N16" s="5">
        <f>'Step B - Weight by Scl Impact'!N17*'Step C weights'!F$40</f>
        <v>0.29985603901838059</v>
      </c>
      <c r="O16" s="5">
        <f>'Step B - Weight by Scl Impact'!O17*'Step C weights'!G$40</f>
        <v>8.9063911728709741E-3</v>
      </c>
      <c r="Q16" s="21" t="str">
        <f t="shared" si="1"/>
        <v xml:space="preserve">HLO 3.3.1: Enabling environment diagnostics </v>
      </c>
      <c r="R16" s="5">
        <f>'Step B - Weight by Scl Impact'!R17*'Step C weights'!B$40</f>
        <v>0.1423941326673504</v>
      </c>
      <c r="S16" s="5">
        <f>'Step B - Weight by Scl Impact'!S17*'Step C weights'!C$40</f>
        <v>0.13987004483373672</v>
      </c>
      <c r="T16" s="5">
        <f>'Step B - Weight by Scl Impact'!T17*'Step C weights'!D$40</f>
        <v>0.27161980288053988</v>
      </c>
      <c r="U16" s="5">
        <f>'Step B - Weight by Scl Impact'!U17*'Step C weights'!E$40</f>
        <v>0.17888274663049719</v>
      </c>
      <c r="V16" s="5">
        <f>'Step B - Weight by Scl Impact'!V17*'Step C weights'!F$40</f>
        <v>0.24113775931519857</v>
      </c>
      <c r="W16" s="5">
        <f>'Step B - Weight by Scl Impact'!W17*'Step C weights'!G$40</f>
        <v>9.836021843553068E-2</v>
      </c>
      <c r="Y16" s="21" t="str">
        <f t="shared" si="2"/>
        <v xml:space="preserve">HLO 3.3.1: Enabling environment diagnostics </v>
      </c>
      <c r="Z16" s="5">
        <f>'Step B - Weight by Scl Impact'!Z17*'Step C weights'!B$40</f>
        <v>0.22253768662536108</v>
      </c>
      <c r="AA16" s="5">
        <f>'Step B - Weight by Scl Impact'!AA17*'Step C weights'!C$40</f>
        <v>5.3128572226533201E-2</v>
      </c>
      <c r="AB16" s="5">
        <f>'Step B - Weight by Scl Impact'!AB17*'Step C weights'!D$40</f>
        <v>6.3219021649503979E-2</v>
      </c>
      <c r="AC16" s="5">
        <f>'Step B - Weight by Scl Impact'!AC17*'Step C weights'!E$40</f>
        <v>0.17123092531193837</v>
      </c>
      <c r="AD16" s="5">
        <f>'Step B - Weight by Scl Impact'!AD17*'Step C weights'!F$40</f>
        <v>0.36551212566402691</v>
      </c>
      <c r="AE16" s="5">
        <f>'Step B - Weight by Scl Impact'!AE17*'Step C weights'!G$40</f>
        <v>0.38978931645524678</v>
      </c>
      <c r="AG16" s="21" t="str">
        <f t="shared" si="3"/>
        <v xml:space="preserve">HLO 3.3.1: Enabling environment diagnostics </v>
      </c>
      <c r="AH16" s="5">
        <f>'Step B - Weight by Scl Impact'!AH17*'Step C weights'!B$40</f>
        <v>0.22253768662536108</v>
      </c>
      <c r="AI16" s="5">
        <f>'Step B - Weight by Scl Impact'!AI17*'Step C weights'!C$40</f>
        <v>5.3128572226533201E-2</v>
      </c>
      <c r="AJ16" s="5">
        <f>'Step B - Weight by Scl Impact'!AJ17*'Step C weights'!D$40</f>
        <v>6.3219021649503979E-2</v>
      </c>
      <c r="AK16" s="5">
        <f>'Step B - Weight by Scl Impact'!AK17*'Step C weights'!E$40</f>
        <v>0.17123092531193837</v>
      </c>
      <c r="AL16" s="5">
        <f>'Step B - Weight by Scl Impact'!AL17*'Step C weights'!F$40</f>
        <v>0.36551212566402691</v>
      </c>
      <c r="AM16" s="5">
        <f>'Step B - Weight by Scl Impact'!AM17*'Step C weights'!G$40</f>
        <v>0.25985954430349789</v>
      </c>
    </row>
    <row r="17" spans="1:39">
      <c r="A17" s="21" t="str">
        <f>IF(NOT(ISBLANK(HLOs!D16)),HLOs!D16,"")</f>
        <v xml:space="preserve">HLO 3.3.2: Scaling support services for enabling 
environments and institutions </v>
      </c>
      <c r="B17" s="5">
        <f>'Step B - Weight by Scl Impact'!B18*'Step C weights'!B$40</f>
        <v>9.4585290863251154E-2</v>
      </c>
      <c r="C17" s="5">
        <f>'Step B - Weight by Scl Impact'!C18*'Step C weights'!C$40</f>
        <v>0.12235789656677233</v>
      </c>
      <c r="D17" s="5">
        <f>'Step B - Weight by Scl Impact'!D18*'Step C weights'!D$40</f>
        <v>0.23144311542586568</v>
      </c>
      <c r="E17" s="5">
        <f>'Step B - Weight by Scl Impact'!E18*'Step C weights'!E$40</f>
        <v>0.31616550823477063</v>
      </c>
      <c r="F17" s="5">
        <f>'Step B - Weight by Scl Impact'!F18*'Step C weights'!F$40</f>
        <v>0.6473197056412513</v>
      </c>
      <c r="G17" s="5">
        <f>'Step B - Weight by Scl Impact'!G18*'Step C weights'!G$40</f>
        <v>0.10249050558462312</v>
      </c>
      <c r="I17" s="21" t="str">
        <f t="shared" si="0"/>
        <v xml:space="preserve">HLO 3.3.2: Scaling support services for enabling 
environments and institutions </v>
      </c>
      <c r="J17" s="5">
        <f>'Step B - Weight by Scl Impact'!J18*'Step C weights'!B$40</f>
        <v>7.003860203626229E-2</v>
      </c>
      <c r="K17" s="5">
        <f>'Step B - Weight by Scl Impact'!K18*'Step C weights'!C$40</f>
        <v>4.4244222299748968E-2</v>
      </c>
      <c r="L17" s="5">
        <f>'Step B - Weight by Scl Impact'!L18*'Step C weights'!D$40</f>
        <v>0.37684478203274019</v>
      </c>
      <c r="M17" s="5">
        <f>'Step B - Weight by Scl Impact'!M18*'Step C weights'!E$40</f>
        <v>0.50911539409531492</v>
      </c>
      <c r="N17" s="5">
        <f>'Step B - Weight by Scl Impact'!N18*'Step C weights'!F$40</f>
        <v>0.39980805202450748</v>
      </c>
      <c r="O17" s="5">
        <f>'Step B - Weight by Scl Impact'!O18*'Step C weights'!G$40</f>
        <v>1.3359586759306461E-2</v>
      </c>
      <c r="Q17" s="21" t="str">
        <f t="shared" si="1"/>
        <v xml:space="preserve">HLO 3.3.2: Scaling support services for enabling 
environments and institutions </v>
      </c>
      <c r="R17" s="5">
        <f>'Step B - Weight by Scl Impact'!R18*'Step C weights'!B$40</f>
        <v>0.21359119900102561</v>
      </c>
      <c r="S17" s="5">
        <f>'Step B - Weight by Scl Impact'!S18*'Step C weights'!C$40</f>
        <v>0.20980506725060508</v>
      </c>
      <c r="T17" s="5">
        <f>'Step B - Weight by Scl Impact'!T18*'Step C weights'!D$40</f>
        <v>0.27161980288053988</v>
      </c>
      <c r="U17" s="5">
        <f>'Step B - Weight by Scl Impact'!U18*'Step C weights'!E$40</f>
        <v>0.26832411994574579</v>
      </c>
      <c r="V17" s="5">
        <f>'Step B - Weight by Scl Impact'!V18*'Step C weights'!F$40</f>
        <v>0.32151701242026481</v>
      </c>
      <c r="W17" s="5">
        <f>'Step B - Weight by Scl Impact'!W18*'Step C weights'!G$40</f>
        <v>0.147540327653296</v>
      </c>
      <c r="Y17" s="21" t="str">
        <f t="shared" si="2"/>
        <v xml:space="preserve">HLO 3.3.2: Scaling support services for enabling 
environments and institutions </v>
      </c>
      <c r="Z17" s="5">
        <f>'Step B - Weight by Scl Impact'!Z18*'Step C weights'!B$40</f>
        <v>0.33380652993804161</v>
      </c>
      <c r="AA17" s="5">
        <f>'Step B - Weight by Scl Impact'!AA18*'Step C weights'!C$40</f>
        <v>7.9692858339799805E-2</v>
      </c>
      <c r="AB17" s="5">
        <f>'Step B - Weight by Scl Impact'!AB18*'Step C weights'!D$40</f>
        <v>9.4828532474255975E-2</v>
      </c>
      <c r="AC17" s="5">
        <f>'Step B - Weight by Scl Impact'!AC18*'Step C weights'!E$40</f>
        <v>0.17123092531193837</v>
      </c>
      <c r="AD17" s="5">
        <f>'Step B - Weight by Scl Impact'!AD18*'Step C weights'!F$40</f>
        <v>0.48734950088536921</v>
      </c>
      <c r="AE17" s="5">
        <f>'Step B - Weight by Scl Impact'!AE18*'Step C weights'!G$40</f>
        <v>0.38978931645524678</v>
      </c>
      <c r="AG17" s="21" t="str">
        <f t="shared" si="3"/>
        <v xml:space="preserve">HLO 3.3.2: Scaling support services for enabling 
environments and institutions </v>
      </c>
      <c r="AH17" s="5">
        <f>'Step B - Weight by Scl Impact'!AH18*'Step C weights'!B$40</f>
        <v>0.33380652993804161</v>
      </c>
      <c r="AI17" s="5">
        <f>'Step B - Weight by Scl Impact'!AI18*'Step C weights'!C$40</f>
        <v>7.9692858339799805E-2</v>
      </c>
      <c r="AJ17" s="5">
        <f>'Step B - Weight by Scl Impact'!AJ18*'Step C weights'!D$40</f>
        <v>9.4828532474255975E-2</v>
      </c>
      <c r="AK17" s="5">
        <f>'Step B - Weight by Scl Impact'!AK18*'Step C weights'!E$40</f>
        <v>0.17123092531193837</v>
      </c>
      <c r="AL17" s="5">
        <f>'Step B - Weight by Scl Impact'!AL18*'Step C weights'!F$40</f>
        <v>0.48734950088536921</v>
      </c>
      <c r="AM17" s="5">
        <f>'Step B - Weight by Scl Impact'!AM18*'Step C weights'!G$40</f>
        <v>0.38978931645524678</v>
      </c>
    </row>
    <row r="18" spans="1:39">
      <c r="A18" s="21" t="str">
        <f>IF(NOT(ISBLANK(HLOs!D17)),HLOs!D17,"")</f>
        <v xml:space="preserve">HLO 3.3.3: Science-policy partnership interfaces for responsible scaling </v>
      </c>
      <c r="B18" s="5">
        <f>'Step B - Weight by Scl Impact'!B19*'Step C weights'!B$40</f>
        <v>3.1528430287750382E-2</v>
      </c>
      <c r="C18" s="5">
        <f>'Step B - Weight by Scl Impact'!C19*'Step C weights'!C$40</f>
        <v>4.0785965522257446E-2</v>
      </c>
      <c r="D18" s="5">
        <f>'Step B - Weight by Scl Impact'!D19*'Step C weights'!D$40</f>
        <v>0.15429541028391047</v>
      </c>
      <c r="E18" s="5">
        <f>'Step B - Weight by Scl Impact'!E19*'Step C weights'!E$40</f>
        <v>0.2107770054898471</v>
      </c>
      <c r="F18" s="5">
        <f>'Step B - Weight by Scl Impact'!F19*'Step C weights'!F$40</f>
        <v>0.32365985282062565</v>
      </c>
      <c r="G18" s="5">
        <f>'Step B - Weight by Scl Impact'!G19*'Step C weights'!G$40</f>
        <v>3.4163501861541039E-2</v>
      </c>
      <c r="I18" s="21" t="str">
        <f t="shared" si="0"/>
        <v xml:space="preserve">HLO 3.3.3: Science-policy partnership interfaces for responsible scaling </v>
      </c>
      <c r="J18" s="5">
        <f>'Step B - Weight by Scl Impact'!J19*'Step C weights'!B$40</f>
        <v>2.3346200678754096E-2</v>
      </c>
      <c r="K18" s="5">
        <f>'Step B - Weight by Scl Impact'!K19*'Step C weights'!C$40</f>
        <v>1.4748074099916323E-2</v>
      </c>
      <c r="L18" s="5">
        <f>'Step B - Weight by Scl Impact'!L19*'Step C weights'!D$40</f>
        <v>0.25122985468849346</v>
      </c>
      <c r="M18" s="5">
        <f>'Step B - Weight by Scl Impact'!M19*'Step C weights'!E$40</f>
        <v>0.33941026273020997</v>
      </c>
      <c r="N18" s="5">
        <f>'Step B - Weight by Scl Impact'!N19*'Step C weights'!F$40</f>
        <v>0.19990402601225374</v>
      </c>
      <c r="O18" s="5">
        <f>'Step B - Weight by Scl Impact'!O19*'Step C weights'!G$40</f>
        <v>4.453195586435487E-3</v>
      </c>
      <c r="Q18" s="21" t="str">
        <f t="shared" si="1"/>
        <v xml:space="preserve">HLO 3.3.3: Science-policy partnership interfaces for responsible scaling </v>
      </c>
      <c r="R18" s="5">
        <f>'Step B - Weight by Scl Impact'!R19*'Step C weights'!B$40</f>
        <v>7.1197066333675202E-2</v>
      </c>
      <c r="S18" s="5">
        <f>'Step B - Weight by Scl Impact'!S19*'Step C weights'!C$40</f>
        <v>6.9935022416868359E-2</v>
      </c>
      <c r="T18" s="5">
        <f>'Step B - Weight by Scl Impact'!T19*'Step C weights'!D$40</f>
        <v>0.18107986858702657</v>
      </c>
      <c r="U18" s="5">
        <f>'Step B - Weight by Scl Impact'!U19*'Step C weights'!E$40</f>
        <v>0.17888274663049719</v>
      </c>
      <c r="V18" s="5">
        <f>'Step B - Weight by Scl Impact'!V19*'Step C weights'!F$40</f>
        <v>0.16075850621013241</v>
      </c>
      <c r="W18" s="5">
        <f>'Step B - Weight by Scl Impact'!W19*'Step C weights'!G$40</f>
        <v>4.918010921776534E-2</v>
      </c>
      <c r="Y18" s="21" t="str">
        <f t="shared" si="2"/>
        <v xml:space="preserve">HLO 3.3.3: Science-policy partnership interfaces for responsible scaling </v>
      </c>
      <c r="Z18" s="5">
        <f>'Step B - Weight by Scl Impact'!Z19*'Step C weights'!B$40</f>
        <v>0.11126884331268054</v>
      </c>
      <c r="AA18" s="5">
        <f>'Step B - Weight by Scl Impact'!AA19*'Step C weights'!C$40</f>
        <v>2.65642861132666E-2</v>
      </c>
      <c r="AB18" s="5">
        <f>'Step B - Weight by Scl Impact'!AB19*'Step C weights'!D$40</f>
        <v>3.1609510824751989E-2</v>
      </c>
      <c r="AC18" s="5">
        <f>'Step B - Weight by Scl Impact'!AC19*'Step C weights'!E$40</f>
        <v>0.1141539502079589</v>
      </c>
      <c r="AD18" s="5">
        <f>'Step B - Weight by Scl Impact'!AD19*'Step C weights'!F$40</f>
        <v>0.24367475044268461</v>
      </c>
      <c r="AE18" s="5">
        <f>'Step B - Weight by Scl Impact'!AE19*'Step C weights'!G$40</f>
        <v>0.25985954430349789</v>
      </c>
      <c r="AG18" s="21" t="str">
        <f t="shared" si="3"/>
        <v xml:space="preserve">HLO 3.3.3: Science-policy partnership interfaces for responsible scaling </v>
      </c>
      <c r="AH18" s="5">
        <f>'Step B - Weight by Scl Impact'!AH19*'Step C weights'!B$40</f>
        <v>0.11126884331268054</v>
      </c>
      <c r="AI18" s="5">
        <f>'Step B - Weight by Scl Impact'!AI19*'Step C weights'!C$40</f>
        <v>5.3128572226533201E-2</v>
      </c>
      <c r="AJ18" s="5">
        <f>'Step B - Weight by Scl Impact'!AJ19*'Step C weights'!D$40</f>
        <v>3.1609510824751989E-2</v>
      </c>
      <c r="AK18" s="5">
        <f>'Step B - Weight by Scl Impact'!AK19*'Step C weights'!E$40</f>
        <v>0.1141539502079589</v>
      </c>
      <c r="AL18" s="5">
        <f>'Step B - Weight by Scl Impact'!AL19*'Step C weights'!F$40</f>
        <v>0.24367475044268461</v>
      </c>
      <c r="AM18" s="5">
        <f>'Step B - Weight by Scl Impact'!AM19*'Step C weights'!G$40</f>
        <v>0.25985954430349789</v>
      </c>
    </row>
    <row r="19" spans="1:39">
      <c r="A19" s="21" t="str">
        <f>IF(NOT(ISBLANK(HLOs!D18)),HLOs!D18,"")</f>
        <v>HLO 4.4.1: CGIAR Expertise and Solutions Embedded in Development Investments and Partnerships</v>
      </c>
      <c r="B19" s="5">
        <f>'Step B - Weight by Scl Impact'!B20*'Step C weights'!B$40</f>
        <v>0.12611372115100153</v>
      </c>
      <c r="C19" s="5">
        <f>'Step B - Weight by Scl Impact'!C20*'Step C weights'!C$40</f>
        <v>0.16314386208902978</v>
      </c>
      <c r="D19" s="5">
        <f>'Step B - Weight by Scl Impact'!D20*'Step C weights'!D$40</f>
        <v>0.30859082056782094</v>
      </c>
      <c r="E19" s="5">
        <f>'Step B - Weight by Scl Impact'!E20*'Step C weights'!E$40</f>
        <v>0.42155401097969419</v>
      </c>
      <c r="F19" s="5">
        <f>'Step B - Weight by Scl Impact'!F20*'Step C weights'!F$40</f>
        <v>0.80914963205156409</v>
      </c>
      <c r="G19" s="5">
        <f>'Step B - Weight by Scl Impact'!G20*'Step C weights'!G$40</f>
        <v>0.13665400744616416</v>
      </c>
      <c r="I19" s="21" t="str">
        <f t="shared" si="0"/>
        <v>HLO 4.4.1: CGIAR Expertise and Solutions Embedded in Development Investments and Partnerships</v>
      </c>
      <c r="J19" s="5">
        <f>'Step B - Weight by Scl Impact'!J20*'Step C weights'!B$40</f>
        <v>9.3384802715016382E-2</v>
      </c>
      <c r="K19" s="5">
        <f>'Step B - Weight by Scl Impact'!K20*'Step C weights'!C$40</f>
        <v>5.8992296399665294E-2</v>
      </c>
      <c r="L19" s="5">
        <f>'Step B - Weight by Scl Impact'!L20*'Step C weights'!D$40</f>
        <v>0.50245970937698692</v>
      </c>
      <c r="M19" s="5">
        <f>'Step B - Weight by Scl Impact'!M20*'Step C weights'!E$40</f>
        <v>0.67882052546041993</v>
      </c>
      <c r="N19" s="5">
        <f>'Step B - Weight by Scl Impact'!N20*'Step C weights'!F$40</f>
        <v>0.39980805202450748</v>
      </c>
      <c r="O19" s="5">
        <f>'Step B - Weight by Scl Impact'!O20*'Step C weights'!G$40</f>
        <v>1.7812782345741948E-2</v>
      </c>
      <c r="Q19" s="21" t="str">
        <f t="shared" si="1"/>
        <v>HLO 4.4.1: CGIAR Expertise and Solutions Embedded in Development Investments and Partnerships</v>
      </c>
      <c r="R19" s="5">
        <f>'Step B - Weight by Scl Impact'!R20*'Step C weights'!B$40</f>
        <v>0.28478826533470081</v>
      </c>
      <c r="S19" s="5">
        <f>'Step B - Weight by Scl Impact'!S20*'Step C weights'!C$40</f>
        <v>0.27974008966747343</v>
      </c>
      <c r="T19" s="5">
        <f>'Step B - Weight by Scl Impact'!T20*'Step C weights'!D$40</f>
        <v>0.36215973717405314</v>
      </c>
      <c r="U19" s="5">
        <f>'Step B - Weight by Scl Impact'!U20*'Step C weights'!E$40</f>
        <v>0.35776549326099438</v>
      </c>
      <c r="V19" s="5">
        <f>'Step B - Weight by Scl Impact'!V20*'Step C weights'!F$40</f>
        <v>0.40189626552533098</v>
      </c>
      <c r="W19" s="5">
        <f>'Step B - Weight by Scl Impact'!W20*'Step C weights'!G$40</f>
        <v>0.19672043687106136</v>
      </c>
      <c r="Y19" s="21" t="str">
        <f t="shared" si="2"/>
        <v>HLO 4.4.1: CGIAR Expertise and Solutions Embedded in Development Investments and Partnerships</v>
      </c>
      <c r="Z19" s="5">
        <f>'Step B - Weight by Scl Impact'!Z20*'Step C weights'!B$40</f>
        <v>0.44507537325072216</v>
      </c>
      <c r="AA19" s="5">
        <f>'Step B - Weight by Scl Impact'!AA20*'Step C weights'!C$40</f>
        <v>0.1062571444530664</v>
      </c>
      <c r="AB19" s="5">
        <f>'Step B - Weight by Scl Impact'!AB20*'Step C weights'!D$40</f>
        <v>0.12643804329900796</v>
      </c>
      <c r="AC19" s="5">
        <f>'Step B - Weight by Scl Impact'!AC20*'Step C weights'!E$40</f>
        <v>0.22830790041591781</v>
      </c>
      <c r="AD19" s="5">
        <f>'Step B - Weight by Scl Impact'!AD20*'Step C weights'!F$40</f>
        <v>0.48734950088536921</v>
      </c>
      <c r="AE19" s="5">
        <f>'Step B - Weight by Scl Impact'!AE20*'Step C weights'!G$40</f>
        <v>0.51971908860699578</v>
      </c>
      <c r="AG19" s="21" t="str">
        <f t="shared" si="3"/>
        <v>HLO 4.4.1: CGIAR Expertise and Solutions Embedded in Development Investments and Partnerships</v>
      </c>
      <c r="AH19" s="5">
        <f>'Step B - Weight by Scl Impact'!AH20*'Step C weights'!B$40</f>
        <v>0.44507537325072216</v>
      </c>
      <c r="AI19" s="5">
        <f>'Step B - Weight by Scl Impact'!AI20*'Step C weights'!C$40</f>
        <v>0.1062571444530664</v>
      </c>
      <c r="AJ19" s="5">
        <f>'Step B - Weight by Scl Impact'!AJ20*'Step C weights'!D$40</f>
        <v>0.12643804329900796</v>
      </c>
      <c r="AK19" s="5">
        <f>'Step B - Weight by Scl Impact'!AK20*'Step C weights'!E$40</f>
        <v>0.22830790041591781</v>
      </c>
      <c r="AL19" s="5">
        <f>'Step B - Weight by Scl Impact'!AL20*'Step C weights'!F$40</f>
        <v>0.60918687610671152</v>
      </c>
      <c r="AM19" s="5">
        <f>'Step B - Weight by Scl Impact'!AM20*'Step C weights'!G$40</f>
        <v>0.51971908860699578</v>
      </c>
    </row>
    <row r="20" spans="1:39">
      <c r="A20" s="21" t="str">
        <f>IF(NOT(ISBLANK(HLOs!D19)),HLOs!D19,"")</f>
        <v>HLO 4.4.2: Innovation portfolio management and scaling strategy support teams</v>
      </c>
      <c r="B20" s="5">
        <f>'Step B - Weight by Scl Impact'!B21*'Step C weights'!B$40</f>
        <v>3.1528430287750382E-2</v>
      </c>
      <c r="C20" s="5">
        <f>'Step B - Weight by Scl Impact'!C21*'Step C weights'!C$40</f>
        <v>4.0785965522257446E-2</v>
      </c>
      <c r="D20" s="5">
        <f>'Step B - Weight by Scl Impact'!D21*'Step C weights'!D$40</f>
        <v>0.15429541028391047</v>
      </c>
      <c r="E20" s="5">
        <f>'Step B - Weight by Scl Impact'!E21*'Step C weights'!E$40</f>
        <v>0.2107770054898471</v>
      </c>
      <c r="F20" s="5">
        <f>'Step B - Weight by Scl Impact'!F21*'Step C weights'!F$40</f>
        <v>0.32365985282062565</v>
      </c>
      <c r="G20" s="5">
        <f>'Step B - Weight by Scl Impact'!G21*'Step C weights'!G$40</f>
        <v>3.4163501861541039E-2</v>
      </c>
      <c r="I20" s="21" t="str">
        <f t="shared" si="0"/>
        <v>HLO 4.4.2: Innovation portfolio management and scaling strategy support teams</v>
      </c>
      <c r="J20" s="5">
        <f>'Step B - Weight by Scl Impact'!J21*'Step C weights'!B$40</f>
        <v>2.3346200678754096E-2</v>
      </c>
      <c r="K20" s="5">
        <f>'Step B - Weight by Scl Impact'!K21*'Step C weights'!C$40</f>
        <v>1.4748074099916323E-2</v>
      </c>
      <c r="L20" s="5">
        <f>'Step B - Weight by Scl Impact'!L21*'Step C weights'!D$40</f>
        <v>0.25122985468849346</v>
      </c>
      <c r="M20" s="5">
        <f>'Step B - Weight by Scl Impact'!M21*'Step C weights'!E$40</f>
        <v>0.33941026273020997</v>
      </c>
      <c r="N20" s="5">
        <f>'Step B - Weight by Scl Impact'!N21*'Step C weights'!F$40</f>
        <v>0.19990402601225374</v>
      </c>
      <c r="O20" s="5">
        <f>'Step B - Weight by Scl Impact'!O21*'Step C weights'!G$40</f>
        <v>4.453195586435487E-3</v>
      </c>
      <c r="Q20" s="21" t="str">
        <f t="shared" si="1"/>
        <v>HLO 4.4.2: Innovation portfolio management and scaling strategy support teams</v>
      </c>
      <c r="R20" s="5">
        <f>'Step B - Weight by Scl Impact'!R21*'Step C weights'!B$40</f>
        <v>7.1197066333675202E-2</v>
      </c>
      <c r="S20" s="5">
        <f>'Step B - Weight by Scl Impact'!S21*'Step C weights'!C$40</f>
        <v>6.9935022416868359E-2</v>
      </c>
      <c r="T20" s="5">
        <f>'Step B - Weight by Scl Impact'!T21*'Step C weights'!D$40</f>
        <v>0.18107986858702657</v>
      </c>
      <c r="U20" s="5">
        <f>'Step B - Weight by Scl Impact'!U21*'Step C weights'!E$40</f>
        <v>0.17888274663049719</v>
      </c>
      <c r="V20" s="5">
        <f>'Step B - Weight by Scl Impact'!V21*'Step C weights'!F$40</f>
        <v>0.16075850621013241</v>
      </c>
      <c r="W20" s="5">
        <f>'Step B - Weight by Scl Impact'!W21*'Step C weights'!G$40</f>
        <v>4.918010921776534E-2</v>
      </c>
      <c r="Y20" s="21" t="str">
        <f t="shared" si="2"/>
        <v>HLO 4.4.2: Innovation portfolio management and scaling strategy support teams</v>
      </c>
      <c r="Z20" s="5">
        <f>'Step B - Weight by Scl Impact'!Z21*'Step C weights'!B$40</f>
        <v>0.11126884331268054</v>
      </c>
      <c r="AA20" s="5">
        <f>'Step B - Weight by Scl Impact'!AA21*'Step C weights'!C$40</f>
        <v>2.65642861132666E-2</v>
      </c>
      <c r="AB20" s="5">
        <f>'Step B - Weight by Scl Impact'!AB21*'Step C weights'!D$40</f>
        <v>3.1609510824751989E-2</v>
      </c>
      <c r="AC20" s="5">
        <f>'Step B - Weight by Scl Impact'!AC21*'Step C weights'!E$40</f>
        <v>0.1141539502079589</v>
      </c>
      <c r="AD20" s="5">
        <f>'Step B - Weight by Scl Impact'!AD21*'Step C weights'!F$40</f>
        <v>0.24367475044268461</v>
      </c>
      <c r="AE20" s="5">
        <f>'Step B - Weight by Scl Impact'!AE21*'Step C weights'!G$40</f>
        <v>0.25985954430349789</v>
      </c>
      <c r="AG20" s="21" t="str">
        <f t="shared" si="3"/>
        <v>HLO 4.4.2: Innovation portfolio management and scaling strategy support teams</v>
      </c>
      <c r="AH20" s="5">
        <f>'Step B - Weight by Scl Impact'!AH21*'Step C weights'!B$40</f>
        <v>0.11126884331268054</v>
      </c>
      <c r="AI20" s="5">
        <f>'Step B - Weight by Scl Impact'!AI21*'Step C weights'!C$40</f>
        <v>5.3128572226533201E-2</v>
      </c>
      <c r="AJ20" s="5">
        <f>'Step B - Weight by Scl Impact'!AJ21*'Step C weights'!D$40</f>
        <v>3.1609510824751989E-2</v>
      </c>
      <c r="AK20" s="5">
        <f>'Step B - Weight by Scl Impact'!AK21*'Step C weights'!E$40</f>
        <v>0.1141539502079589</v>
      </c>
      <c r="AL20" s="5">
        <f>'Step B - Weight by Scl Impact'!AL21*'Step C weights'!F$40</f>
        <v>0.24367475044268461</v>
      </c>
      <c r="AM20" s="5">
        <f>'Step B - Weight by Scl Impact'!AM21*'Step C weights'!G$40</f>
        <v>0.25985954430349789</v>
      </c>
    </row>
    <row r="21" spans="1:39">
      <c r="A21" s="21" t="str">
        <f>IF(NOT(ISBLANK(HLOs!D20)),HLOs!D20,"")</f>
        <v xml:space="preserve">HLO 5.5.1: Enhancing scaling science for societal impact </v>
      </c>
      <c r="B21" s="5">
        <f>'Step B - Weight by Scl Impact'!B22*'Step C weights'!B$40</f>
        <v>6.3056860575500764E-2</v>
      </c>
      <c r="C21" s="5">
        <f>'Step B - Weight by Scl Impact'!C22*'Step C weights'!C$40</f>
        <v>8.1571931044514892E-2</v>
      </c>
      <c r="D21" s="5">
        <f>'Step B - Weight by Scl Impact'!D22*'Step C weights'!D$40</f>
        <v>0.15429541028391047</v>
      </c>
      <c r="E21" s="5">
        <f>'Step B - Weight by Scl Impact'!E22*'Step C weights'!E$40</f>
        <v>0.2107770054898471</v>
      </c>
      <c r="F21" s="5">
        <f>'Step B - Weight by Scl Impact'!F22*'Step C weights'!F$40</f>
        <v>0.4854897792309385</v>
      </c>
      <c r="G21" s="5">
        <f>'Step B - Weight by Scl Impact'!G22*'Step C weights'!G$40</f>
        <v>6.8327003723082078E-2</v>
      </c>
      <c r="I21" s="21" t="str">
        <f t="shared" si="0"/>
        <v xml:space="preserve">HLO 5.5.1: Enhancing scaling science for societal impact </v>
      </c>
      <c r="J21" s="5">
        <f>'Step B - Weight by Scl Impact'!J22*'Step C weights'!B$40</f>
        <v>4.6692401357508191E-2</v>
      </c>
      <c r="K21" s="5">
        <f>'Step B - Weight by Scl Impact'!K22*'Step C weights'!C$40</f>
        <v>2.9496148199832647E-2</v>
      </c>
      <c r="L21" s="5">
        <f>'Step B - Weight by Scl Impact'!L22*'Step C weights'!D$40</f>
        <v>0.25122985468849346</v>
      </c>
      <c r="M21" s="5">
        <f>'Step B - Weight by Scl Impact'!M22*'Step C weights'!E$40</f>
        <v>0.33941026273020997</v>
      </c>
      <c r="N21" s="5">
        <f>'Step B - Weight by Scl Impact'!N22*'Step C weights'!F$40</f>
        <v>0.29985603901838059</v>
      </c>
      <c r="O21" s="5">
        <f>'Step B - Weight by Scl Impact'!O22*'Step C weights'!G$40</f>
        <v>8.9063911728709741E-3</v>
      </c>
      <c r="Q21" s="21" t="str">
        <f t="shared" si="1"/>
        <v xml:space="preserve">HLO 5.5.1: Enhancing scaling science for societal impact </v>
      </c>
      <c r="R21" s="5">
        <f>'Step B - Weight by Scl Impact'!R22*'Step C weights'!B$40</f>
        <v>0.1423941326673504</v>
      </c>
      <c r="S21" s="5">
        <f>'Step B - Weight by Scl Impact'!S22*'Step C weights'!C$40</f>
        <v>0.13987004483373672</v>
      </c>
      <c r="T21" s="5">
        <f>'Step B - Weight by Scl Impact'!T22*'Step C weights'!D$40</f>
        <v>0.18107986858702657</v>
      </c>
      <c r="U21" s="5">
        <f>'Step B - Weight by Scl Impact'!U22*'Step C weights'!E$40</f>
        <v>0.17888274663049719</v>
      </c>
      <c r="V21" s="5">
        <f>'Step B - Weight by Scl Impact'!V22*'Step C weights'!F$40</f>
        <v>0.24113775931519857</v>
      </c>
      <c r="W21" s="5">
        <f>'Step B - Weight by Scl Impact'!W22*'Step C weights'!G$40</f>
        <v>9.836021843553068E-2</v>
      </c>
      <c r="Y21" s="21" t="str">
        <f t="shared" si="2"/>
        <v xml:space="preserve">HLO 5.5.1: Enhancing scaling science for societal impact </v>
      </c>
      <c r="Z21" s="5">
        <f>'Step B - Weight by Scl Impact'!Z22*'Step C weights'!B$40</f>
        <v>0.22253768662536108</v>
      </c>
      <c r="AA21" s="5">
        <f>'Step B - Weight by Scl Impact'!AA22*'Step C weights'!C$40</f>
        <v>5.3128572226533201E-2</v>
      </c>
      <c r="AB21" s="5">
        <f>'Step B - Weight by Scl Impact'!AB22*'Step C weights'!D$40</f>
        <v>6.3219021649503979E-2</v>
      </c>
      <c r="AC21" s="5">
        <f>'Step B - Weight by Scl Impact'!AC22*'Step C weights'!E$40</f>
        <v>0.1141539502079589</v>
      </c>
      <c r="AD21" s="5">
        <f>'Step B - Weight by Scl Impact'!AD22*'Step C weights'!F$40</f>
        <v>0.36551212566402691</v>
      </c>
      <c r="AE21" s="5">
        <f>'Step B - Weight by Scl Impact'!AE22*'Step C weights'!G$40</f>
        <v>0.25985954430349789</v>
      </c>
      <c r="AG21" s="21" t="str">
        <f t="shared" si="3"/>
        <v xml:space="preserve">HLO 5.5.1: Enhancing scaling science for societal impact </v>
      </c>
      <c r="AH21" s="5">
        <f>'Step B - Weight by Scl Impact'!AH22*'Step C weights'!B$40</f>
        <v>0.22253768662536108</v>
      </c>
      <c r="AI21" s="5">
        <f>'Step B - Weight by Scl Impact'!AI22*'Step C weights'!C$40</f>
        <v>5.3128572226533201E-2</v>
      </c>
      <c r="AJ21" s="5">
        <f>'Step B - Weight by Scl Impact'!AJ22*'Step C weights'!D$40</f>
        <v>6.3219021649503979E-2</v>
      </c>
      <c r="AK21" s="5">
        <f>'Step B - Weight by Scl Impact'!AK22*'Step C weights'!E$40</f>
        <v>0.1141539502079589</v>
      </c>
      <c r="AL21" s="5">
        <f>'Step B - Weight by Scl Impact'!AL22*'Step C weights'!F$40</f>
        <v>0.36551212566402691</v>
      </c>
      <c r="AM21" s="5">
        <f>'Step B - Weight by Scl Impact'!AM22*'Step C weights'!G$40</f>
        <v>0.25985954430349789</v>
      </c>
    </row>
    <row r="22" spans="1:39">
      <c r="A22" s="21" t="str">
        <f>IF(NOT(ISBLANK(HLOs!D21)),HLOs!D21,"")</f>
        <v>HLO 5.5.2: Insights for CGIAR scaling success through impact assessments</v>
      </c>
      <c r="B22" s="5">
        <f>'Step B - Weight by Scl Impact'!B23*'Step C weights'!B$40</f>
        <v>6.3056860575500764E-2</v>
      </c>
      <c r="C22" s="5">
        <f>'Step B - Weight by Scl Impact'!C23*'Step C weights'!C$40</f>
        <v>8.1571931044514892E-2</v>
      </c>
      <c r="D22" s="5">
        <f>'Step B - Weight by Scl Impact'!D23*'Step C weights'!D$40</f>
        <v>0.23144311542586568</v>
      </c>
      <c r="E22" s="5">
        <f>'Step B - Weight by Scl Impact'!E23*'Step C weights'!E$40</f>
        <v>0.31616550823477063</v>
      </c>
      <c r="F22" s="5">
        <f>'Step B - Weight by Scl Impact'!F23*'Step C weights'!F$40</f>
        <v>0.4854897792309385</v>
      </c>
      <c r="G22" s="5">
        <f>'Step B - Weight by Scl Impact'!G23*'Step C weights'!G$40</f>
        <v>6.8327003723082078E-2</v>
      </c>
      <c r="I22" s="21" t="str">
        <f t="shared" si="0"/>
        <v>HLO 5.5.2: Insights for CGIAR scaling success through impact assessments</v>
      </c>
      <c r="J22" s="5">
        <f>'Step B - Weight by Scl Impact'!J23*'Step C weights'!B$40</f>
        <v>4.6692401357508191E-2</v>
      </c>
      <c r="K22" s="5">
        <f>'Step B - Weight by Scl Impact'!K23*'Step C weights'!C$40</f>
        <v>2.9496148199832647E-2</v>
      </c>
      <c r="L22" s="5">
        <f>'Step B - Weight by Scl Impact'!L23*'Step C weights'!D$40</f>
        <v>0.25122985468849346</v>
      </c>
      <c r="M22" s="5">
        <f>'Step B - Weight by Scl Impact'!M23*'Step C weights'!E$40</f>
        <v>0.50911539409531492</v>
      </c>
      <c r="N22" s="5">
        <f>'Step B - Weight by Scl Impact'!N23*'Step C weights'!F$40</f>
        <v>0.29985603901838059</v>
      </c>
      <c r="O22" s="5">
        <f>'Step B - Weight by Scl Impact'!O23*'Step C weights'!G$40</f>
        <v>8.9063911728709741E-3</v>
      </c>
      <c r="Q22" s="21" t="str">
        <f t="shared" si="1"/>
        <v>HLO 5.5.2: Insights for CGIAR scaling success through impact assessments</v>
      </c>
      <c r="R22" s="5">
        <f>'Step B - Weight by Scl Impact'!R23*'Step C weights'!B$40</f>
        <v>0.1423941326673504</v>
      </c>
      <c r="S22" s="5">
        <f>'Step B - Weight by Scl Impact'!S23*'Step C weights'!C$40</f>
        <v>0.13987004483373672</v>
      </c>
      <c r="T22" s="5">
        <f>'Step B - Weight by Scl Impact'!T23*'Step C weights'!D$40</f>
        <v>0.27161980288053988</v>
      </c>
      <c r="U22" s="5">
        <f>'Step B - Weight by Scl Impact'!U23*'Step C weights'!E$40</f>
        <v>0.17888274663049719</v>
      </c>
      <c r="V22" s="5">
        <f>'Step B - Weight by Scl Impact'!V23*'Step C weights'!F$40</f>
        <v>0.24113775931519857</v>
      </c>
      <c r="W22" s="5">
        <f>'Step B - Weight by Scl Impact'!W23*'Step C weights'!G$40</f>
        <v>9.836021843553068E-2</v>
      </c>
      <c r="Y22" s="21" t="str">
        <f t="shared" si="2"/>
        <v>HLO 5.5.2: Insights for CGIAR scaling success through impact assessments</v>
      </c>
      <c r="Z22" s="5">
        <f>'Step B - Weight by Scl Impact'!Z23*'Step C weights'!B$40</f>
        <v>0.22253768662536108</v>
      </c>
      <c r="AA22" s="5">
        <f>'Step B - Weight by Scl Impact'!AA23*'Step C weights'!C$40</f>
        <v>5.3128572226533201E-2</v>
      </c>
      <c r="AB22" s="5">
        <f>'Step B - Weight by Scl Impact'!AB23*'Step C weights'!D$40</f>
        <v>6.3219021649503979E-2</v>
      </c>
      <c r="AC22" s="5">
        <f>'Step B - Weight by Scl Impact'!AC23*'Step C weights'!E$40</f>
        <v>0.17123092531193837</v>
      </c>
      <c r="AD22" s="5">
        <f>'Step B - Weight by Scl Impact'!AD23*'Step C weights'!F$40</f>
        <v>0.36551212566402691</v>
      </c>
      <c r="AE22" s="5">
        <f>'Step B - Weight by Scl Impact'!AE23*'Step C weights'!G$40</f>
        <v>0.38978931645524678</v>
      </c>
      <c r="AG22" s="21" t="str">
        <f t="shared" si="3"/>
        <v>HLO 5.5.2: Insights for CGIAR scaling success through impact assessments</v>
      </c>
      <c r="AH22" s="5">
        <f>'Step B - Weight by Scl Impact'!AH23*'Step C weights'!B$40</f>
        <v>0.22253768662536108</v>
      </c>
      <c r="AI22" s="5">
        <f>'Step B - Weight by Scl Impact'!AI23*'Step C weights'!C$40</f>
        <v>5.3128572226533201E-2</v>
      </c>
      <c r="AJ22" s="5">
        <f>'Step B - Weight by Scl Impact'!AJ23*'Step C weights'!D$40</f>
        <v>6.3219021649503979E-2</v>
      </c>
      <c r="AK22" s="5">
        <f>'Step B - Weight by Scl Impact'!AK23*'Step C weights'!E$40</f>
        <v>0.17123092531193837</v>
      </c>
      <c r="AL22" s="5">
        <f>'Step B - Weight by Scl Impact'!AL23*'Step C weights'!F$40</f>
        <v>0.36551212566402691</v>
      </c>
      <c r="AM22" s="5">
        <f>'Step B - Weight by Scl Impact'!AM23*'Step C weights'!G$40</f>
        <v>0.25985954430349789</v>
      </c>
    </row>
    <row r="23" spans="1:39">
      <c r="A23" s="21" t="str">
        <f>IF(NOT(ISBLANK(HLOs!D22)),HLOs!D22,"")</f>
        <v>HLO 5.5.3: Custom analytics for managing innovation portfolios and decision-making</v>
      </c>
      <c r="B23" s="5">
        <f>'Step B - Weight by Scl Impact'!B24*'Step C weights'!B$40</f>
        <v>3.1528430287750382E-2</v>
      </c>
      <c r="C23" s="5">
        <f>'Step B - Weight by Scl Impact'!C24*'Step C weights'!C$40</f>
        <v>4.0785965522257446E-2</v>
      </c>
      <c r="D23" s="5">
        <f>'Step B - Weight by Scl Impact'!D24*'Step C weights'!D$40</f>
        <v>0.15429541028391047</v>
      </c>
      <c r="E23" s="5">
        <f>'Step B - Weight by Scl Impact'!E24*'Step C weights'!E$40</f>
        <v>0.2107770054898471</v>
      </c>
      <c r="F23" s="5">
        <f>'Step B - Weight by Scl Impact'!F24*'Step C weights'!F$40</f>
        <v>0.32365985282062565</v>
      </c>
      <c r="G23" s="5">
        <f>'Step B - Weight by Scl Impact'!G24*'Step C weights'!G$40</f>
        <v>3.4163501861541039E-2</v>
      </c>
      <c r="I23" s="21" t="str">
        <f t="shared" si="0"/>
        <v>HLO 5.5.3: Custom analytics for managing innovation portfolios and decision-making</v>
      </c>
      <c r="J23" s="5">
        <f>'Step B - Weight by Scl Impact'!J24*'Step C weights'!B$40</f>
        <v>2.3346200678754096E-2</v>
      </c>
      <c r="K23" s="5">
        <f>'Step B - Weight by Scl Impact'!K24*'Step C weights'!C$40</f>
        <v>1.4748074099916323E-2</v>
      </c>
      <c r="L23" s="5">
        <f>'Step B - Weight by Scl Impact'!L24*'Step C weights'!D$40</f>
        <v>0.25122985468849346</v>
      </c>
      <c r="M23" s="5">
        <f>'Step B - Weight by Scl Impact'!M24*'Step C weights'!E$40</f>
        <v>0.33941026273020997</v>
      </c>
      <c r="N23" s="5">
        <f>'Step B - Weight by Scl Impact'!N24*'Step C weights'!F$40</f>
        <v>0.19990402601225374</v>
      </c>
      <c r="O23" s="5">
        <f>'Step B - Weight by Scl Impact'!O24*'Step C weights'!G$40</f>
        <v>4.453195586435487E-3</v>
      </c>
      <c r="Q23" s="21" t="str">
        <f t="shared" si="1"/>
        <v>HLO 5.5.3: Custom analytics for managing innovation portfolios and decision-making</v>
      </c>
      <c r="R23" s="5">
        <f>'Step B - Weight by Scl Impact'!R24*'Step C weights'!B$40</f>
        <v>7.1197066333675202E-2</v>
      </c>
      <c r="S23" s="5">
        <f>'Step B - Weight by Scl Impact'!S24*'Step C weights'!C$40</f>
        <v>6.9935022416868359E-2</v>
      </c>
      <c r="T23" s="5">
        <f>'Step B - Weight by Scl Impact'!T24*'Step C weights'!D$40</f>
        <v>0.18107986858702657</v>
      </c>
      <c r="U23" s="5">
        <f>'Step B - Weight by Scl Impact'!U24*'Step C weights'!E$40</f>
        <v>0.17888274663049719</v>
      </c>
      <c r="V23" s="5">
        <f>'Step B - Weight by Scl Impact'!V24*'Step C weights'!F$40</f>
        <v>0.16075850621013241</v>
      </c>
      <c r="W23" s="5">
        <f>'Step B - Weight by Scl Impact'!W24*'Step C weights'!G$40</f>
        <v>4.918010921776534E-2</v>
      </c>
      <c r="Y23" s="21" t="str">
        <f t="shared" si="2"/>
        <v>HLO 5.5.3: Custom analytics for managing innovation portfolios and decision-making</v>
      </c>
      <c r="Z23" s="5">
        <f>'Step B - Weight by Scl Impact'!Z24*'Step C weights'!B$40</f>
        <v>0.11126884331268054</v>
      </c>
      <c r="AA23" s="5">
        <f>'Step B - Weight by Scl Impact'!AA24*'Step C weights'!C$40</f>
        <v>2.65642861132666E-2</v>
      </c>
      <c r="AB23" s="5">
        <f>'Step B - Weight by Scl Impact'!AB24*'Step C weights'!D$40</f>
        <v>3.1609510824751989E-2</v>
      </c>
      <c r="AC23" s="5">
        <f>'Step B - Weight by Scl Impact'!AC24*'Step C weights'!E$40</f>
        <v>0.1141539502079589</v>
      </c>
      <c r="AD23" s="5">
        <f>'Step B - Weight by Scl Impact'!AD24*'Step C weights'!F$40</f>
        <v>0.24367475044268461</v>
      </c>
      <c r="AE23" s="5">
        <f>'Step B - Weight by Scl Impact'!AE24*'Step C weights'!G$40</f>
        <v>0.25985954430349789</v>
      </c>
      <c r="AG23" s="21" t="str">
        <f t="shared" si="3"/>
        <v>HLO 5.5.3: Custom analytics for managing innovation portfolios and decision-making</v>
      </c>
      <c r="AH23" s="5">
        <f>'Step B - Weight by Scl Impact'!AH24*'Step C weights'!B$40</f>
        <v>0.11126884331268054</v>
      </c>
      <c r="AI23" s="5">
        <f>'Step B - Weight by Scl Impact'!AI24*'Step C weights'!C$40</f>
        <v>5.3128572226533201E-2</v>
      </c>
      <c r="AJ23" s="5">
        <f>'Step B - Weight by Scl Impact'!AJ24*'Step C weights'!D$40</f>
        <v>3.1609510824751989E-2</v>
      </c>
      <c r="AK23" s="5">
        <f>'Step B - Weight by Scl Impact'!AK24*'Step C weights'!E$40</f>
        <v>0.1141539502079589</v>
      </c>
      <c r="AL23" s="5">
        <f>'Step B - Weight by Scl Impact'!AL24*'Step C weights'!F$40</f>
        <v>0.24367475044268461</v>
      </c>
      <c r="AM23" s="5">
        <f>'Step B - Weight by Scl Impact'!AM24*'Step C weights'!G$40</f>
        <v>0.25985954430349789</v>
      </c>
    </row>
    <row r="24" spans="1:39">
      <c r="A24" s="21" t="e">
        <f>IF(NOT(ISBLANK(HLOs!#REF!)),HLOs!#REF!,"")</f>
        <v>#REF!</v>
      </c>
      <c r="B24" s="5" t="e">
        <f>'Step B - Weight by Scl Impact'!#REF!*'Step C weights'!B$40</f>
        <v>#REF!</v>
      </c>
      <c r="C24" s="5" t="e">
        <f>'Step B - Weight by Scl Impact'!#REF!*'Step C weights'!C$40</f>
        <v>#REF!</v>
      </c>
      <c r="D24" s="5" t="e">
        <f>'Step B - Weight by Scl Impact'!#REF!*'Step C weights'!D$40</f>
        <v>#REF!</v>
      </c>
      <c r="E24" s="5" t="e">
        <f>'Step B - Weight by Scl Impact'!#REF!*'Step C weights'!E$40</f>
        <v>#REF!</v>
      </c>
      <c r="F24" s="5" t="e">
        <f>'Step B - Weight by Scl Impact'!#REF!*'Step C weights'!F$40</f>
        <v>#REF!</v>
      </c>
      <c r="G24" s="5" t="e">
        <f>'Step B - Weight by Scl Impact'!#REF!*'Step C weights'!G$40</f>
        <v>#REF!</v>
      </c>
      <c r="I24" s="21" t="e">
        <f t="shared" si="0"/>
        <v>#REF!</v>
      </c>
      <c r="J24" s="5" t="e">
        <f>'Step B - Weight by Scl Impact'!#REF!*'Step C weights'!B$40</f>
        <v>#REF!</v>
      </c>
      <c r="K24" s="5" t="e">
        <f>'Step B - Weight by Scl Impact'!#REF!*'Step C weights'!C$40</f>
        <v>#REF!</v>
      </c>
      <c r="L24" s="5" t="e">
        <f>'Step B - Weight by Scl Impact'!#REF!*'Step C weights'!D$40</f>
        <v>#REF!</v>
      </c>
      <c r="M24" s="5" t="e">
        <f>'Step B - Weight by Scl Impact'!#REF!*'Step C weights'!E$40</f>
        <v>#REF!</v>
      </c>
      <c r="N24" s="5" t="e">
        <f>'Step B - Weight by Scl Impact'!#REF!*'Step C weights'!F$40</f>
        <v>#REF!</v>
      </c>
      <c r="O24" s="5" t="e">
        <f>'Step B - Weight by Scl Impact'!#REF!*'Step C weights'!G$40</f>
        <v>#REF!</v>
      </c>
      <c r="Q24" s="21" t="e">
        <f t="shared" si="1"/>
        <v>#REF!</v>
      </c>
      <c r="R24" s="5" t="e">
        <f>'Step B - Weight by Scl Impact'!#REF!*'Step C weights'!B$40</f>
        <v>#REF!</v>
      </c>
      <c r="S24" s="5" t="e">
        <f>'Step B - Weight by Scl Impact'!#REF!*'Step C weights'!C$40</f>
        <v>#REF!</v>
      </c>
      <c r="T24" s="5" t="e">
        <f>'Step B - Weight by Scl Impact'!#REF!*'Step C weights'!D$40</f>
        <v>#REF!</v>
      </c>
      <c r="U24" s="5" t="e">
        <f>'Step B - Weight by Scl Impact'!#REF!*'Step C weights'!E$40</f>
        <v>#REF!</v>
      </c>
      <c r="V24" s="5" t="e">
        <f>'Step B - Weight by Scl Impact'!#REF!*'Step C weights'!F$40</f>
        <v>#REF!</v>
      </c>
      <c r="W24" s="5" t="e">
        <f>'Step B - Weight by Scl Impact'!#REF!*'Step C weights'!G$40</f>
        <v>#REF!</v>
      </c>
      <c r="Y24" s="21" t="e">
        <f t="shared" si="2"/>
        <v>#REF!</v>
      </c>
      <c r="Z24" s="5" t="e">
        <f>'Step B - Weight by Scl Impact'!#REF!*'Step C weights'!B$40</f>
        <v>#REF!</v>
      </c>
      <c r="AA24" s="5" t="e">
        <f>'Step B - Weight by Scl Impact'!#REF!*'Step C weights'!C$40</f>
        <v>#REF!</v>
      </c>
      <c r="AB24" s="5" t="e">
        <f>'Step B - Weight by Scl Impact'!#REF!*'Step C weights'!D$40</f>
        <v>#REF!</v>
      </c>
      <c r="AC24" s="5" t="e">
        <f>'Step B - Weight by Scl Impact'!#REF!*'Step C weights'!E$40</f>
        <v>#REF!</v>
      </c>
      <c r="AD24" s="5" t="e">
        <f>'Step B - Weight by Scl Impact'!#REF!*'Step C weights'!F$40</f>
        <v>#REF!</v>
      </c>
      <c r="AE24" s="5" t="e">
        <f>'Step B - Weight by Scl Impact'!#REF!*'Step C weights'!G$40</f>
        <v>#REF!</v>
      </c>
      <c r="AG24" s="21" t="e">
        <f t="shared" si="3"/>
        <v>#REF!</v>
      </c>
      <c r="AH24" s="5" t="e">
        <f>'Step B - Weight by Scl Impact'!#REF!*'Step C weights'!B$40</f>
        <v>#REF!</v>
      </c>
      <c r="AI24" s="5" t="e">
        <f>'Step B - Weight by Scl Impact'!#REF!*'Step C weights'!C$40</f>
        <v>#REF!</v>
      </c>
      <c r="AJ24" s="5" t="e">
        <f>'Step B - Weight by Scl Impact'!#REF!*'Step C weights'!D$40</f>
        <v>#REF!</v>
      </c>
      <c r="AK24" s="5" t="e">
        <f>'Step B - Weight by Scl Impact'!#REF!*'Step C weights'!E$40</f>
        <v>#REF!</v>
      </c>
      <c r="AL24" s="5" t="e">
        <f>'Step B - Weight by Scl Impact'!#REF!*'Step C weights'!F$40</f>
        <v>#REF!</v>
      </c>
      <c r="AM24" s="5" t="e">
        <f>'Step B - Weight by Scl Impact'!#REF!*'Step C weights'!G$40</f>
        <v>#REF!</v>
      </c>
    </row>
    <row r="25" spans="1:39">
      <c r="A25" s="21" t="e">
        <f>IF(NOT(ISBLANK(HLOs!#REF!)),HLOs!#REF!,"")</f>
        <v>#REF!</v>
      </c>
      <c r="B25" s="5" t="e">
        <f>'Step B - Weight by Scl Impact'!#REF!*'Step C weights'!B$40</f>
        <v>#REF!</v>
      </c>
      <c r="C25" s="5" t="e">
        <f>'Step B - Weight by Scl Impact'!#REF!*'Step C weights'!C$40</f>
        <v>#REF!</v>
      </c>
      <c r="D25" s="5" t="e">
        <f>'Step B - Weight by Scl Impact'!#REF!*'Step C weights'!D$40</f>
        <v>#REF!</v>
      </c>
      <c r="E25" s="5" t="e">
        <f>'Step B - Weight by Scl Impact'!#REF!*'Step C weights'!E$40</f>
        <v>#REF!</v>
      </c>
      <c r="F25" s="5" t="e">
        <f>'Step B - Weight by Scl Impact'!#REF!*'Step C weights'!F$40</f>
        <v>#REF!</v>
      </c>
      <c r="G25" s="5" t="e">
        <f>'Step B - Weight by Scl Impact'!#REF!*'Step C weights'!G$40</f>
        <v>#REF!</v>
      </c>
      <c r="I25" s="21" t="e">
        <f t="shared" si="0"/>
        <v>#REF!</v>
      </c>
      <c r="J25" s="5" t="e">
        <f>'Step B - Weight by Scl Impact'!#REF!*'Step C weights'!B$40</f>
        <v>#REF!</v>
      </c>
      <c r="K25" s="5" t="e">
        <f>'Step B - Weight by Scl Impact'!#REF!*'Step C weights'!C$40</f>
        <v>#REF!</v>
      </c>
      <c r="L25" s="5" t="e">
        <f>'Step B - Weight by Scl Impact'!#REF!*'Step C weights'!D$40</f>
        <v>#REF!</v>
      </c>
      <c r="M25" s="5" t="e">
        <f>'Step B - Weight by Scl Impact'!#REF!*'Step C weights'!E$40</f>
        <v>#REF!</v>
      </c>
      <c r="N25" s="5" t="e">
        <f>'Step B - Weight by Scl Impact'!#REF!*'Step C weights'!F$40</f>
        <v>#REF!</v>
      </c>
      <c r="O25" s="5" t="e">
        <f>'Step B - Weight by Scl Impact'!#REF!*'Step C weights'!G$40</f>
        <v>#REF!</v>
      </c>
      <c r="Q25" s="21" t="e">
        <f t="shared" si="1"/>
        <v>#REF!</v>
      </c>
      <c r="R25" s="5" t="e">
        <f>'Step B - Weight by Scl Impact'!#REF!*'Step C weights'!B$40</f>
        <v>#REF!</v>
      </c>
      <c r="S25" s="5" t="e">
        <f>'Step B - Weight by Scl Impact'!#REF!*'Step C weights'!C$40</f>
        <v>#REF!</v>
      </c>
      <c r="T25" s="5" t="e">
        <f>'Step B - Weight by Scl Impact'!#REF!*'Step C weights'!D$40</f>
        <v>#REF!</v>
      </c>
      <c r="U25" s="5" t="e">
        <f>'Step B - Weight by Scl Impact'!#REF!*'Step C weights'!E$40</f>
        <v>#REF!</v>
      </c>
      <c r="V25" s="5" t="e">
        <f>'Step B - Weight by Scl Impact'!#REF!*'Step C weights'!F$40</f>
        <v>#REF!</v>
      </c>
      <c r="W25" s="5" t="e">
        <f>'Step B - Weight by Scl Impact'!#REF!*'Step C weights'!G$40</f>
        <v>#REF!</v>
      </c>
      <c r="Y25" s="21" t="e">
        <f t="shared" si="2"/>
        <v>#REF!</v>
      </c>
      <c r="Z25" s="5" t="e">
        <f>'Step B - Weight by Scl Impact'!#REF!*'Step C weights'!B$40</f>
        <v>#REF!</v>
      </c>
      <c r="AA25" s="5" t="e">
        <f>'Step B - Weight by Scl Impact'!#REF!*'Step C weights'!C$40</f>
        <v>#REF!</v>
      </c>
      <c r="AB25" s="5" t="e">
        <f>'Step B - Weight by Scl Impact'!#REF!*'Step C weights'!D$40</f>
        <v>#REF!</v>
      </c>
      <c r="AC25" s="5" t="e">
        <f>'Step B - Weight by Scl Impact'!#REF!*'Step C weights'!E$40</f>
        <v>#REF!</v>
      </c>
      <c r="AD25" s="5" t="e">
        <f>'Step B - Weight by Scl Impact'!#REF!*'Step C weights'!F$40</f>
        <v>#REF!</v>
      </c>
      <c r="AE25" s="5" t="e">
        <f>'Step B - Weight by Scl Impact'!#REF!*'Step C weights'!G$40</f>
        <v>#REF!</v>
      </c>
      <c r="AG25" s="21" t="e">
        <f t="shared" si="3"/>
        <v>#REF!</v>
      </c>
      <c r="AH25" s="5" t="e">
        <f>'Step B - Weight by Scl Impact'!#REF!*'Step C weights'!B$40</f>
        <v>#REF!</v>
      </c>
      <c r="AI25" s="5" t="e">
        <f>'Step B - Weight by Scl Impact'!#REF!*'Step C weights'!C$40</f>
        <v>#REF!</v>
      </c>
      <c r="AJ25" s="5" t="e">
        <f>'Step B - Weight by Scl Impact'!#REF!*'Step C weights'!D$40</f>
        <v>#REF!</v>
      </c>
      <c r="AK25" s="5" t="e">
        <f>'Step B - Weight by Scl Impact'!#REF!*'Step C weights'!E$40</f>
        <v>#REF!</v>
      </c>
      <c r="AL25" s="5" t="e">
        <f>'Step B - Weight by Scl Impact'!#REF!*'Step C weights'!F$40</f>
        <v>#REF!</v>
      </c>
      <c r="AM25" s="5" t="e">
        <f>'Step B - Weight by Scl Impact'!#REF!*'Step C weights'!G$40</f>
        <v>#REF!</v>
      </c>
    </row>
    <row r="26" spans="1:39">
      <c r="A26" s="21" t="e">
        <f>IF(NOT(ISBLANK(HLOs!#REF!)),HLOs!#REF!,"")</f>
        <v>#REF!</v>
      </c>
      <c r="B26" s="5" t="e">
        <f>'Step B - Weight by Scl Impact'!#REF!*'Step C weights'!B$40</f>
        <v>#REF!</v>
      </c>
      <c r="C26" s="5" t="e">
        <f>'Step B - Weight by Scl Impact'!#REF!*'Step C weights'!C$40</f>
        <v>#REF!</v>
      </c>
      <c r="D26" s="5" t="e">
        <f>'Step B - Weight by Scl Impact'!#REF!*'Step C weights'!D$40</f>
        <v>#REF!</v>
      </c>
      <c r="E26" s="5" t="e">
        <f>'Step B - Weight by Scl Impact'!#REF!*'Step C weights'!E$40</f>
        <v>#REF!</v>
      </c>
      <c r="F26" s="5" t="e">
        <f>'Step B - Weight by Scl Impact'!#REF!*'Step C weights'!F$40</f>
        <v>#REF!</v>
      </c>
      <c r="G26" s="5" t="e">
        <f>'Step B - Weight by Scl Impact'!#REF!*'Step C weights'!G$40</f>
        <v>#REF!</v>
      </c>
      <c r="I26" s="21" t="e">
        <f t="shared" si="0"/>
        <v>#REF!</v>
      </c>
      <c r="J26" s="5" t="e">
        <f>'Step B - Weight by Scl Impact'!#REF!*'Step C weights'!B$40</f>
        <v>#REF!</v>
      </c>
      <c r="K26" s="5" t="e">
        <f>'Step B - Weight by Scl Impact'!#REF!*'Step C weights'!C$40</f>
        <v>#REF!</v>
      </c>
      <c r="L26" s="5" t="e">
        <f>'Step B - Weight by Scl Impact'!#REF!*'Step C weights'!D$40</f>
        <v>#REF!</v>
      </c>
      <c r="M26" s="5" t="e">
        <f>'Step B - Weight by Scl Impact'!#REF!*'Step C weights'!E$40</f>
        <v>#REF!</v>
      </c>
      <c r="N26" s="5" t="e">
        <f>'Step B - Weight by Scl Impact'!#REF!*'Step C weights'!F$40</f>
        <v>#REF!</v>
      </c>
      <c r="O26" s="5" t="e">
        <f>'Step B - Weight by Scl Impact'!#REF!*'Step C weights'!G$40</f>
        <v>#REF!</v>
      </c>
      <c r="Q26" s="21" t="e">
        <f t="shared" si="1"/>
        <v>#REF!</v>
      </c>
      <c r="R26" s="5" t="e">
        <f>'Step B - Weight by Scl Impact'!#REF!*'Step C weights'!B$40</f>
        <v>#REF!</v>
      </c>
      <c r="S26" s="5" t="e">
        <f>'Step B - Weight by Scl Impact'!#REF!*'Step C weights'!C$40</f>
        <v>#REF!</v>
      </c>
      <c r="T26" s="5" t="e">
        <f>'Step B - Weight by Scl Impact'!#REF!*'Step C weights'!D$40</f>
        <v>#REF!</v>
      </c>
      <c r="U26" s="5" t="e">
        <f>'Step B - Weight by Scl Impact'!#REF!*'Step C weights'!E$40</f>
        <v>#REF!</v>
      </c>
      <c r="V26" s="5" t="e">
        <f>'Step B - Weight by Scl Impact'!#REF!*'Step C weights'!F$40</f>
        <v>#REF!</v>
      </c>
      <c r="W26" s="5" t="e">
        <f>'Step B - Weight by Scl Impact'!#REF!*'Step C weights'!G$40</f>
        <v>#REF!</v>
      </c>
      <c r="Y26" s="21" t="e">
        <f t="shared" si="2"/>
        <v>#REF!</v>
      </c>
      <c r="Z26" s="5" t="e">
        <f>'Step B - Weight by Scl Impact'!#REF!*'Step C weights'!B$40</f>
        <v>#REF!</v>
      </c>
      <c r="AA26" s="5" t="e">
        <f>'Step B - Weight by Scl Impact'!#REF!*'Step C weights'!C$40</f>
        <v>#REF!</v>
      </c>
      <c r="AB26" s="5" t="e">
        <f>'Step B - Weight by Scl Impact'!#REF!*'Step C weights'!D$40</f>
        <v>#REF!</v>
      </c>
      <c r="AC26" s="5" t="e">
        <f>'Step B - Weight by Scl Impact'!#REF!*'Step C weights'!E$40</f>
        <v>#REF!</v>
      </c>
      <c r="AD26" s="5" t="e">
        <f>'Step B - Weight by Scl Impact'!#REF!*'Step C weights'!F$40</f>
        <v>#REF!</v>
      </c>
      <c r="AE26" s="5" t="e">
        <f>'Step B - Weight by Scl Impact'!#REF!*'Step C weights'!G$40</f>
        <v>#REF!</v>
      </c>
      <c r="AG26" s="21" t="e">
        <f t="shared" si="3"/>
        <v>#REF!</v>
      </c>
      <c r="AH26" s="5" t="e">
        <f>'Step B - Weight by Scl Impact'!#REF!*'Step C weights'!B$40</f>
        <v>#REF!</v>
      </c>
      <c r="AI26" s="5" t="e">
        <f>'Step B - Weight by Scl Impact'!#REF!*'Step C weights'!C$40</f>
        <v>#REF!</v>
      </c>
      <c r="AJ26" s="5" t="e">
        <f>'Step B - Weight by Scl Impact'!#REF!*'Step C weights'!D$40</f>
        <v>#REF!</v>
      </c>
      <c r="AK26" s="5" t="e">
        <f>'Step B - Weight by Scl Impact'!#REF!*'Step C weights'!E$40</f>
        <v>#REF!</v>
      </c>
      <c r="AL26" s="5" t="e">
        <f>'Step B - Weight by Scl Impact'!#REF!*'Step C weights'!F$40</f>
        <v>#REF!</v>
      </c>
      <c r="AM26" s="5" t="e">
        <f>'Step B - Weight by Scl Impact'!#REF!*'Step C weights'!G$40</f>
        <v>#REF!</v>
      </c>
    </row>
    <row r="27" spans="1:39">
      <c r="A27" s="21" t="e">
        <f>IF(NOT(ISBLANK(HLOs!#REF!)),HLOs!#REF!,"")</f>
        <v>#REF!</v>
      </c>
      <c r="B27" s="5" t="e">
        <f>'Step B - Weight by Scl Impact'!#REF!*'Step C weights'!B$40</f>
        <v>#REF!</v>
      </c>
      <c r="C27" s="5" t="e">
        <f>'Step B - Weight by Scl Impact'!#REF!*'Step C weights'!C$40</f>
        <v>#REF!</v>
      </c>
      <c r="D27" s="5" t="e">
        <f>'Step B - Weight by Scl Impact'!#REF!*'Step C weights'!D$40</f>
        <v>#REF!</v>
      </c>
      <c r="E27" s="5" t="e">
        <f>'Step B - Weight by Scl Impact'!#REF!*'Step C weights'!E$40</f>
        <v>#REF!</v>
      </c>
      <c r="F27" s="5" t="e">
        <f>'Step B - Weight by Scl Impact'!#REF!*'Step C weights'!F$40</f>
        <v>#REF!</v>
      </c>
      <c r="G27" s="5" t="e">
        <f>'Step B - Weight by Scl Impact'!#REF!*'Step C weights'!G$40</f>
        <v>#REF!</v>
      </c>
      <c r="I27" s="21" t="e">
        <f t="shared" si="0"/>
        <v>#REF!</v>
      </c>
      <c r="J27" s="5" t="e">
        <f>'Step B - Weight by Scl Impact'!#REF!*'Step C weights'!B$40</f>
        <v>#REF!</v>
      </c>
      <c r="K27" s="5" t="e">
        <f>'Step B - Weight by Scl Impact'!#REF!*'Step C weights'!C$40</f>
        <v>#REF!</v>
      </c>
      <c r="L27" s="5" t="e">
        <f>'Step B - Weight by Scl Impact'!#REF!*'Step C weights'!D$40</f>
        <v>#REF!</v>
      </c>
      <c r="M27" s="5" t="e">
        <f>'Step B - Weight by Scl Impact'!#REF!*'Step C weights'!E$40</f>
        <v>#REF!</v>
      </c>
      <c r="N27" s="5" t="e">
        <f>'Step B - Weight by Scl Impact'!#REF!*'Step C weights'!F$40</f>
        <v>#REF!</v>
      </c>
      <c r="O27" s="5" t="e">
        <f>'Step B - Weight by Scl Impact'!#REF!*'Step C weights'!G$40</f>
        <v>#REF!</v>
      </c>
      <c r="Q27" s="21" t="e">
        <f t="shared" si="1"/>
        <v>#REF!</v>
      </c>
      <c r="R27" s="5" t="e">
        <f>'Step B - Weight by Scl Impact'!#REF!*'Step C weights'!B$40</f>
        <v>#REF!</v>
      </c>
      <c r="S27" s="5" t="e">
        <f>'Step B - Weight by Scl Impact'!#REF!*'Step C weights'!C$40</f>
        <v>#REF!</v>
      </c>
      <c r="T27" s="5" t="e">
        <f>'Step B - Weight by Scl Impact'!#REF!*'Step C weights'!D$40</f>
        <v>#REF!</v>
      </c>
      <c r="U27" s="5" t="e">
        <f>'Step B - Weight by Scl Impact'!#REF!*'Step C weights'!E$40</f>
        <v>#REF!</v>
      </c>
      <c r="V27" s="5" t="e">
        <f>'Step B - Weight by Scl Impact'!#REF!*'Step C weights'!F$40</f>
        <v>#REF!</v>
      </c>
      <c r="W27" s="5" t="e">
        <f>'Step B - Weight by Scl Impact'!#REF!*'Step C weights'!G$40</f>
        <v>#REF!</v>
      </c>
      <c r="Y27" s="21" t="e">
        <f t="shared" si="2"/>
        <v>#REF!</v>
      </c>
      <c r="Z27" s="5" t="e">
        <f>'Step B - Weight by Scl Impact'!#REF!*'Step C weights'!B$40</f>
        <v>#REF!</v>
      </c>
      <c r="AA27" s="5" t="e">
        <f>'Step B - Weight by Scl Impact'!#REF!*'Step C weights'!C$40</f>
        <v>#REF!</v>
      </c>
      <c r="AB27" s="5" t="e">
        <f>'Step B - Weight by Scl Impact'!#REF!*'Step C weights'!D$40</f>
        <v>#REF!</v>
      </c>
      <c r="AC27" s="5" t="e">
        <f>'Step B - Weight by Scl Impact'!#REF!*'Step C weights'!E$40</f>
        <v>#REF!</v>
      </c>
      <c r="AD27" s="5" t="e">
        <f>'Step B - Weight by Scl Impact'!#REF!*'Step C weights'!F$40</f>
        <v>#REF!</v>
      </c>
      <c r="AE27" s="5" t="e">
        <f>'Step B - Weight by Scl Impact'!#REF!*'Step C weights'!G$40</f>
        <v>#REF!</v>
      </c>
      <c r="AG27" s="21" t="e">
        <f t="shared" si="3"/>
        <v>#REF!</v>
      </c>
      <c r="AH27" s="5" t="e">
        <f>'Step B - Weight by Scl Impact'!#REF!*'Step C weights'!B$40</f>
        <v>#REF!</v>
      </c>
      <c r="AI27" s="5" t="e">
        <f>'Step B - Weight by Scl Impact'!#REF!*'Step C weights'!C$40</f>
        <v>#REF!</v>
      </c>
      <c r="AJ27" s="5" t="e">
        <f>'Step B - Weight by Scl Impact'!#REF!*'Step C weights'!D$40</f>
        <v>#REF!</v>
      </c>
      <c r="AK27" s="5" t="e">
        <f>'Step B - Weight by Scl Impact'!#REF!*'Step C weights'!E$40</f>
        <v>#REF!</v>
      </c>
      <c r="AL27" s="5" t="e">
        <f>'Step B - Weight by Scl Impact'!#REF!*'Step C weights'!F$40</f>
        <v>#REF!</v>
      </c>
      <c r="AM27" s="5" t="e">
        <f>'Step B - Weight by Scl Impact'!#REF!*'Step C weights'!G$40</f>
        <v>#REF!</v>
      </c>
    </row>
    <row r="28" spans="1:39">
      <c r="A28" s="21" t="e">
        <f>IF(NOT(ISBLANK(HLOs!#REF!)),HLOs!#REF!,"")</f>
        <v>#REF!</v>
      </c>
      <c r="B28" s="5" t="e">
        <f>'Step B - Weight by Scl Impact'!#REF!*'Step C weights'!B$40</f>
        <v>#REF!</v>
      </c>
      <c r="C28" s="5" t="e">
        <f>'Step B - Weight by Scl Impact'!#REF!*'Step C weights'!C$40</f>
        <v>#REF!</v>
      </c>
      <c r="D28" s="5" t="e">
        <f>'Step B - Weight by Scl Impact'!#REF!*'Step C weights'!D$40</f>
        <v>#REF!</v>
      </c>
      <c r="E28" s="5" t="e">
        <f>'Step B - Weight by Scl Impact'!#REF!*'Step C weights'!E$40</f>
        <v>#REF!</v>
      </c>
      <c r="F28" s="5" t="e">
        <f>'Step B - Weight by Scl Impact'!#REF!*'Step C weights'!F$40</f>
        <v>#REF!</v>
      </c>
      <c r="G28" s="5" t="e">
        <f>'Step B - Weight by Scl Impact'!#REF!*'Step C weights'!G$40</f>
        <v>#REF!</v>
      </c>
      <c r="I28" s="21" t="e">
        <f t="shared" si="0"/>
        <v>#REF!</v>
      </c>
      <c r="J28" s="5" t="e">
        <f>'Step B - Weight by Scl Impact'!#REF!*'Step C weights'!B$40</f>
        <v>#REF!</v>
      </c>
      <c r="K28" s="5" t="e">
        <f>'Step B - Weight by Scl Impact'!#REF!*'Step C weights'!C$40</f>
        <v>#REF!</v>
      </c>
      <c r="L28" s="5" t="e">
        <f>'Step B - Weight by Scl Impact'!#REF!*'Step C weights'!D$40</f>
        <v>#REF!</v>
      </c>
      <c r="M28" s="5" t="e">
        <f>'Step B - Weight by Scl Impact'!#REF!*'Step C weights'!E$40</f>
        <v>#REF!</v>
      </c>
      <c r="N28" s="5" t="e">
        <f>'Step B - Weight by Scl Impact'!#REF!*'Step C weights'!F$40</f>
        <v>#REF!</v>
      </c>
      <c r="O28" s="5" t="e">
        <f>'Step B - Weight by Scl Impact'!#REF!*'Step C weights'!G$40</f>
        <v>#REF!</v>
      </c>
      <c r="Q28" s="21" t="e">
        <f t="shared" si="1"/>
        <v>#REF!</v>
      </c>
      <c r="R28" s="5" t="e">
        <f>'Step B - Weight by Scl Impact'!#REF!*'Step C weights'!B$40</f>
        <v>#REF!</v>
      </c>
      <c r="S28" s="5" t="e">
        <f>'Step B - Weight by Scl Impact'!#REF!*'Step C weights'!C$40</f>
        <v>#REF!</v>
      </c>
      <c r="T28" s="5" t="e">
        <f>'Step B - Weight by Scl Impact'!#REF!*'Step C weights'!D$40</f>
        <v>#REF!</v>
      </c>
      <c r="U28" s="5" t="e">
        <f>'Step B - Weight by Scl Impact'!#REF!*'Step C weights'!E$40</f>
        <v>#REF!</v>
      </c>
      <c r="V28" s="5" t="e">
        <f>'Step B - Weight by Scl Impact'!#REF!*'Step C weights'!F$40</f>
        <v>#REF!</v>
      </c>
      <c r="W28" s="5" t="e">
        <f>'Step B - Weight by Scl Impact'!#REF!*'Step C weights'!G$40</f>
        <v>#REF!</v>
      </c>
      <c r="Y28" s="21" t="e">
        <f t="shared" si="2"/>
        <v>#REF!</v>
      </c>
      <c r="Z28" s="5" t="e">
        <f>'Step B - Weight by Scl Impact'!#REF!*'Step C weights'!B$40</f>
        <v>#REF!</v>
      </c>
      <c r="AA28" s="5" t="e">
        <f>'Step B - Weight by Scl Impact'!#REF!*'Step C weights'!C$40</f>
        <v>#REF!</v>
      </c>
      <c r="AB28" s="5" t="e">
        <f>'Step B - Weight by Scl Impact'!#REF!*'Step C weights'!D$40</f>
        <v>#REF!</v>
      </c>
      <c r="AC28" s="5" t="e">
        <f>'Step B - Weight by Scl Impact'!#REF!*'Step C weights'!E$40</f>
        <v>#REF!</v>
      </c>
      <c r="AD28" s="5" t="e">
        <f>'Step B - Weight by Scl Impact'!#REF!*'Step C weights'!F$40</f>
        <v>#REF!</v>
      </c>
      <c r="AE28" s="5" t="e">
        <f>'Step B - Weight by Scl Impact'!#REF!*'Step C weights'!G$40</f>
        <v>#REF!</v>
      </c>
      <c r="AG28" s="21" t="e">
        <f t="shared" si="3"/>
        <v>#REF!</v>
      </c>
      <c r="AH28" s="5" t="e">
        <f>'Step B - Weight by Scl Impact'!#REF!*'Step C weights'!B$40</f>
        <v>#REF!</v>
      </c>
      <c r="AI28" s="5" t="e">
        <f>'Step B - Weight by Scl Impact'!#REF!*'Step C weights'!C$40</f>
        <v>#REF!</v>
      </c>
      <c r="AJ28" s="5" t="e">
        <f>'Step B - Weight by Scl Impact'!#REF!*'Step C weights'!D$40</f>
        <v>#REF!</v>
      </c>
      <c r="AK28" s="5" t="e">
        <f>'Step B - Weight by Scl Impact'!#REF!*'Step C weights'!E$40</f>
        <v>#REF!</v>
      </c>
      <c r="AL28" s="5" t="e">
        <f>'Step B - Weight by Scl Impact'!#REF!*'Step C weights'!F$40</f>
        <v>#REF!</v>
      </c>
      <c r="AM28" s="5" t="e">
        <f>'Step B - Weight by Scl Impact'!#REF!*'Step C weights'!G$40</f>
        <v>#REF!</v>
      </c>
    </row>
    <row r="29" spans="1:39">
      <c r="A29" s="21" t="e">
        <f>IF(NOT(ISBLANK(HLOs!#REF!)),HLOs!#REF!,"")</f>
        <v>#REF!</v>
      </c>
      <c r="B29" s="5" t="e">
        <f>'Step B - Weight by Scl Impact'!#REF!*'Step C weights'!B$40</f>
        <v>#REF!</v>
      </c>
      <c r="C29" s="5" t="e">
        <f>'Step B - Weight by Scl Impact'!#REF!*'Step C weights'!C$40</f>
        <v>#REF!</v>
      </c>
      <c r="D29" s="5" t="e">
        <f>'Step B - Weight by Scl Impact'!#REF!*'Step C weights'!D$40</f>
        <v>#REF!</v>
      </c>
      <c r="E29" s="5" t="e">
        <f>'Step B - Weight by Scl Impact'!#REF!*'Step C weights'!E$40</f>
        <v>#REF!</v>
      </c>
      <c r="F29" s="5" t="e">
        <f>'Step B - Weight by Scl Impact'!#REF!*'Step C weights'!F$40</f>
        <v>#REF!</v>
      </c>
      <c r="G29" s="5" t="e">
        <f>'Step B - Weight by Scl Impact'!#REF!*'Step C weights'!G$40</f>
        <v>#REF!</v>
      </c>
      <c r="I29" s="21" t="e">
        <f t="shared" si="0"/>
        <v>#REF!</v>
      </c>
      <c r="J29" s="5" t="e">
        <f>'Step B - Weight by Scl Impact'!#REF!*'Step C weights'!B$40</f>
        <v>#REF!</v>
      </c>
      <c r="K29" s="5" t="e">
        <f>'Step B - Weight by Scl Impact'!#REF!*'Step C weights'!C$40</f>
        <v>#REF!</v>
      </c>
      <c r="L29" s="5" t="e">
        <f>'Step B - Weight by Scl Impact'!#REF!*'Step C weights'!D$40</f>
        <v>#REF!</v>
      </c>
      <c r="M29" s="5" t="e">
        <f>'Step B - Weight by Scl Impact'!#REF!*'Step C weights'!E$40</f>
        <v>#REF!</v>
      </c>
      <c r="N29" s="5" t="e">
        <f>'Step B - Weight by Scl Impact'!#REF!*'Step C weights'!F$40</f>
        <v>#REF!</v>
      </c>
      <c r="O29" s="5" t="e">
        <f>'Step B - Weight by Scl Impact'!#REF!*'Step C weights'!G$40</f>
        <v>#REF!</v>
      </c>
      <c r="Q29" s="21" t="e">
        <f t="shared" si="1"/>
        <v>#REF!</v>
      </c>
      <c r="R29" s="5" t="e">
        <f>'Step B - Weight by Scl Impact'!#REF!*'Step C weights'!B$40</f>
        <v>#REF!</v>
      </c>
      <c r="S29" s="5" t="e">
        <f>'Step B - Weight by Scl Impact'!#REF!*'Step C weights'!C$40</f>
        <v>#REF!</v>
      </c>
      <c r="T29" s="5" t="e">
        <f>'Step B - Weight by Scl Impact'!#REF!*'Step C weights'!D$40</f>
        <v>#REF!</v>
      </c>
      <c r="U29" s="5" t="e">
        <f>'Step B - Weight by Scl Impact'!#REF!*'Step C weights'!E$40</f>
        <v>#REF!</v>
      </c>
      <c r="V29" s="5" t="e">
        <f>'Step B - Weight by Scl Impact'!#REF!*'Step C weights'!F$40</f>
        <v>#REF!</v>
      </c>
      <c r="W29" s="5" t="e">
        <f>'Step B - Weight by Scl Impact'!#REF!*'Step C weights'!G$40</f>
        <v>#REF!</v>
      </c>
      <c r="Y29" s="21" t="e">
        <f t="shared" si="2"/>
        <v>#REF!</v>
      </c>
      <c r="Z29" s="5" t="e">
        <f>'Step B - Weight by Scl Impact'!#REF!*'Step C weights'!B$40</f>
        <v>#REF!</v>
      </c>
      <c r="AA29" s="5" t="e">
        <f>'Step B - Weight by Scl Impact'!#REF!*'Step C weights'!C$40</f>
        <v>#REF!</v>
      </c>
      <c r="AB29" s="5" t="e">
        <f>'Step B - Weight by Scl Impact'!#REF!*'Step C weights'!D$40</f>
        <v>#REF!</v>
      </c>
      <c r="AC29" s="5" t="e">
        <f>'Step B - Weight by Scl Impact'!#REF!*'Step C weights'!E$40</f>
        <v>#REF!</v>
      </c>
      <c r="AD29" s="5" t="e">
        <f>'Step B - Weight by Scl Impact'!#REF!*'Step C weights'!F$40</f>
        <v>#REF!</v>
      </c>
      <c r="AE29" s="5" t="e">
        <f>'Step B - Weight by Scl Impact'!#REF!*'Step C weights'!G$40</f>
        <v>#REF!</v>
      </c>
      <c r="AG29" s="21" t="e">
        <f t="shared" si="3"/>
        <v>#REF!</v>
      </c>
      <c r="AH29" s="5" t="e">
        <f>'Step B - Weight by Scl Impact'!#REF!*'Step C weights'!B$40</f>
        <v>#REF!</v>
      </c>
      <c r="AI29" s="5" t="e">
        <f>'Step B - Weight by Scl Impact'!#REF!*'Step C weights'!C$40</f>
        <v>#REF!</v>
      </c>
      <c r="AJ29" s="5" t="e">
        <f>'Step B - Weight by Scl Impact'!#REF!*'Step C weights'!D$40</f>
        <v>#REF!</v>
      </c>
      <c r="AK29" s="5" t="e">
        <f>'Step B - Weight by Scl Impact'!#REF!*'Step C weights'!E$40</f>
        <v>#REF!</v>
      </c>
      <c r="AL29" s="5" t="e">
        <f>'Step B - Weight by Scl Impact'!#REF!*'Step C weights'!F$40</f>
        <v>#REF!</v>
      </c>
      <c r="AM29" s="5" t="e">
        <f>'Step B - Weight by Scl Impact'!#REF!*'Step C weights'!G$40</f>
        <v>#REF!</v>
      </c>
    </row>
    <row r="30" spans="1:39">
      <c r="A30" s="21" t="e">
        <f>IF(NOT(ISBLANK(HLOs!#REF!)),HLOs!#REF!,"")</f>
        <v>#REF!</v>
      </c>
      <c r="B30" s="5" t="e">
        <f>'Step B - Weight by Scl Impact'!#REF!*'Step C weights'!B$40</f>
        <v>#REF!</v>
      </c>
      <c r="C30" s="5" t="e">
        <f>'Step B - Weight by Scl Impact'!#REF!*'Step C weights'!C$40</f>
        <v>#REF!</v>
      </c>
      <c r="D30" s="5" t="e">
        <f>'Step B - Weight by Scl Impact'!#REF!*'Step C weights'!D$40</f>
        <v>#REF!</v>
      </c>
      <c r="E30" s="5" t="e">
        <f>'Step B - Weight by Scl Impact'!#REF!*'Step C weights'!E$40</f>
        <v>#REF!</v>
      </c>
      <c r="F30" s="5" t="e">
        <f>'Step B - Weight by Scl Impact'!#REF!*'Step C weights'!F$40</f>
        <v>#REF!</v>
      </c>
      <c r="G30" s="5" t="e">
        <f>'Step B - Weight by Scl Impact'!#REF!*'Step C weights'!G$40</f>
        <v>#REF!</v>
      </c>
      <c r="I30" s="21" t="e">
        <f t="shared" si="0"/>
        <v>#REF!</v>
      </c>
      <c r="J30" s="5" t="e">
        <f>'Step B - Weight by Scl Impact'!#REF!*'Step C weights'!B$40</f>
        <v>#REF!</v>
      </c>
      <c r="K30" s="5" t="e">
        <f>'Step B - Weight by Scl Impact'!#REF!*'Step C weights'!C$40</f>
        <v>#REF!</v>
      </c>
      <c r="L30" s="5" t="e">
        <f>'Step B - Weight by Scl Impact'!#REF!*'Step C weights'!D$40</f>
        <v>#REF!</v>
      </c>
      <c r="M30" s="5" t="e">
        <f>'Step B - Weight by Scl Impact'!#REF!*'Step C weights'!E$40</f>
        <v>#REF!</v>
      </c>
      <c r="N30" s="5" t="e">
        <f>'Step B - Weight by Scl Impact'!#REF!*'Step C weights'!F$40</f>
        <v>#REF!</v>
      </c>
      <c r="O30" s="5" t="e">
        <f>'Step B - Weight by Scl Impact'!#REF!*'Step C weights'!G$40</f>
        <v>#REF!</v>
      </c>
      <c r="Q30" s="21" t="e">
        <f t="shared" si="1"/>
        <v>#REF!</v>
      </c>
      <c r="R30" s="5" t="e">
        <f>'Step B - Weight by Scl Impact'!#REF!*'Step C weights'!B$40</f>
        <v>#REF!</v>
      </c>
      <c r="S30" s="5" t="e">
        <f>'Step B - Weight by Scl Impact'!#REF!*'Step C weights'!C$40</f>
        <v>#REF!</v>
      </c>
      <c r="T30" s="5" t="e">
        <f>'Step B - Weight by Scl Impact'!#REF!*'Step C weights'!D$40</f>
        <v>#REF!</v>
      </c>
      <c r="U30" s="5" t="e">
        <f>'Step B - Weight by Scl Impact'!#REF!*'Step C weights'!E$40</f>
        <v>#REF!</v>
      </c>
      <c r="V30" s="5" t="e">
        <f>'Step B - Weight by Scl Impact'!#REF!*'Step C weights'!F$40</f>
        <v>#REF!</v>
      </c>
      <c r="W30" s="5" t="e">
        <f>'Step B - Weight by Scl Impact'!#REF!*'Step C weights'!G$40</f>
        <v>#REF!</v>
      </c>
      <c r="Y30" s="21" t="e">
        <f t="shared" si="2"/>
        <v>#REF!</v>
      </c>
      <c r="Z30" s="5" t="e">
        <f>'Step B - Weight by Scl Impact'!#REF!*'Step C weights'!B$40</f>
        <v>#REF!</v>
      </c>
      <c r="AA30" s="5" t="e">
        <f>'Step B - Weight by Scl Impact'!#REF!*'Step C weights'!C$40</f>
        <v>#REF!</v>
      </c>
      <c r="AB30" s="5" t="e">
        <f>'Step B - Weight by Scl Impact'!#REF!*'Step C weights'!D$40</f>
        <v>#REF!</v>
      </c>
      <c r="AC30" s="5" t="e">
        <f>'Step B - Weight by Scl Impact'!#REF!*'Step C weights'!E$40</f>
        <v>#REF!</v>
      </c>
      <c r="AD30" s="5" t="e">
        <f>'Step B - Weight by Scl Impact'!#REF!*'Step C weights'!F$40</f>
        <v>#REF!</v>
      </c>
      <c r="AE30" s="5" t="e">
        <f>'Step B - Weight by Scl Impact'!#REF!*'Step C weights'!G$40</f>
        <v>#REF!</v>
      </c>
      <c r="AG30" s="21" t="e">
        <f t="shared" si="3"/>
        <v>#REF!</v>
      </c>
      <c r="AH30" s="5" t="e">
        <f>'Step B - Weight by Scl Impact'!#REF!*'Step C weights'!B$40</f>
        <v>#REF!</v>
      </c>
      <c r="AI30" s="5" t="e">
        <f>'Step B - Weight by Scl Impact'!#REF!*'Step C weights'!C$40</f>
        <v>#REF!</v>
      </c>
      <c r="AJ30" s="5" t="e">
        <f>'Step B - Weight by Scl Impact'!#REF!*'Step C weights'!D$40</f>
        <v>#REF!</v>
      </c>
      <c r="AK30" s="5" t="e">
        <f>'Step B - Weight by Scl Impact'!#REF!*'Step C weights'!E$40</f>
        <v>#REF!</v>
      </c>
      <c r="AL30" s="5" t="e">
        <f>'Step B - Weight by Scl Impact'!#REF!*'Step C weights'!F$40</f>
        <v>#REF!</v>
      </c>
      <c r="AM30" s="5" t="e">
        <f>'Step B - Weight by Scl Impact'!#REF!*'Step C weights'!G$40</f>
        <v>#REF!</v>
      </c>
    </row>
  </sheetData>
  <mergeCells count="1">
    <mergeCell ref="A1:P1"/>
  </mergeCells>
  <conditionalFormatting sqref="B9:G30">
    <cfRule type="colorScale" priority="13">
      <colorScale>
        <cfvo type="min"/>
        <cfvo type="percentile" val="50"/>
        <cfvo type="max"/>
        <color rgb="FFF8696B"/>
        <color rgb="FFFFEB84"/>
        <color rgb="FF63BE7B"/>
      </colorScale>
    </cfRule>
  </conditionalFormatting>
  <conditionalFormatting sqref="J9:O30">
    <cfRule type="colorScale" priority="4">
      <colorScale>
        <cfvo type="min"/>
        <cfvo type="percentile" val="50"/>
        <cfvo type="max"/>
        <color rgb="FFF8696B"/>
        <color rgb="FFFFEB84"/>
        <color rgb="FF63BE7B"/>
      </colorScale>
    </cfRule>
  </conditionalFormatting>
  <conditionalFormatting sqref="R9:W30">
    <cfRule type="colorScale" priority="3">
      <colorScale>
        <cfvo type="min"/>
        <cfvo type="percentile" val="50"/>
        <cfvo type="max"/>
        <color rgb="FFF8696B"/>
        <color rgb="FFFFEB84"/>
        <color rgb="FF63BE7B"/>
      </colorScale>
    </cfRule>
  </conditionalFormatting>
  <conditionalFormatting sqref="Z9:AE30">
    <cfRule type="colorScale" priority="2">
      <colorScale>
        <cfvo type="min"/>
        <cfvo type="percentile" val="50"/>
        <cfvo type="max"/>
        <color rgb="FFF8696B"/>
        <color rgb="FFFFEB84"/>
        <color rgb="FF63BE7B"/>
      </colorScale>
    </cfRule>
  </conditionalFormatting>
  <conditionalFormatting sqref="AH9:AM3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E4BC-1021-438B-9C21-CDB50A1AADCF}">
  <dimension ref="A1:F7"/>
  <sheetViews>
    <sheetView workbookViewId="0">
      <selection sqref="A1:F7"/>
    </sheetView>
  </sheetViews>
  <sheetFormatPr defaultColWidth="8.85546875" defaultRowHeight="14.45"/>
  <sheetData>
    <row r="1" spans="1:6">
      <c r="A1" s="56">
        <v>0.38522853545193342</v>
      </c>
      <c r="B1" s="56">
        <v>0.41856096236058471</v>
      </c>
      <c r="C1" s="56">
        <v>0.52689312432372137</v>
      </c>
      <c r="D1" s="56">
        <v>0.51707456124776285</v>
      </c>
      <c r="E1" s="56">
        <v>0.50168330779738879</v>
      </c>
      <c r="F1" s="56">
        <v>0.40802056865530029</v>
      </c>
    </row>
    <row r="2" spans="1:6">
      <c r="A2" s="57">
        <v>386</v>
      </c>
      <c r="B2" s="57">
        <v>444</v>
      </c>
      <c r="C2" s="57">
        <v>312</v>
      </c>
      <c r="D2" s="57">
        <v>531</v>
      </c>
      <c r="E2" s="57">
        <v>2090</v>
      </c>
      <c r="F2" s="57">
        <v>3326</v>
      </c>
    </row>
    <row r="3" spans="1:6">
      <c r="A3" s="56">
        <v>46.593083048059853</v>
      </c>
      <c r="B3" s="56">
        <v>71.631579697710791</v>
      </c>
      <c r="C3" s="56">
        <v>73.530172079418691</v>
      </c>
      <c r="D3" s="56">
        <v>45.434031956788807</v>
      </c>
      <c r="E3" s="56">
        <v>18.19433771905631</v>
      </c>
      <c r="F3" s="56">
        <v>40.1602798664902</v>
      </c>
    </row>
    <row r="4" spans="1:6">
      <c r="A4" s="57">
        <v>5008.9819498518746</v>
      </c>
      <c r="B4" s="57">
        <v>3795.1861644968758</v>
      </c>
      <c r="C4" s="57">
        <v>4064.7898054552711</v>
      </c>
      <c r="D4" s="57">
        <v>4368.5844320635761</v>
      </c>
      <c r="E4" s="57">
        <v>5065.8423045866748</v>
      </c>
      <c r="F4" s="57">
        <v>6113.5583206815936</v>
      </c>
    </row>
    <row r="5" spans="1:6">
      <c r="A5" s="56">
        <v>4480.255812728934</v>
      </c>
      <c r="B5" s="56">
        <v>2629.3874292651558</v>
      </c>
      <c r="C5" s="56">
        <v>5858.9939385452653</v>
      </c>
      <c r="D5" s="56">
        <v>7924.0506676475916</v>
      </c>
      <c r="E5" s="56">
        <v>10121.160310304251</v>
      </c>
      <c r="F5" s="56">
        <v>7076.2489311067156</v>
      </c>
    </row>
    <row r="6" spans="1:6">
      <c r="A6" s="56">
        <v>4.0133292474652951</v>
      </c>
      <c r="B6" s="56">
        <v>3.0328341851888059</v>
      </c>
      <c r="C6" s="56">
        <v>8.7366049545016651</v>
      </c>
      <c r="D6" s="56">
        <v>6.4758874434600093</v>
      </c>
      <c r="E6" s="56">
        <v>0.80036497390239159</v>
      </c>
      <c r="F6" s="56">
        <v>1.9236631701251781</v>
      </c>
    </row>
    <row r="7" spans="1:6">
      <c r="A7" s="57">
        <v>362.31193220154381</v>
      </c>
      <c r="B7" s="57">
        <v>80.081948014880325</v>
      </c>
      <c r="C7" s="57">
        <v>116.1879781080616</v>
      </c>
      <c r="D7" s="57">
        <v>156.28684364830369</v>
      </c>
      <c r="E7" s="57">
        <v>264.30093382455908</v>
      </c>
      <c r="F7" s="57">
        <v>324.04394898739412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C1B830-FAB0-4CD9-BD11-3AA46A7E338B}"/>
</file>

<file path=customXml/itemProps2.xml><?xml version="1.0" encoding="utf-8"?>
<ds:datastoreItem xmlns:ds="http://schemas.openxmlformats.org/officeDocument/2006/customXml" ds:itemID="{7A923BCD-4158-4438-84E4-BC1FD2541C0B}"/>
</file>

<file path=customXml/itemProps3.xml><?xml version="1.0" encoding="utf-8"?>
<ds:datastoreItem xmlns:ds="http://schemas.openxmlformats.org/officeDocument/2006/customXml" ds:itemID="{894DB8E4-B0AC-475A-9BAE-C6C19014D0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CHAMBERLIN, Jordan (CIMMYT-Kenya)</dc:creator>
  <cp:keywords/>
  <dc:description/>
  <cp:lastModifiedBy/>
  <cp:revision/>
  <dcterms:created xsi:type="dcterms:W3CDTF">2025-02-27T13:45:38Z</dcterms:created>
  <dcterms:modified xsi:type="dcterms:W3CDTF">2025-09-19T05:52:44Z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