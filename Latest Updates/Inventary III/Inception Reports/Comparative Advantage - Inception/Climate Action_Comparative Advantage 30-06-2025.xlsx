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cgiar.sharepoint.com/sites/PCUInterim/Shared Documents/06. P25 Inception/000. Inception Report - Final Attachments (26 June)/SP06 - Climate Action/"/>
    </mc:Choice>
  </mc:AlternateContent>
  <xr:revisionPtr revIDLastSave="0" documentId="8_{AD485D74-2846-4E93-862B-0F21F87C79F5}" xr6:coauthVersionLast="47" xr6:coauthVersionMax="47" xr10:uidLastSave="{00000000-0000-0000-0000-000000000000}"/>
  <bookViews>
    <workbookView xWindow="-110" yWindow="-110" windowWidth="19420" windowHeight="11500" firstSheet="3" activeTab="3" xr2:uid="{E9CEDB59-2B71-4C63-B390-95C1483B2A7D}"/>
  </bookViews>
  <sheets>
    <sheet name="INSTRUCTIONS" sheetId="2" r:id="rId1"/>
    <sheet name="Key CGIAR partners" sheetId="3" r:id="rId2"/>
    <sheet name="CGIAR Regions" sheetId="4" r:id="rId3"/>
    <sheet name="CA Template"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0" i="1" l="1"/>
  <c r="I123" i="1"/>
  <c r="I3" i="1"/>
  <c r="I242" i="1"/>
  <c r="I241" i="1"/>
  <c r="I240" i="1"/>
  <c r="I239" i="1"/>
  <c r="I238" i="1"/>
  <c r="I237" i="1"/>
  <c r="I236" i="1"/>
  <c r="I235" i="1"/>
  <c r="I234" i="1"/>
  <c r="I233" i="1"/>
  <c r="I232" i="1"/>
  <c r="I231" i="1"/>
  <c r="I230" i="1"/>
  <c r="I229" i="1"/>
  <c r="I228" i="1"/>
  <c r="I226" i="1"/>
  <c r="I225" i="1"/>
  <c r="I224" i="1"/>
  <c r="I223" i="1"/>
  <c r="I222" i="1"/>
  <c r="I221" i="1"/>
  <c r="I220" i="1"/>
  <c r="I219" i="1"/>
  <c r="I218" i="1"/>
  <c r="I217" i="1"/>
  <c r="I216" i="1"/>
  <c r="I215" i="1"/>
  <c r="I214" i="1"/>
  <c r="I213" i="1"/>
  <c r="I212" i="1"/>
  <c r="I211" i="1"/>
  <c r="I209" i="1"/>
  <c r="I208" i="1"/>
  <c r="I207" i="1"/>
  <c r="I206" i="1"/>
  <c r="I205" i="1"/>
  <c r="I204" i="1"/>
  <c r="I203" i="1"/>
  <c r="I202" i="1"/>
  <c r="I200" i="1"/>
  <c r="I199" i="1"/>
  <c r="I198" i="1"/>
  <c r="I197" i="1"/>
  <c r="I196"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alcChain>
</file>

<file path=xl/sharedStrings.xml><?xml version="1.0" encoding="utf-8"?>
<sst xmlns="http://schemas.openxmlformats.org/spreadsheetml/2006/main" count="1380" uniqueCount="603">
  <si>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</si>
  <si>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CGIAR have the comparative advantage for doing this work, or do others? </t>
  </si>
  <si>
    <r>
      <rPr>
        <sz val="11"/>
        <color rgb="FF000000"/>
        <rFont val="Aptos Narrow"/>
        <family val="2"/>
        <scheme val="minor"/>
      </rP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rgb="FF000000"/>
        <rFont val="Aptos Narrow"/>
        <family val="2"/>
        <scheme val="minor"/>
      </rPr>
      <t>Well positioned</t>
    </r>
    <r>
      <rPr>
        <sz val="11"/>
        <color rgb="FF000000"/>
        <rFont val="Aptos Narrow"/>
        <family val="2"/>
        <scheme val="minor"/>
      </rPr>
      <t>)
2. Other parties are present and will likely undertake the HLO but are probably less efficient and impactful than CGAIR (</t>
    </r>
    <r>
      <rPr>
        <i/>
        <sz val="11"/>
        <color rgb="FF000000"/>
        <rFont val="Aptos Narrow"/>
        <family val="2"/>
        <scheme val="minor"/>
      </rPr>
      <t>Moderately positioned</t>
    </r>
    <r>
      <rPr>
        <sz val="11"/>
        <color rgb="FF000000"/>
        <rFont val="Aptos Narrow"/>
        <family val="2"/>
        <scheme val="minor"/>
      </rPr>
      <t>)
3. Other parties are present, are likely to be efficient and impactful, and will likely undertake the HLO (</t>
    </r>
    <r>
      <rPr>
        <i/>
        <sz val="11"/>
        <color rgb="FF000000"/>
        <rFont val="Aptos Narrow"/>
        <family val="2"/>
        <scheme val="minor"/>
      </rPr>
      <t>Weakly positioned</t>
    </r>
    <r>
      <rPr>
        <sz val="11"/>
        <color rgb="FF000000"/>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CGIAR) – the analysis is not being done correctly. You should use the tables you developed during the proposal development stage as the basis of your understanding, including any new information garnered from the Inception Phase. </t>
    </r>
  </si>
  <si>
    <r>
      <rPr>
        <sz val="11"/>
        <color rgb="FF000000"/>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rgb="FF000000"/>
        <rFont val="Aptos Narrow"/>
        <family val="2"/>
        <scheme val="minor"/>
      </rPr>
      <t xml:space="preserve">You should undertake the analysis for up to 10 parties per HLO. </t>
    </r>
    <r>
      <rPr>
        <sz val="11"/>
        <color rgb="FF000000"/>
        <rFont val="Aptos Narrow"/>
        <family val="2"/>
        <scheme val="minor"/>
      </rPr>
      <t xml:space="preserve">As a start, you can consider parties from the Results Dashboard or other sources of information. In the </t>
    </r>
    <r>
      <rPr>
        <i/>
        <sz val="11"/>
        <color rgb="FF000000"/>
        <rFont val="Aptos Narrow"/>
        <family val="2"/>
        <scheme val="minor"/>
      </rPr>
      <t xml:space="preserve">Key CGIAR Partners </t>
    </r>
    <r>
      <rPr>
        <sz val="11"/>
        <color rgb="FF000000"/>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rgb="FF000000"/>
        <rFont val="Aptos Narrow"/>
        <family val="2"/>
        <scheme val="minor"/>
      </rPr>
      <t xml:space="preserve">CGIAR-Regions </t>
    </r>
    <r>
      <rPr>
        <sz val="11"/>
        <color rgb="FF000000"/>
        <rFont val="Aptos Narrow"/>
        <family val="2"/>
        <scheme val="minor"/>
      </rPr>
      <t xml:space="preserve">tab in this file. </t>
    </r>
  </si>
  <si>
    <r>
      <rPr>
        <b/>
        <sz val="11"/>
        <color rgb="FF000000"/>
        <rFont val="Aptos Narrow"/>
        <family val="2"/>
        <scheme val="minor"/>
      </rPr>
      <t xml:space="preserve">How to use the results of this analysis:
</t>
    </r>
    <r>
      <rPr>
        <sz val="11"/>
        <color rgb="FF000000"/>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rgb="FF000000"/>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</si>
  <si>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</si>
  <si>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</si>
  <si>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</si>
  <si>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</si>
  <si>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</si>
  <si>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</si>
  <si>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</si>
  <si>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</si>
  <si>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</si>
  <si>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</si>
  <si>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</si>
  <si>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</si>
  <si>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</si>
  <si>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</si>
  <si>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</si>
  <si>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</si>
  <si>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</si>
  <si>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</si>
  <si>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</si>
  <si>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</si>
  <si>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</si>
  <si>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</si>
  <si>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</si>
  <si>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</si>
  <si>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</si>
  <si>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</si>
  <si>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</si>
  <si>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</si>
  <si>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</si>
  <si>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</si>
  <si>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</si>
  <si>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</si>
  <si>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</si>
  <si>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</si>
  <si>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</si>
  <si>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</si>
  <si>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</si>
  <si>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</si>
  <si>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</si>
  <si>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</si>
  <si>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</si>
  <si>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</si>
  <si>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</si>
  <si>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</si>
  <si>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</si>
  <si>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</si>
  <si>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</si>
  <si>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</si>
  <si>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</si>
  <si>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</si>
  <si>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</si>
  <si>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</si>
  <si>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</si>
  <si>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</si>
  <si>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</si>
  <si>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</si>
  <si>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</si>
  <si>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</si>
  <si>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</si>
  <si>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</si>
  <si>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</si>
  <si>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</si>
  <si>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</si>
  <si>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</si>
  <si>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</si>
  <si>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</si>
  <si>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</si>
  <si>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</si>
  <si>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</si>
  <si>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</si>
  <si>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</si>
  <si>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</si>
  <si>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</si>
  <si>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</si>
  <si>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</si>
  <si>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</si>
  <si>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</si>
  <si>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</si>
  <si>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</si>
  <si>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</si>
  <si>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</si>
  <si>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</si>
  <si>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</si>
  <si>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</si>
  <si>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</si>
  <si>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</si>
  <si>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</si>
  <si>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</si>
  <si>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</si>
  <si>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</si>
  <si>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</si>
  <si>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</si>
  <si>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</si>
  <si>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</si>
  <si>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</si>
  <si>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</si>
  <si>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</si>
  <si>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</si>
  <si>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</si>
  <si>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</si>
  <si>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</si>
  <si>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</si>
  <si>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</si>
  <si>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</si>
  <si>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</si>
  <si>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</si>
  <si>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</si>
  <si>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</si>
  <si>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</si>
  <si>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</si>
  <si>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</si>
  <si>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</si>
  <si>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</si>
  <si>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</si>
  <si>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</si>
  <si>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</si>
  <si>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</si>
  <si>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</si>
  <si>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</si>
  <si>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</si>
  <si>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</si>
  <si>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</si>
  <si>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</si>
  <si>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</si>
  <si>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</si>
  <si>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</si>
  <si>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</si>
  <si>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</si>
  <si>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</si>
  <si>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</si>
  <si>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</si>
  <si>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</si>
  <si>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</si>
  <si>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</si>
  <si>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</si>
  <si>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</si>
  <si>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</si>
  <si>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</si>
  <si>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</si>
  <si>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</si>
  <si>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</si>
  <si>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</si>
  <si>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</si>
  <si>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</si>
  <si>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</si>
  <si>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</si>
  <si>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</si>
  <si>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</si>
  <si>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</si>
  <si>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</si>
  <si>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</si>
  <si>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</si>
  <si>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</si>
  <si>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</si>
  <si>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</si>
  <si>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</si>
  <si>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</si>
  <si>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</si>
  <si>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</si>
  <si>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</si>
  <si>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</si>
  <si>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</si>
  <si>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</si>
  <si>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</si>
  <si>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</si>
  <si>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</si>
  <si>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</si>
  <si>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</si>
  <si>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</si>
  <si>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</si>
  <si>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</si>
  <si>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</si>
  <si>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</si>
  <si>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</si>
  <si>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</si>
  <si>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</si>
  <si>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</si>
  <si>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</si>
  <si>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</si>
  <si>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</si>
  <si>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</si>
  <si>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</si>
  <si>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</si>
  <si>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</si>
  <si>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</si>
  <si>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</si>
  <si>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</si>
  <si>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</si>
  <si>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</si>
  <si>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</si>
  <si>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</si>
  <si>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</si>
  <si>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</si>
  <si>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</si>
  <si>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</si>
  <si>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</si>
  <si>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</si>
  <si>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</si>
  <si>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</si>
  <si>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</si>
  <si>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</si>
  <si>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</si>
  <si>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</si>
  <si>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</si>
  <si>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</si>
  <si>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</si>
  <si>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</si>
  <si>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</si>
  <si>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</si>
  <si>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</si>
  <si>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</si>
  <si>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</si>
  <si>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</si>
  <si>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</si>
  <si>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</si>
  <si>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</si>
  <si>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</si>
  <si>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</si>
  <si>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</si>
  <si>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</si>
  <si>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</si>
  <si>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</si>
  <si>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</si>
  <si>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</si>
  <si>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</si>
  <si>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</si>
  <si>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</si>
  <si>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</si>
  <si>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</si>
  <si>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</si>
  <si>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</si>
  <si>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</si>
  <si>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</si>
  <si>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</si>
  <si>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</si>
  <si>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</si>
  <si>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</si>
  <si>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</si>
  <si>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</si>
  <si>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</si>
  <si>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</si>
  <si>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</si>
  <si>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</si>
  <si>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</si>
  <si>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</si>
  <si>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CLIMATE ACTION SCIENCE PROGRAM</t>
  </si>
  <si>
    <t>AUTOMATICALLY CALCULATED</t>
  </si>
  <si>
    <t>High-level output</t>
  </si>
  <si>
    <t>Needed sources of Comparative Advantage required to deliver the high-level output</t>
  </si>
  <si>
    <t>CGIAR’s sources of Comparative Advantage in delivering the high-level output</t>
  </si>
  <si>
    <t xml:space="preserve">Are there other parties that could undertake this work? Indicate Y or N. 
If N, provide a small justification and go straight to column I - and indicate 1. (automated)
If yes, go to the next column </t>
  </si>
  <si>
    <t>Name the specific party that could undertake this HLO.</t>
  </si>
  <si>
    <t>Geography of party - at what 'level' does this party sit? Global or regional or country (and if regional or country, which region or country?)</t>
  </si>
  <si>
    <t xml:space="preserve">Is this party likely to undertake the work associated with the HLO in the geography identified? Y/N. 
If N, in this cell provide a small justification as to why and then go straight to column I - and indicate 1 (automated). If Y, go to the next column.
</t>
  </si>
  <si>
    <t>The party is likely to undertake the work associated with the HLO. Estimate how efficient and impactful the party will be at delivering the work. Provide a justification. If the party is estimated to be highly efficient and impactful - go to column I, and indicate 0; If the party is estimated to be moderately efficient and impactful - go to column I, and indicate 0.5; If the party is estimated to be minimally efficient and impactful - go to column I, and indicate 1. (automated)</t>
  </si>
  <si>
    <t>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</si>
  <si>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</si>
  <si>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Please describe any changes you plan to implement to the Theory of Change based on this analysis</t>
  </si>
  <si>
    <t>1.1 Innovative partnerships and capacity sharing with key climate actors to drive scaled up climate action across CGIAR</t>
  </si>
  <si>
    <t xml:space="preserve">Human Capital (HC):  
1.	Transdisciplinary scientists bringing systems solutions  
2.	Social scientists to focus on adoption and scaling process, inclusiveness: economic drivers, gender  
3.	Data analysts: Biometrician, climate and systems modelers  
4.	Skills and knowledge  
Biophysical Capital (BC):  
1.	Access to global data and modeling outputs  
Social Capital (SC)  
1.	Relevant partnerships and networks to co-design and implement  
2.	Long-term scientific links to newest discoveries and adaptive research  
Incentives (I):  
1.	CGIAR: creation and publication of IPGs, stakeholder impact, delivery of mandate.  
2.	National universities, ARIs: Increased capacity , access to data, collaborations, links for student projects  
</t>
  </si>
  <si>
    <t xml:space="preserve">Considering all CGIAR centers collaborating in Climate Action:  
HC:  
1-3: cover all required disciplines  
4: Knowledge hubs for innovations, science, data, methods  
STRONG  
BC:  
1: Access to modern laboratories, experimental facilities in SE Asia, South Asia, Africa and Latin America.  
2-5: All CGIAR centers  
cover target regions and have varying country presence.  
MODERATELY STRONG  
SC:  
3: Long-term scientific links with partner universities through capacity development and joint projects and publications.  
MODERATELY STRONG  
I:  
●	Publication of IPGs 
●	Proof of impact for developed and scaled innovations 
</t>
  </si>
  <si>
    <t>N</t>
  </si>
  <si>
    <t>1.2 Strategies and tools to identify and assess root causes of climate vulnerability and climate justice pathways</t>
  </si>
  <si>
    <t>Y</t>
  </si>
  <si>
    <t>Food and Agriculture Organization</t>
  </si>
  <si>
    <t>Global</t>
  </si>
  <si>
    <t>Moderately efficient and impactful</t>
  </si>
  <si>
    <t>FAO is bound by their mandate and government priorities so is less able to advocate (for just transition and climate justice).</t>
  </si>
  <si>
    <t>For all of these identified parties, we will focus on strengthening partnerships to make better use of our relative comparative advantage vis-à-vis the various other parties we have identified Col E</t>
  </si>
  <si>
    <t>ARIs (multiple)</t>
  </si>
  <si>
    <t>Compared to ARIs, CGIAR have fewer connections to policy makers and on-the-ground food system actors; as a global agricultural research for development organization CGIAR's ability to influence climate action towards climate justice is much larger than individual ARIs who do not collaborate on this.</t>
  </si>
  <si>
    <t>They assess the literature, which then makes into public climate policies, but they do not advocate for change as they cannot be policy prescriptive.</t>
  </si>
  <si>
    <t>Development NGOs (e.g., CARE)</t>
  </si>
  <si>
    <t>Development NGOs have strong justice grounding and good connections to on-the-ground food system actors, yet lack scientific capacity.</t>
  </si>
  <si>
    <t xml:space="preserve">1.3 Harmonized data infrastructure on climate, risks, current and future hotspots and effects of overshooting above 1.5 degrees </t>
  </si>
  <si>
    <t xml:space="preserve">Considering all CGIAR centers collaborating in Climate Action:  
HC:  
1-3: cover all required disciplines  
4: Knowledge hubs for innovations, science, data, methods  
STRONG  
BC:  
1: Access to modern laboratories, experimental facilities in SE Asia, South Asia, Africa and Latin America.  
2-5: All CGIAR centers  
cover target regions and have varying country presence.  
MODERATELY STRONG  
SC:  
3: Long-term scientific links with partner universities through capacity development and joint projects and publications.  
MODERATELY STRONG  
I:  
1: Publication of IPGs 
2: Proof of impact for developed and scaled innovations 
</t>
  </si>
  <si>
    <t>ARIs (multiple), e.g., PIK, Univ of Colorado</t>
  </si>
  <si>
    <t xml:space="preserve">ARIs tend to focus on specific components of climate and food system data and are not able to deliver comprehensive and harmonized data on both impacts and emissions across food system components in multiple geographies. </t>
  </si>
  <si>
    <t>Several of these parties are key partners in providing input data on CGIAR modeling and data harmonization.</t>
  </si>
  <si>
    <t>Earth observation and climate modeling centers (e.g., NOAA, NASA, ECMWF, ESA, WMO)</t>
  </si>
  <si>
    <t>These institutions are mostly focused on primary climate data, not the impact and risk data our partners need. Agrifood system's complexities are poorly represented in large-scale climate modeling works and hence uncertainties are still quite large.</t>
  </si>
  <si>
    <t>Intergovernmental Panel on Climate Change incl CMIP</t>
  </si>
  <si>
    <t>These institutions are not delivering actionable climate information to food system actors and decision makers, but these models and data can be used as inputs for our work.</t>
  </si>
  <si>
    <t>CORDEX  consortia, RICCAR etc.</t>
  </si>
  <si>
    <t>Minimally efficient and impactful</t>
  </si>
  <si>
    <t>These institutions are mostly focused on primary climate data, not the impact and risk data our partners need (mostly focused on climate downscaling which is still coarser for CGIAR needs).</t>
  </si>
  <si>
    <t>Impact modeling initiatives / organizations, e.g., IIASA, AgMIP, FishMIP, WWA</t>
  </si>
  <si>
    <t>Most of this modeling and assessment work is delivered at high-level and is primarily focused on the biophysical side of climate impacts on food systems; CGIAR is able to combine with socio-economic data and on-the-ground needs and context.</t>
  </si>
  <si>
    <t>IBM, Climate Factory, Startups</t>
  </si>
  <si>
    <t xml:space="preserve">Private sector data and products are developed on a for-profit model and not accessible to food system actors and decision makers in the countries where we work. </t>
  </si>
  <si>
    <t xml:space="preserve">1.4 Synthesis products on knowledge gaps, effective climate interventions and metrics </t>
  </si>
  <si>
    <t>CABI / Juno Evidence Alliance</t>
  </si>
  <si>
    <t>IPCC / GAMI / ASCEND -- Initiative of University of Cape Town</t>
  </si>
  <si>
    <t>International Initiative on Impact Evaluation 3ie-- Systematic Reviews, Campbell Collaborations, Centre for Environmental Evidence</t>
  </si>
  <si>
    <t>World Bank, including IEG</t>
  </si>
  <si>
    <t xml:space="preserve">CGIAR has better comparative advantage because we are specifically interested in understanding what climate solutions do and do not work in the geographies where we work to inform CGIAR research and implementation. </t>
  </si>
  <si>
    <t xml:space="preserve">1.5 Communications strategies, advocacy materials, and curricula for negotiators to support strategic engagements with global climate bodies (e.g., UNFCCC) </t>
  </si>
  <si>
    <t>Food and Agriculture Organization and other UN bodies</t>
  </si>
  <si>
    <t>Highly efficient and impactful</t>
  </si>
  <si>
    <t>CGIAR should work with UN agencies to bring in the CGIAR science  and make joint submissions to UNFCCC. Over the last few years, we have developed robust partnerships with them on joint submissions. We can also support countries more directly in advocacy. All UNFCCC advocacy works best when done in partnership.</t>
  </si>
  <si>
    <t>Environmental international NGOs (e.g., WRI, WWF, IUCN)</t>
  </si>
  <si>
    <t>CGIAR should work in partnership with INGOs in this space to bring CGIAR science into their submissions to UNFCCC, as often these submissions lack the science basis which we bring.  They also lack agri-food systems contexts from Global South and they lack field experience. All UNFCCC advocacy works best when done in partnership.</t>
  </si>
  <si>
    <t>Negotiating Parties</t>
  </si>
  <si>
    <t>National</t>
  </si>
  <si>
    <t>Negotiating parties often demand our science and expertise in their UNFCCC related advocacy work and hence opportunities for impact via partnership.</t>
  </si>
  <si>
    <t>Regional organizations supporting negotiating parties</t>
  </si>
  <si>
    <t>Regional organizations often demand our science and expertise in their UNFCCC related advocacy work and hence opportunities for impact via partnership.</t>
  </si>
  <si>
    <t>2.1 Contextualized, equitable, sustainable, socially inclusive, and human-centered climate information products and services, decision support systems, and service bundles for climate risk management strengthened.</t>
  </si>
  <si>
    <t>HC: 
1. Expertise in climate modeling, data analytics, and digital tool design (e.g., AI-driven climate advisories).
2. Skills in human-centered design (HCD) and participatory research to co-create solutions with marginalized groups (women, youth, small-scale producers).
3. Gender-sensitive expertise to ensure equitable access to climate services .
BC: 
1. Access to real-time climate data infrastructure (satellite imagery, hydrological models, high-performance computing).
2. Digital platforms for delivering climate information (e.g., mobile apps, early warning systems).
3. Sites to test and validate climate-resilient technologies or implement participatory approaches.
SC: 
1. Partnerships with national meteorological services (NMS), local communities, and grassroots organizations to ensure local relevance.
2. Trust and credibility with small-scale producers and marginalized groups .
I: 1. High incentive to achieve impact –inform climate action, reach producers, and scale digital services.
2. Alignment with national policies (e.g., National Adaptation Plans, NDCs) and global initiatives (e.g., UNFCCC, Sendai Framework).
3. Donor funding for climate resilience and digital inclusion projects (e.g., GCF, BMGF) .</t>
  </si>
  <si>
    <t>HC: Transdisciplinary expertise in climate science, digital innovation, and gender-inclusive research; and capacity in human-centered design and co-creation with local communities, though reliant on partner organizations for deep local engagement. –&gt; Strong.
BC: Access to global climate data hubs (e.g., CGIAR’s Climate Datasets, Copernicus, ECMWF, NOAA) and digital tools (e.g., crop modeling software) . –&gt;  Strong
SC:  Established partnerships with NHMS (e.g., Kenya Meteorological Department), regional bodies (e.g., ACMAD), and NGOs (e.g., Mercy Corps). –&gt; Strong
I: High donor demand and strategic alignment with CGIAR mandate. –&gt; Strong</t>
  </si>
  <si>
    <t>World Meteorological Organization (WMO)</t>
  </si>
  <si>
    <t>WMO excels in technical data but lacks deep engagement with small-scale producers. CGIAR bridges this gap through localized co-creation and agricultural integration.</t>
  </si>
  <si>
    <t>n/a</t>
  </si>
  <si>
    <t>International Research Institute for Climate and Society (IRI)</t>
  </si>
  <si>
    <t>IRI’s research strengths complement CGIAR’s scaling capacity. CGIAR ensures tools are adapted for local use (e.g., mobile advisories for African farmers).</t>
  </si>
  <si>
    <t>Food and Agriculture Organization of the United Nations (FAO)</t>
  </si>
  <si>
    <t>FAO’s policy influence enhances CGIAR’s advocacy, but CGIAR’s technical expertise in digital platforms and participatory methods drives on-the-ground adoption.</t>
  </si>
  <si>
    <t>Centre Climatique Regional por l'Afrique de l'Ouest et le Sahel (AGRHYMET)</t>
  </si>
  <si>
    <t>AGRHYMET’s regional data is valuable, but CGIAR provides funding and HCD expertise to ensure services reach marginalized groups (e.g., women farmers).</t>
  </si>
  <si>
    <t>IGAD Climate Prediction and Applications Centre (ICPAC)</t>
  </si>
  <si>
    <t>ICPAC’s climate data is robust, but CGIAR’s gender-disaggregated research ensures equity in service delivery.</t>
  </si>
  <si>
    <t>African Center for Meteorological Applications for Development (ACMAD)</t>
  </si>
  <si>
    <t>Regional (Africa)</t>
  </si>
  <si>
    <t>ACMAD’s regional networks are valuable, but CGIAR’s global funding and technical support are critical for scaling digital tools in Africa.</t>
  </si>
  <si>
    <t>TomorrowNow.org / TomorrowNow.io</t>
  </si>
  <si>
    <t>TomorrowNow’s tech scalability is strong, but CGIAR ensures public good focus and inclusion of vulnerable groups.</t>
  </si>
  <si>
    <t>National Meteorological Services (e.g., KMD, EMI, INSIVUMEH, IDEAM, PAGASA)</t>
  </si>
  <si>
    <t>NMHS lack resources for advanced analytics. CGIAR provides modeling tools and training to enhance their service delivery.</t>
  </si>
  <si>
    <t>Mercy Corps</t>
  </si>
  <si>
    <t>Mercy Corps excels in grassroots outreach, but CGIAR’s technical expertise ensures climate tools are science-based and scalable.</t>
  </si>
  <si>
    <t>AIM For Scale (U. Chicago – UAE, Gates Foundation)</t>
  </si>
  <si>
    <t>Promotes AI tools for agriculture; implementation success depends on local partnerships. CGIAR’s partnerships and emphasis on social inclusion ensures marginalized groups are not excluded.</t>
  </si>
  <si>
    <t>2.2 Inclusive and equitable multi-hazard early warning and anticipatory action instruments co-designed with partners and communities, and comprehensive capacity development programs and context-adapted curricula rolled-out.</t>
  </si>
  <si>
    <t>HC: 
1. Expertise in multi-hazard early warning system (EWS) design, disaster risk management (DRM), and gender-sensitive capacity training.
2. Skills in participatory co-design with communities, marginalized groups, and local institutions .
3. Knowledge of climate-induced risk cascades (e.g., drought → food insecurity → conflict) .
BC: 
1. Access to real-time data integration platforms (satellite, IoT sensors, AI-driven forecasting).
2. Infrastructure for training (e.g., digital learning platforms, simulation tools) .
SC: 
1. Trusted relationships with humanitarian organizations, community-based networks (CBOs), and national disaster agencies.
2. Partnerships with regional bodies (e.g., African Union) for cross-border risk coordination .
I: 
1. High demand for protecting vulnerable communities; Alignment with global DRM frameworks (e.g., Sendai Framework, UNDRR’s Early Warning for All initiative).
2. Funding from humanitarian donors (e.g., DFID, USAID) and climate finance mechanisms (e.g., GCF).</t>
  </si>
  <si>
    <t xml:space="preserve">HC: Transdisciplinary expertise in climate-risk modeling, EWS integration with agriculture, and gender-responsive training design; and capacity in community co-design, though reliant on local partners for deep contextual knowledge –&gt; Strong
BC: Access to advanced data platforms and AI-enabled predictions, but not fully equipped for national-scale disaster risk management (DRM) operations –&gt; Moderately Strong
SC: Partnerships with UNDRR, WMO, WFP, and regional DRM networks (e.g., RCMRD) –&gt; Strong
I: Incentives from global DRM initiatives and alignment with CGIAR’s resilience targets –&gt; Strong </t>
  </si>
  <si>
    <t>Red Cross Climate Centre / International Federation of Red Cross and Red Crescent Societies (IFRC)</t>
  </si>
  <si>
    <t>IFRC excels in disaster response but lacks expertise in linking EWS to farming practices. CGIAR’s agricultural focus bridges this gap to protect livelihoods.</t>
  </si>
  <si>
    <t>WMO’s global data is critical, but CGIAR ensures EWS are tailored to small-scale producers’ needs (e.g., crop-specific advisories such as pest/disease EWS) and inclusive of marginalized groups.</t>
  </si>
  <si>
    <t>FAO’s policy influence aids scaling, but CGIAR’s technical agility in digital tools (e.g., mobile-based alerts) accelerates adoption.</t>
  </si>
  <si>
    <t>World Food Programme (WFP)</t>
  </si>
  <si>
    <t>WFP’s logistics networks are valuable, but CGIAR’s emphasis on proactive risk reduction (e.g., forecast-based financing) complements reactive humanitarian efforts.</t>
  </si>
  <si>
    <t>United Nations Office for Disaster Risk Reduction (UNDRR)</t>
  </si>
  <si>
    <t>UNDRR sets global DRM standards, but CGIAR’s local partnerships enable grassroots adoption of EWS and capacity training.</t>
  </si>
  <si>
    <t>African Risk Capacity (ARC)</t>
  </si>
  <si>
    <t>ARC’s financial instruments enhance EWS sustainability, but CGIAR provides the technical EWS backbone (e.g., risk modeling).</t>
  </si>
  <si>
    <t>Regional Center for Mapping of Resources for Development (RCMRD)</t>
  </si>
  <si>
    <t>RCMRD’s mapping expertise supports EWS accuracy, but CGIAR’s funding and gender-sensitive training curricula ensure equity in capacity building.</t>
  </si>
  <si>
    <t>Start Network (formerly known as Consortium of British Humanitarian Agencies (CBHA)</t>
  </si>
  <si>
    <t>Start Network’s grassroots connections are valuable, but CGIAR’s scientific rigor ensures EWS are climate-resilient and data-driven.</t>
  </si>
  <si>
    <t>NMS provides critical local data, but CGIAR’s global modeling tools and training programs enhance their capacity to generate actionable forecasts.</t>
  </si>
  <si>
    <t>Regional Centers including AGRHYMET, ICPAC, ACMAD, CIIFEN, CRRH</t>
  </si>
  <si>
    <t>Regional (Africa), East and Southern Africa, and West and Central Africa</t>
  </si>
  <si>
    <t>These centers excel in regional coordination, but CGIAR’s role fosters global collaboration and ensures scientific consistency.</t>
  </si>
  <si>
    <t>2.3 Inclusive multi-sectoral recommendations co-developed to strengthen water-climate resilience strategies for governments, water managers, and small-scale producers –leveraging context-specific methods and tailored data, to support sustainable water management under future climates.</t>
  </si>
  <si>
    <t>HC: 
1. Expertise in water - climate modeling, multi-sectoral planning (encompassing agriculture, energy, and ecosystems), and participatory governance. 
2. Skills in gender-responsive water management and capacity building for local stakeholders like water user associations are also crucial. This includes understanding the complex interactions between water availability, climate change, and different sectors, as well as the ability to engage diverse groups in decision - making processes.
3. Knowledge of context-specific water management challenges and solutions, which requires in-depth understanding of local ecosystems, cultures, and economic activities.
BC: 
1. Access to high-resolution climate - hydrological models, remote sensing data, and water accounting tools
2. Experimental facilities or sites to test nature-based solutions, like agroforestry for water retention or wetland restoration for flood control and water purification.
SC: 
1. Partnerships with watershed authorities (e.g., Nile Basin Initiative), local governments, and Indigenous water stewardship groups. Trusted relationships with water managers and small - scale producers are necessary to co-design effective water - climate resilience strategies.
2. Networks with international and regional organizations working on water and climate issues to share knowledge, resources, and best practices.
I: 
1. Alignment with global water initiatives (such as SDG 6, UN Water Action Decade) and national water policies (e.g., integrated water resources management plans). This provides a framework and motivation for the work.
2. Funding from water - focused donors (e.g., Global Water Partnership, World Bank) and climate-related funds to support research, implementation, and capacity - building activities.</t>
  </si>
  <si>
    <t>HC: Transdisciplinary expertise in water - climate interactions, gender - inclusive governance, and basin - scale modeling; capacity in multi-stakeholder co-design, with clear needs to involve to local partners for in-depth grassroots engagement. –&gt; Moderately Strong
BC: Access to advanced water modeling tools (e.g., SWAT, WEAP) and satellite-derived water productivity data. This allows for accurate assessment and prediction of water-related scenarios. –&gt; Strong
SC: Partnerships with GWP, NBI, and national water ministries. These partnerships facilitate knowledge sharing, resource mobilization, and policy influence at different levels. –&gt; Strong.
I: Incentives from SDG 6 targets and alignment with CGIAR’s water - ecosystem resilience goals. –&gt; Strong.</t>
  </si>
  <si>
    <t>Global Water Partnership (GWP)</t>
  </si>
  <si>
    <t>GWP excels in policy coordination but relies on CGIAR’s climate-hydrological models to inform future scenarios. CGIAR bridges the gap between governance and scientific rigor.</t>
  </si>
  <si>
    <t>World Bank Water Global Practice</t>
  </si>
  <si>
    <t>The World Bank’s funding is critical, but CGIAR’s community co-design ensures local ownership. CGIAR enhances project relevance for small-scale producers.</t>
  </si>
  <si>
    <t>Food and Agriculture Organization of the United Nations (FAO) AQUASTAT</t>
  </si>
  <si>
    <t>FAO’s water statistics complement CGIAR’s climate projections. CGIAR adds climate resilience modeling to FAO’s agricultural water insights.</t>
  </si>
  <si>
    <t>Local Governments for Sustainability (ICLEI)</t>
  </si>
  <si>
    <t>ICLEI’s urban networks are valuable, but CGIAR’s rural water solutions (e.g., groundwater sustainability, localized irrigation solutions) address agricultural gaps. CGIAR integrates rural livelihoods into ICLEI’s urban-centric frameworks.</t>
  </si>
  <si>
    <t>Nile Basin Initiative (NBI)</t>
  </si>
  <si>
    <t>Regional (Africa), East and Southern Africa, and West and Central Africa, Central and West Asia and North Africa</t>
  </si>
  <si>
    <t>NBI’s regional coordination is vital, but CGIAR’s neutral science role fosters trust among basin states. CGIAR’s climate data supports collaborative water allocation plans.</t>
  </si>
  <si>
    <t xml:space="preserve">National innovation, research, and planning systems </t>
  </si>
  <si>
    <t>National systems lack transdisciplinary integration. CGIAR’s global expertise and tools (e.g., SWAT models) bridge silos and build national capacity for holistic planning.</t>
  </si>
  <si>
    <t>World Resources Institute (WRI)</t>
  </si>
  <si>
    <t>WRI’s Aqueduct Atlas provides critical data, but CGIAR’s local partnerships ensure on-the-ground adoption. CGIAR adapts WRI’s global insights to context-specific needs (e.g., African smallholder systems).</t>
  </si>
  <si>
    <t>United Nations Environment Programme (UNEP)</t>
  </si>
  <si>
    <t>UNEP’s ecosystem expertise is valuable, but CGIAR’s agricultural water management insights (e.g., solar irrigation) ensure alignment with food security goals. CGIAR integrates farming communities into UNEP’s environmental frameworks.</t>
  </si>
  <si>
    <t>International Union for Conservation of Nature (IUCN)</t>
  </si>
  <si>
    <t>IUCN’s ecosystem-based approaches protect water resources, but CGIAR adds gender-inclusive livelihood strategies (e.g., women’s water user groups) and a strong link to agricultural livelihoods and poverty reduction.</t>
  </si>
  <si>
    <t>2.4 Innovative and inclusive partnerships –engaging public and private stakeholders including national academia, and local NGOs, to deliver integrated climate risk management strategies and actions.</t>
  </si>
  <si>
    <t>HC: 
1. Expertise in climate risk management, policy analysis, and multi-stakeholder engagement.
2. Skills in building and managing partnerships, as well as facilitating knowledge exchange between different sectors.
3. Knowledge of local and national contexts, including cultural, social, and economic factors, to ensure that risk management strategies are relevant and applicable.
BC: 
1. Access to data infrastructure for climate risk assessment, such as climate models, remote sensing data, and historical risk records.
2. Tools and platforms for risk modeling, monitoring, and evaluation.
SC: 
1. Existing networks and relationships with national academia, local NGOs, private sector entities, and public institutions.
2. Trust and credibility among stakeholders, which is crucial for effective collaboration.
I: 
1. Alignment with national and international climate and development goals, such as the Paris Agreement and national adaptation plans.
2. Availability of funding from donors, governments, or private investors interested in climate risk management.</t>
  </si>
  <si>
    <t>HC: Effective co-design and scaling experience; transdisciplinary expertise in climate science, agriculture, and social sciences, enabling a comprehensive understanding of climate risk management; local partners may have deeper knowledge of local power dynamics and cultural nuances. –&gt; Moderately Strong
BC: Access to advanced climate data analytics and modeling tools through its research network –&gt; Strong 
SC: Well-established partnerships with national and international research institutions, NGOs, and private sector actors in the climate and agriculture space –&gt; Strong
I: Incentives from its own climate-related research and development goals, as well as alignment with global and national climate initiatives (e.g., GFCS – NFCS) –&gt; Strong</t>
  </si>
  <si>
    <t>Alliance for a Green Revolution in Africa (AGRA)</t>
  </si>
  <si>
    <t>CGIAR complements AGRA’s agricultural focus with cross-sectoral climate risk expertise, leveraging global data and multi-disciplinary research to enhance holistic risk strategies.</t>
  </si>
  <si>
    <t>Forum for Agricultural Research in Africa (FARA)</t>
  </si>
  <si>
    <t>CGIAR’s partnerships with the private sector and experience in large-scale implementation bridge FARA’s gaps, ensuring research translates into actionable, inclusive risk management plans.</t>
  </si>
  <si>
    <t>CGIAR complements ACMAD’s climate data with socio-economic risk factors (e.g., gender, livelihoods), using transdisciplinary approaches to develop cohesive, community-centered strategies.</t>
  </si>
  <si>
    <t>National public systems including NHMS, NARS, and Disaster Risk Reduction offices</t>
  </si>
  <si>
    <t>CGIAR provides technical tools, training, and cross-border collaboration to strengthen national systems, enabling them to design and implement integrated risk management plans aligned with global standards.</t>
  </si>
  <si>
    <t>Deutsche Gesellschaft für
Internationale Zusammenarbeit (GIZ) GmbH</t>
  </si>
  <si>
    <t>CGIAR’s climate analytics and risk assessment frameworks enhance GIZ’s projects, ensuring they are grounded in scientific evidence and tailored to local climate vulnerabilities.</t>
  </si>
  <si>
    <t>World Business Council for Sustainable Development (WBCSD)</t>
  </si>
  <si>
    <t>CGIAR’s technical research (e.g., AI-driven risk tools) supports WBCSD’s corporate climate strategies, bridging the gap between business goals and science-based risk mitigation.</t>
  </si>
  <si>
    <t>African Group of Negotiators Expert Support (AGNES)</t>
  </si>
  <si>
    <t>CGIAR directly supports AGNES, and translates AGNES’s policy insights into actionable plans through local partnerships, ensuring national adaptation strategies are rooted in community needs and supported by on-the-ground research.</t>
  </si>
  <si>
    <t>Netherlands Development Organization (SNV)</t>
  </si>
  <si>
    <t>CGIAR’s global network and multi-sectoral approach help SNV scale climate risk solutions, integrating insights from agriculture, water, and energy sectors to create resilient systems.</t>
  </si>
  <si>
    <t>University Labs (WUR, Univ. Leeds, ZEF – Univ. Bonn, etc.)</t>
  </si>
  <si>
    <t>CGIAR accelerates the uptake of university research by facilitating partnerships with NGOs, governments, and the private sector, ensuring innovations are tested, adapted, and scaled.</t>
  </si>
  <si>
    <t>UN entities such as Food and Agriculture Organization of the United Nations (FAO) and World Meteorological Organization (WMO)</t>
  </si>
  <si>
    <t>CGIAR’s ground-level partnerships (e.g., with NHMS, CBOs) enhance UN entities’ ability to deliver context-specific risk management solutions, ensuring marginalized groups (e.g., women farmers) are central to strategy design.</t>
  </si>
  <si>
    <t xml:space="preserve">3.1 Institutional innovations and technical practices that simultaneously address climate change adaptation, livelihood and social inclusivity goals. </t>
  </si>
  <si>
    <t xml:space="preserve">Human Capital (HC):  
1.	Transdisciplinary scientists bringing systems solutions  
2.	Social scientists to focus on adoption and scaling process, inclusiveness: economic drivers, gender  
4.	Skills and knowledge  
Biophysical Capital (BC):  
1.	Field station and on-farm experimental facilities for adaptive research and demonstration  
2.	Infrastructure, instruments to measure food, land and water systems.  
3.	Presence on the ground  
Social Capital (SC)  
1.	Relevant partnerships and networks to co-design and implement  
2.	Long-term relationships and commitment with national R4D organizations to achieve impact  
3.	Long-term scientific links to newest discoveries and adaptive research  
4. Transdisciplinary research capacity: Ability to integrate agroecology, climate science, economics, and social sciences to design multifunctional innovations.
5. Inclusive innovation systems: Proven experience with participatory research and co-design methods, especially in vulnerable and marginalized communities.
6. Strong local institutional networks: Established partnerships with farmer organizations, local governments, and civil society for contextualized technology deployment.
7. Track record in gender and social inclusion (GESI): Demonstrated capacity to embed gender equality and social equity principles in innovation processes.
8. Systems thinking approach: Ability to design practices that deliver co-benefits across adaptation, livelihoods, and inclusion.
Incentives (I):  
1.	Incentives for NARS: Increased capacity, international scientific links, enhanced delivery of mandates.  
2.	CGIAR: creation and publication of IPGs, stakeholder impact, delivery of mandate.  
3.	National universities, ARIs: Increased capacity , access to data, collaborations, links for student projects  
4.	CBOs and INGOs: access to innovations and technical assistance, new business models, delivery of mission.  
  </t>
  </si>
  <si>
    <t xml:space="preserve">Considering all CGIAR centers collaborating in Climate Action:  
HC:  
1-3: cover all required disciplines  
4: Knowledge hubs for innovations, science, data, methods  
STRONG  
BC:  
1: Access to modern laboratories, experimental facilities in SE Asia, South Asia, Africa and Latin America.  
2-5: All CGIAR centers  
cover target regions and have varying country presence.  
MODERATELY STRONG  
SC:  
1: Strong partnerships and networks with NARS and community-based (CBOs), farmer organizations (FOs).  
2: Long-term relationships and commitment with national R4D organizations through physical presence  
3: Long-term scientific links with partner universities through capacity development and joint projects and publications.  
4. Integrated research portfolios across climate, agriculture, livelihoods, and equity through initiatives like ClimBeR, Nature-Positive Solutions, HER+, SAPLING)
5. Proven track record in co-developing context-specific, gender-responsive, and inclusive technologies (e.g., participatory land and water management, Living Labs).
6. Embedded partnerships with National Agricultural Research Systems (NARS), NGOs, and farmer organizations for participatory innovation and testing.
7. Longstanding focus on gender and social inclusion (GESI), backed by specialized platforms like the CGIAR GENDER Impact Platform.
8. Systemic approach to linking climate adaptation with food security and poverty reduction, particularly in vulnerable regions (SSA, SEA, South Asia, Latin America).
MODERATELY STRONG  
I:  
●	Publication of IPGs 
●	Proof of impact for developed and scaled innovations 
●	Opportunity to address very diverse challenges (e.g. approaches such as living labs/locally led adaptation)  
●	Developing partner capacity &amp; strong collaborations 
STRONG  
</t>
  </si>
  <si>
    <t xml:space="preserve">Wageningen University and Research Centre </t>
  </si>
  <si>
    <t>Focused largely on research and academic training. CGIAR complements with large-scale, regionally embedded, field-based delivery in LMICs.</t>
  </si>
  <si>
    <t>Strong on innovation design but less embedded in implementation across Global South at scale like CGIAR.</t>
  </si>
  <si>
    <t xml:space="preserve">Ethiopian Institute of Agricultural Research </t>
  </si>
  <si>
    <t>Country</t>
  </si>
  <si>
    <t>Nationally focused. CGIAR brings multinational coordination, innovation scaling, and cross-country learning.</t>
  </si>
  <si>
    <t xml:space="preserve">Centre de coopération internationale en recherche agronomique pour le développement (CIRAD) </t>
  </si>
  <si>
    <t>Emphasis on Francophone regions. CGIAR fills gaps in Anglophone and Lusophone regions, and strengthens global policy linkages.</t>
  </si>
  <si>
    <t>Southasia Institute for Advanced Studies (SIAS)</t>
  </si>
  <si>
    <t xml:space="preserve">Regional: South Asia </t>
  </si>
  <si>
    <t>South Asia-specific and policy-focused. CGIAR brings technical practice development and broader global platform.</t>
  </si>
  <si>
    <t xml:space="preserve">Tanzania Agricultural Research Institute </t>
  </si>
  <si>
    <t xml:space="preserve">African Insect Science for Food and Health </t>
  </si>
  <si>
    <t xml:space="preserve">Regional: Sub-Saharan Africa </t>
  </si>
  <si>
    <t>Strong niche in insects and food systems. CGIAR integrates broader livelihood, equity, and adaptation goals.</t>
  </si>
  <si>
    <t xml:space="preserve">La Trobe University </t>
  </si>
  <si>
    <t xml:space="preserve">RDRS Bangladesh </t>
  </si>
  <si>
    <t xml:space="preserve">Country: Bangladesh </t>
  </si>
  <si>
    <t>Biovision Foundation for Ecological Development</t>
  </si>
  <si>
    <t>Focused on advocacy and smallholder agroecology. CGIAR ensures integration of science-policy-practice and global public goods.</t>
  </si>
  <si>
    <t>3.2 Methodologies for design and implementation of locally led adaptation development in ways that enhance social inclusion and local agency</t>
  </si>
  <si>
    <t>Human Capital (HC):  
1.	Transdisciplinary scientists bringing systems solutions  
2.	Social scientists to focus on adoption and scaling process, inclusiveness: economic drivers, gender  
4.	Skills and knowledge  
Biophysical Capital (BC):  
1.	Field station and on-farm experimental facilities for adaptive research and demonstration  
2.	Infrastructure, instruments to measure food, land and water systems.  
3.	Presence on the ground  
Social Capital (SC)  
1.	Relevant partnerships and networks to co-design and implement  
2.	Long-term relationships and commitment with national R4D organizations to achieve impact  
3.	Long-term scientific links to newest discoveries and adaptive research
4. Deep cultural competence and local knowledge integration: Institutional familiarity with indigenous knowledge systems, customary governance, and social norms.
5.  Methodological leadership in power and agency analysis: Capacity to assess and enhance voice, representation, and influence of marginalized groups within adaptation planning.
6.  Experience with decentralized governance mechanisms: Knowledge of subnational adaptation planning, including planning tools that elevate local priorities.
Incentives (I):  
1.	Incentives for NARS: Increased capacity, international scientific links, enhanced delivery of mandates.  
2.	CGIAR: creation and publication of IPGs, stakeholder impact, delivery of mandate.  
3.	National universities, ARIs: Increased capacity , access to data, collaborations, links for student projects  
4.	CBOs and INGOs: access to innovations and technical assistance, new business models, delivery of mission.  •	Expertise in participatory action research (PAR): Long-standing experience in facilitating locally driven decision-making frameworks and community-based planning.</t>
  </si>
  <si>
    <t xml:space="preserve">Considering all CGIAR centers collaborating in Climate Action:  
HC:  
1-3: cover all required disciplines  
4: Knowledge hubs for innovations, science, data, methods  
STRONG  
BC:  
1: Access to modern laboratories, experimental facilities in SE Asia, South Asia, Africa and Latin America.  
2-5: All CGIAR centers  
cover target regions and have varying country presence.  
MODERATELY STRONG  
SC:  
1: Strong partnerships and networks with NARS and community-based (CBOs), farmer organizations (FOs).  
2: Long-term relationships and commitment with national R4D organizations through physical presence  
3: Long-term scientific links with partner universities through capacity development and joint projects and publications.  
MODERATELY STRONG  
I:  
●	Publication of IPGs 
●	Proof of impact for developed and scaled innovations 
●	Opportunity to address very diverse challenges (e.g. approaches such as living labs/locally led adaptation)  
●	Developing partner capacity &amp; strong collaborations 
STRONG  •	Decades of participatory research experience, including farmer field schools, citizen science, and living labs that elevate local agency.
•	Methodological leadership in social differentiation analysis, participatory scenario planning (e.g., CCAFS participatory tools), and local knowledge integration.
•	Multi-level governance engagement: CGIAR researchers work from village to national level, enabling vertical integration of locally led adaptation into broader policy frameworks.
•	Tools and frameworks for inclusive decision-making (e.g., CCAFS' Climate-Smart Villages, Resilience Assessment tools; ClimBeR social equity methodology).
•	Evidence generation on what works for enhancing agency, especially for women, youth, and marginalized groups in agricultural systems.
</t>
  </si>
  <si>
    <t xml:space="preserve">South Asia Institute for Advanced Studies (SIAS) </t>
  </si>
  <si>
    <t xml:space="preserve">Regional: South Aia </t>
  </si>
  <si>
    <t>Focused on South Asia; CGIAR ensures adaptation of methods to diverse agroecologies and cultures.</t>
  </si>
  <si>
    <t xml:space="preserve">Makerere University </t>
  </si>
  <si>
    <t>Country: Uganda</t>
  </si>
  <si>
    <t>Strong regionally but less in method standardization and replication across countries.</t>
  </si>
  <si>
    <t xml:space="preserve">Jimma University </t>
  </si>
  <si>
    <t xml:space="preserve">Country: Ethiopia </t>
  </si>
  <si>
    <t>National focus; CGIAR brings methodological rigor, global platforms, and M&amp;E frameworks.</t>
  </si>
  <si>
    <t>Centre for Behaviour Change and Communication (Kenya)</t>
  </si>
  <si>
    <t xml:space="preserve">Country: Kenya </t>
  </si>
  <si>
    <t>Emphasis on communication, not full adaptation planning. CGIAR adds systems thinking and interdisciplinary design.</t>
  </si>
  <si>
    <t xml:space="preserve">World Vision International </t>
  </si>
  <si>
    <t>Implementation-focused. CGIAR offers research, monitoring, and innovation development capacity.</t>
  </si>
  <si>
    <t xml:space="preserve">Participatory Ecological Land Use Management (PELUM Kenya) </t>
  </si>
  <si>
    <t>Strong grassroots base, but needs CGIAR’s evidence-based frameworks and tools for scaling.</t>
  </si>
  <si>
    <t xml:space="preserve">Community Sustainable Agriculture and Healthy Environmental Program (COSAP) </t>
  </si>
  <si>
    <t>Very localized. CGIAR can refine and systematize practices for broader replication.</t>
  </si>
  <si>
    <t xml:space="preserve">CIHEAM Bari </t>
  </si>
  <si>
    <t>Regional: Mediterranean region</t>
  </si>
  <si>
    <t>Mediterranean-centric. CGIAR contextualizes tools for tropical and sub-tropical systems.</t>
  </si>
  <si>
    <t>3.3 Innovative models and partnerships for scaling locally led adaptation</t>
  </si>
  <si>
    <t xml:space="preserve">Human Capital (HC):  
1.	Transdisciplinary scientists bringing systems solutions  
2.	Social scientists to focus on adoption and scaling process, inclusiveness: economic drivers, gender  
4.	Skills and knowledge  
Biophysical Capital (BC):  
1.	Field station and on-farm experimental facilities for adaptive research and demonstration  
2.	Infrastructure, instruments to measure food, land and water systems.  
3.	Presence on the ground  
Social Capital (SC)  
1.	Relevant partnerships and networks to co-design and implement  
2.	Long-term relationships and commitment with national R4D organizations to achieve impact  
3.	Long-term scientific links to newest discoveries and adaptive research  
4. Proven models for public-private partnerships (PPPs): Experience leveraging blended finance and market systems to amplify the reach of LLA interventions.
5. Monitoring and adaptive learning systems: Competence in designing learning loops and feedback mechanisms to inform adaptive scaling.
6, Policy entrepreneurship: Capability to shape enabling environments for innovation uptake and influence national adaptation plans (NAPs) or subnational policies.
Incentives (I):  
1.	Incentives for NARS: Increased capacity, international scientific links, enhanced delivery of mandates.  
2.	CGIAR: creation and publication of IPGs, stakeholder impact, delivery of mandate.  
3.	National universities, ARIs: Increased capacity , access to data, collaborations, links for student projects  
4.	CBOs and INGOs: access to innovations and technical assistance, new business models, delivery of mission.  •	Innovation brokerage and scaling expertise: Ability to build multi-stakeholder coalitions involving private sector actors, NGOs, and public institutions to scale adaptation.
</t>
  </si>
  <si>
    <t xml:space="preserve">Considering all CGIAR centers collaborating in Climate Action:  
HC:  
1-3: cover all required disciplines  
4: Knowledge hubs for innovations, science, data, methods  
STRONG  
BC:  
1: Access to modern laboratories, experimental facilities in SE Asia, South Asia, Africa and Latin America.  
2-5: All CGIAR centers  
cover target regions and have varying country presence.  
MODERATELY STRONG  
SC:  
1: Strong partnerships and networks with NARS and community-based (CBOs), farmer organizations (FOs).  
2: Long-term relationships and commitment with national R4D organizations through physical presence  
3: Long-term scientific links with partner universities through capacity development and joint projects and publications.  
4. Established innovation scaling models, including but not confined to the Scaling Readiness approach, Scaling Scan, and Innovation Packages developed under various CGIAR initiatives e.g. social equity methodology that ClimBeR developed.
5. Strong partnerships with development implementers, governments, private sector actors, and multilateral organizations for facilitating uptake and scale.
6. Access to CGIAR’s global and regional networks, facilitating horizontal scaling (peer-to-peer) and vertical scaling (institutional embedding).
7. Blended finance and private sector engagement experience: through partnerships that align adaptation with investment (e.g., in climate-smart value chains).
8. Monitoring and learning systems for adaptive scaling, with outcome and impact orientation (e.g., MEL platforms, digital dashboards).
MODERATELY STRONG  
I:  
●	Publication of IPGs 
●	Proof of impact for developed and scaled innovations 
●	Opportunity to address very diverse challenges (e.g. approaches such as living labs/locally led adaptation)  
●	Developing partner capacity &amp; strong collaborations 
STRONG  •	
</t>
  </si>
  <si>
    <t xml:space="preserve">Digital Green </t>
  </si>
  <si>
    <t>Strong digital tools; CGIAR complements with science-based content, agricultural R&amp;D, and network integration.</t>
  </si>
  <si>
    <t xml:space="preserve">2SCALE </t>
  </si>
  <si>
    <t>Market system strength; lacks CGIAR’s research muscle and systems-level design capacity.</t>
  </si>
  <si>
    <t xml:space="preserve">Integrated Seed Sector Development (ISSD) </t>
  </si>
  <si>
    <t>Regional: East and Southern Africa</t>
  </si>
  <si>
    <t>Seed sector niche; CGIAR links seed systems with climate and livelihood adaptation frameworks.</t>
  </si>
  <si>
    <t xml:space="preserve">Deutsche Gesellschaft für Internationale Zusammenarbeit (GIZ) </t>
  </si>
  <si>
    <t>Implementation partner. CGIAR brings scientific legitimacy, research depth, and monitoring systems.</t>
  </si>
  <si>
    <t xml:space="preserve">Village Link Company Limited </t>
  </si>
  <si>
    <t>Country: Myanmar</t>
  </si>
  <si>
    <t>Tech-driven but early-stage. CGIAR supports with validated content, partnerships, and impact evidence.</t>
  </si>
  <si>
    <t xml:space="preserve">The World Bank </t>
  </si>
  <si>
    <t>Policy and finance heavy. CGIAR is research engine and delivery partner for agricultural innovations.</t>
  </si>
  <si>
    <t xml:space="preserve">Swiss Development Cooperation </t>
  </si>
  <si>
    <t>Donor organization; CGIAR provides execution, innovation testing, and adaptation research.</t>
  </si>
  <si>
    <t>Strong in research. CGIAR adds global South delivery capability and development impact scaling.</t>
  </si>
  <si>
    <t>Ground implementation; CGIAR adds R&amp;D, impact evaluation, and systems innovation.</t>
  </si>
  <si>
    <t>3.4 Novel framework and methods for avoiding maladaptation</t>
  </si>
  <si>
    <t>Human Capital (HC):  
1.	Transdisciplinary scientists bringing systems solutions  
2.	Social scientists to focus on adoption and scaling process, inclusiveness: economic drivers, gender  
4.	Skills and knowledge  
Biophysical Capital (BC):  
1.	Field station and on-farm experimental facilities for adaptive research and demonstration  
2.	Infrastructure, instruments to measure food, land and water systems.  
3.	Presence on the ground  
Social Capital (SC)  
1.	Relevant partnerships and networks to co-design and implement  
2.	Long-term relationships and commitment with national R4D organizations to achieve impact  
3.	Long-term scientific links to newest discoveries and adaptive research  
4. Interdisciplinary risk governance expertise: Proficiency in integrating environmental, economic, and social risk indicators into planning tools.
5. Evaluative framework design: Experience creating ex-ante appraisal and safeguards to assess risks of maladaptation, particularly in fragile or ecologically sensitive areas.
6.  Policy and legal analysis capability: Capacity to assess institutional and legal frameworks that prevent or inadvertently promote maladaptive practices.
Incentives (I):  
1.	Incentives for NARS: Increased capacity, international scientific links, enhanced delivery of mandates.  
2.	CGIAR: creation and publication of IPGs, stakeholder impact, delivery of mandate.  
3.	National universities, ARIs: Increased capacity , access to data, collaborations, links for student projects  
4.	CBOs and INGOs: access to innovations and technical assistance, new business models, delivery of mission.  •	Cutting-edge climate risk analytics: Advanced capacity in climate foresight, stress testing of adaptation options, and identification of trade-offs and unintended consequences.</t>
  </si>
  <si>
    <t xml:space="preserve">Considering all CGIAR centers collaborating in Climate Action:  
HC:  
1-3: cover all required disciplines  
4: Knowledge hubs for innovations, science, data, methods  
STRONG  
BC:  
1: Access to modern laboratories, experimental facilities in SE Asia, South Asia, Africa and Latin America.  
2-5: All CGIAR centers  
cover target regions and have varying country presence.  
MODERATELY STRONG  
SC:  
1: Strong partnerships and networks with NARS and community-based (CBOs), farmer organizations (FOs).  
2: Long-term relationships and commitment with national R4D organizations through physical presence  
3: Long-term scientific links with partner universities through capacity development and joint projects and publications.  
Scientific rigor in climate risk assessment: Advanced climate modeling and foresight tools (e.g., AgMIP, GCM-based downscaling, crop-climate modeling).
4. Experience with trade-off and systems analysis: CGIAR centers like IFPRI, CIAT, and IWMI use integrated assessment models to assess risks of maladaptation along with social equity methodology developed by ClimBeR
5. Capacity to produce context-specific evidence: CGIAR's decentralized research structure enables development of adaptation pathways grounded in local realities, reducing one-size-fits-all risks.
6. Policy and institutional analysis expertise: CGIAR policy research (e.g., through IFPRI, ILRI, and ICARDA) contributes to diagnosing governance failures that drive maladaptation.
7. Evaluation frameworks (e.g., CSA programming toolkits, gender and inclusion audits) that assess the social, economic, and ecological dimensions of adaptation risks.
MODERATELY STRONG  
I:  
●	Publication of IPGs 
●	Proof of impact for developed and scaled innovations 
●	Opportunity to address very diverse challenges (e.g. approaches such as living labs/locally led adaptation)  
●	Developing partner capacity &amp; strong collaborations 
STRONG  
</t>
  </si>
  <si>
    <t xml:space="preserve">Intergovernmental Panel on Climate Change (IPCC) </t>
  </si>
  <si>
    <t xml:space="preserve">Cornell University </t>
  </si>
  <si>
    <t>Academic design of concepts; CGIAR contributes field validation, operationalization, and feedback loops.</t>
  </si>
  <si>
    <t xml:space="preserve">University of Hohenheim </t>
  </si>
  <si>
    <t>Focus on Europe/Africa; CGIAR leads cross-region harmonization and sector-specific approaches.</t>
  </si>
  <si>
    <t xml:space="preserve">McMaster University </t>
  </si>
  <si>
    <t>Urban and infrastructure focus; CGIAR tailors for rural, agricultural contexts.</t>
  </si>
  <si>
    <t xml:space="preserve">Centre for Coordination of Agricultural Research and Development for Southern Africa (CCARDESA) </t>
  </si>
  <si>
    <t xml:space="preserve">Regional: South Africa </t>
  </si>
  <si>
    <t>Coordination body; CGIAR adds technical tools, innovation, and evidence base.</t>
  </si>
  <si>
    <t xml:space="preserve">GroundTruth </t>
  </si>
  <si>
    <t>Innovative but small scale; CGIAR enables mainstreaming and regional uptake.</t>
  </si>
  <si>
    <t xml:space="preserve">South African Environmental Observation Network (SAEON) </t>
  </si>
  <si>
    <t xml:space="preserve">Country: South Africa </t>
  </si>
  <si>
    <t>Observation network; CGIAR integrates actionable adaptation guidance and policy influence.</t>
  </si>
  <si>
    <t xml:space="preserve">International Development Research Centre (IDRC) </t>
  </si>
  <si>
    <t>Funders and conceptual developers; CGIAR delivers practical field application and scaling.</t>
  </si>
  <si>
    <t>Strong research base; CGIAR strengthens contextualization for food systems and low-income countries.</t>
  </si>
  <si>
    <t>3.5 Policies, institutions, and interventions for equitable climate change adaptation</t>
  </si>
  <si>
    <t xml:space="preserve">Human Capital (HC):  
1.	Transdisciplinary scientists bringing systems solutions  
2.	Social scientists to focus on adoption and scaling process, inclusiveness: economic drivers, gender  
4.	Skills and knowledge  
Biophysical Capital (BC):  
1.	Field station and on-farm experimental facilities for adaptive research and demonstration  
2.	Infrastructure, instruments to measure food, land and water systems.  
3.	Presence on the ground  
Social Capital (SC)  
1.	Relevant partnerships and networks to co-design and implement  
2.	Long-term relationships and commitment with national R4D organizations to achieve impact  
3.	Long-term scientific links to newest discoveries and adaptive research  
Incentives (I):  
1.	Incentives for NARS: Increased capacity, international scientific links, enhanced delivery of mandates.  
2.	CGIAR: creation and publication of IPGs, stakeholder impact, delivery of mandate.  
3.	National universities, ARIs: Increased capacity , access to data, collaborations, links for student projects  
4.	CBOs and INGOs: access to innovations and technical assistance, new business models, delivery of mission.  •	
</t>
  </si>
  <si>
    <t xml:space="preserve">Considering all CGIAR centers collaborating in Climate Action:  
HC:  
1-3: cover all required disciplines  
4: Knowledge hubs for innovations, science, data, methods  
STRONG  
BC:  
1: Access to modern laboratories, experimental facilities in SE Asia, South Asia, Africa and Latin America.  
2-5: All CGIAR centers  
cover target regions and have varying country presence.  
MODERATELY STRONG  
SC:  
1: Strong partnerships and networks with NARS and community-based (CBOs), farmer organizations (FOs).  
2: Long-term relationships and commitment with national R4D organizations through physical presence  
3: Long-term scientific links with partner universities through capacity development and joint projects and publications.  
MODERATELY STRONG  
I:  
●	Publication of IPGs 
●	Proof of impact for developed and scaled innovations 
●	Opportunity to address very diverse challenges (e.g. approaches such as living labs/locally led adaptation)  
●	Developing partner capacity &amp; strong collaborations 
STRONG  •	Decades of influence on national and regional policy processes, through evidence-based policy research and direct policy engagement (e.g., NDCs, NAPs, and food systems strategies).
•	Political economy and institutional diagnostics: Tools and frameworks for analyzing barriers and enablers of equitable adaptation (e.g., policy labs, governance assessments).
•	Partnerships with multilateral and regional bodies (e.g., African Union, FARA, AGNES, ASEAN, ECOWAS), which help mainstream adaptation and equity into broader development agendas.
•	Deep knowledge base on rights-based approaches, gender-transformative policies, and inclusive climate governance.
•	Capacity strengthening track record: CGIAR routinely trains policymakers (AGNES), extension workers, and community leaders on equitable adaptation planning and implementation.
</t>
  </si>
  <si>
    <t xml:space="preserve">Food and Agriculture Organization of the United Nations (FAO) </t>
  </si>
  <si>
    <t xml:space="preserve">Global normative body; CGIAR provides research evidence, technical depth, and delivery experience.
</t>
  </si>
  <si>
    <t xml:space="preserve">Kenya Institute for Public Policy Research and Analysis (KIPPRA) </t>
  </si>
  <si>
    <t xml:space="preserve">University of Ibadan </t>
  </si>
  <si>
    <t>Country: Nigeria</t>
  </si>
  <si>
    <t xml:space="preserve">International Union for Conservation of Nature (IUCN) </t>
  </si>
  <si>
    <t>Focused on ecosystems; CGIAR integrates agriculture, food systems, and equity.</t>
  </si>
  <si>
    <t xml:space="preserve">Addis Ababa University </t>
  </si>
  <si>
    <t xml:space="preserve">Bangladesh Agricultural University </t>
  </si>
  <si>
    <t>Country: Bangladesh</t>
  </si>
  <si>
    <t xml:space="preserve">International Development Enterprise (iDE) </t>
  </si>
  <si>
    <t>Private sector models; CGIAR adds research for impact, equity diagnostics, and policy linkages.</t>
  </si>
  <si>
    <t xml:space="preserve">United Nations Development Programme (UNDP) </t>
  </si>
  <si>
    <t>Development implementation; CGIAR provides agriculture-centered technical expertise and innovations.</t>
  </si>
  <si>
    <t xml:space="preserve">Royal Tropical Institute (KIT) </t>
  </si>
  <si>
    <t>Equity-focused research; CGIAR contributes agricultural R&amp;D and operational networks in target countries.</t>
  </si>
  <si>
    <t xml:space="preserve">African Group of Negotiators Expert Support (AGNES) </t>
  </si>
  <si>
    <t xml:space="preserve">Regional: Africa </t>
  </si>
  <si>
    <t>Advocacy strength; CGIAR offers science-based support and technical guidance for policy action.</t>
  </si>
  <si>
    <t>4.1 Low-emission development strategies across farms, forests, grasslands, and coastal landscapes</t>
  </si>
  <si>
    <t xml:space="preserve">Biophysical Capital (BC):  
1.	Field station and on-farm experimental facilities for adaptive research and demonstration  
2.	Infrastructure, instruments to measure food, land and water systems.  
3.	Presence on the ground    
Innovative models of capacity sharing and training  
  	Human Capital (HC):  
1.	Development economists, policy specialists, climate knowledge brokers  
4.	Subject matter experts (FLW systems) for technical guidance  
5.	Engagement facilitator to facilitate policy dialogue and engagement  
Physical Capital (PC):  
1.	Presence in countries, local context.  
2.    FARM-LEVEL POTENTIAL FOR THE ADOPTION OF INNOVATIONS
3.    VALUE CHAIN / FOOD SYSTEMS LEVEL STRATEGIES TO OVERCOME ADOPTION BARRIERS
4.   GHG EMISSION SOURCES AND THEIR DIRECT AND UNDERLYING DRIVERS
5.   CLIMATE BENEFITS, SUSTAINABLE DEVELOPMENT CO-BENEFITS  AND UNINTENDED NEGATIVE EFFECTS
Social Capital (SC)  
1.	Relationships with regional, national, local government.  
3.	Relationship with non-state actors (NGOs, CBOs, CSOs, etc.)  
4.	Long-term relationships with local universities, NARS, think tanks  
5.	Established relationships with influential academics and experts  
6.	Established relationships with reputable personalities with substantial institutional connections.  
7.  GOVERNMENT PRIORITIES AND AREAS WHERE DEVELOPMENT PRIORITIES OVERLAP WITH GHG-MITIGATION OPPORTUNITIES
-	
</t>
  </si>
  <si>
    <t xml:space="preserve">"HC: Across the CGIAR all areas are strongly covered  
STRONG  
PC: Present in most countries, but not all HC areas present.  
MODERATELY STRONG  
SC: 1, 3, 4 available through host country arrangements; 2, 5, 6 dependent on CG individuals and their networks.  
STRONG  
I: Incentives for CGIAR - greater influence on policy for impact  
STRONG 
"
No single institution in the world has the capacity to combine land and food systems science that integrate the knowledge required across the six critical dimensions needed to deliver effective, science-based low-emission development strategies that address both direct and underlying drivers of agrifood systems emissions
- Ability to use land and food systems frameworks to identify emission drivers across diverse agroecological landscapes.
- Capacity to align GHG mitigation opportunities with national development priorities.
- Deep engagement with farmers and value chain actors to tailor viable solutions.
- Proven tools and partnerships for developing business models for scaling low-emission innovations effectively.
- Robust MRV systems to track climate outcomes, SDG co-benefits, and trade-offs.
</t>
  </si>
  <si>
    <t>4.2 Integrated socio-technological bundles co-developed and piloted with national partners to reduce methane emissions in livestock, aquaculture, and rice</t>
  </si>
  <si>
    <t>HC: Social scientists to focus on adoption and scaling process, inclusiveness, economic drivers, gender; NRM scientists for bundling innovations and testing with partners; 
SC: Long-term relationships and commitment with national R4D organizations to achieve impact</t>
  </si>
  <si>
    <t>HC: Strong
SC: Moderately strong</t>
  </si>
  <si>
    <t xml:space="preserve">4.3 Evidence-based low-emission food systems strategies co-developed and tested </t>
  </si>
  <si>
    <t xml:space="preserve">HC: 
1. Knowledge of close-loop production systems, dietary shifts,  nutrient-, water-, and energy use efficiency including food loss and waste reduction 
2. Expertise in food system emissions accounting and mitigation quantification
3. Skills in systems modeling and trade-off analysis
BC: 
1. Access to data infrastructure for tracking GHG emissions across food value chain
2. Farmers' field and learning landscapes for co-designing and developing and evaluating range of low-emission solutions across food systems 
SC: 
1. Existing networks and relationships with national and sub-national governments including academia, local NGOs, and  private sector entities
2. Trust and credibility among stakeholders, which is crucial for effective collaboration.
3. Established network with regional and global players in food systems climate nexus 
I: 
1. Global and national pressure and alignment with national and international climate goals, such as NDCs to  Paris agreement.
2. Interest from private sector in low-emissions value chain
3. Opportunity to tap global climate finance such as GCF and IFIs  </t>
  </si>
  <si>
    <t>HC: Strong. CGIAR centers collectively have expertise needed to design, develop and implement range of low-emissions technologies across food value chain such as closed-loop production systems, sustainable dietary shifts, and efficient use of nutrients, water, and energy, and reducing food loss and waste including emissions accounting, mitigation quantification, and systems modeling to assess trade-offs and co-benefits across the systems
BC: Moderate. CGIAR centers have moderate p access to farmers' field, farm and landscape as well as data to execute low-emission development research across food systems perform required analyses.  Proven tools and partnerships for developing business models for scaling low-emission innovations effectively. Robust MRV systems to track climate outcomes, SDG co-benefits, and trade-offs.
SC: Strong. CGIAR centers have formal MoUs with many countries, long-term presence and trust with national partners. CGIAR have capacity to align GHG mitigation opportunities with national development priorities. Deep engagement with farmers and value chain actors to tailor viable solutions.</t>
  </si>
  <si>
    <t>NARES and Universities in the country of implementation</t>
  </si>
  <si>
    <t>FAO</t>
  </si>
  <si>
    <t>They can be partner in analytics but CGIAR has CA in field implementation and evaluation</t>
  </si>
  <si>
    <t>WRI</t>
  </si>
  <si>
    <t>UNEP</t>
  </si>
  <si>
    <t>IIASA</t>
  </si>
  <si>
    <t xml:space="preserve">No single organization have comparative advantage than CGIAR to work on food system approach right from designing, testing and implementation of the solutions to analysis and policy support </t>
  </si>
  <si>
    <t>4.4 In three key LMIC target regions, the creation of a public good, big-data platform for the MRV of low-emissions farming</t>
  </si>
  <si>
    <t xml:space="preserve">HC: Data analysts: Biometrician, climate and systems modelers;
SC: Relevant partnerships and networks to co-design and implement;
BC: Secure data storage and computing facilities  </t>
  </si>
  <si>
    <t>HC: Strong
SC: Moderately strong
BC: Moderately strong</t>
  </si>
  <si>
    <t>Complementary work with focus on different aspects</t>
  </si>
  <si>
    <t>Add FAO as technical partner</t>
  </si>
  <si>
    <t>4.5 Policies, institutions, and interventions to increase women’s and youth’s agency in and benefit streams from mitigation action</t>
  </si>
  <si>
    <t xml:space="preserve">Science and climate policy and other multi-stakeholder platforms  
Innovative models of capacity sharing and training  
  	Human Capital (HC):  
1.	Development economists, policy specialists, climate knowledge brokers  
2.	GSI scientists to ensure gender integration in policy design  
3.	Social scientists specialized in policy analysis and governance  
4.	Subject matter experts (FLW systems) for technical guidance  
5.	Engagement facilitator to facilitate policy dialogue and engagement  
Physical Capital (PC):  
1.	Presence in countries, local context.  
Social Capital (SC)  
1.	Relationships with regional, national, local government.  
3.	Relationship with non-state actors (NGOs, CBOs, CSOs, etc.)  
4.	Long-term relationships with local universities, NARS, think tanks  
5.	Established relationships with influential academics and experts  
6.	Established relationships with reputable personalities with substantial institutional connections.  
</t>
  </si>
  <si>
    <t xml:space="preserve">HC: Across the CGIAR all areas are strongly covered  
STRONG  
PC: Present in most countries, but not all HC areas present.  
MODERATELY STRONG  
SC: 1, 3, 4 available through host country arrangements; 2, 5, 6 dependent on CG individuals and their networks.  
STRONG  
I: Incentives for CGIAR - greater influence on policy for impact  
STRONG 
1)Global Policy Engagement and Influence (CGIAR works closely with national governments, regional bodies, and global climate frameworks)                                 2) Multi-Stakeholder Engagement Platforms (CGIAR excels in facilitating dialogues across public, private, and civil society sectors through living labs, innovation platforms, and stakeholder workshops)
3) Deep Gender and Social Inclusion Expertise (decades of experience in designing and evaluating gender-transformative and socially inclusive interventions in agriculture and climate programs). 
4) Cross-Sectoral Systems Thinking (CGIAR can generate integrated solutions that link mitigation with development goals like gender equity, youth employment, peacebuilding, and biodiversity conservation).
5) Presence in Fragile and Conflict-Affected Areas (CGIAR has operational networks and field-tested approaches in fragile and post-conflict contexts)
</t>
  </si>
  <si>
    <t>UN agencies (FAO,UNDP)</t>
  </si>
  <si>
    <t>UN agencies have less agricultural R&amp;D and innovation system engagement.</t>
  </si>
  <si>
    <t>International organizations (Global green growth institute)</t>
  </si>
  <si>
    <t>May lack technical agricultural mitigation expertise or systems science capacity</t>
  </si>
  <si>
    <t>Regional development banks  and bilateral donors (AfDB, GIZ, IFAD. WB. IDB)</t>
  </si>
  <si>
    <t>Depend on local partners for research, design, and long-term engagement.</t>
  </si>
  <si>
    <t>Research Institutions (Stockholm Environment Institute)</t>
  </si>
  <si>
    <t>less implementation and scaling experience.</t>
  </si>
  <si>
    <t xml:space="preserve">5.1 Country-specific evidence and tools that support the design, tracking and reporting of national climate policies  </t>
  </si>
  <si>
    <t xml:space="preserve">Science and climate policy and other multi-stakeholder platforms  
Innovative models of capacity sharing and training  
  	Human Capital (HC):  
1.	Development economists, policy specialists, climate knowledge brokers  
2.	GSI scientists to ensure gender integration in policy design  
3.	Social scientists specialized in policy analysis and governance  
4.	Subject matter experts (FLW systems) for technical guidance  
5.	Engagement facilitator to facilitate policy dialogue and engagement  
Physical Capital (PC):  
1.	Presence in countries, local context.  
Social Capital (SC)  
1.	Relationships with regional, national, local government.  
2.	Links to private sector actors.  
3.	Relationship with non-state actors (NGOs, CBOs, CSOs, etc.)  
4.	Long-term relationships with local universities, NARS, think tanks  
5.	Established relationships with influential academics and experts  
6.	Established relationships with reputable personalities with substantial institutional connections.  
Incentives (I)  
1.	Incentives for CGIAR: public good through greater influence on policy for impact, influence and capacity development to support the mission  
2.	Incentives for funder: value for money, increased impact  
3.	Incentive for government: political influence and visibility. Implementation of good policy.  
4.	Incentives for local universities, NARS, and think tanks: visibility and influence. Delivery of mission  
5.	Incentives for private sectors: positive business environment  
6.	Incentives for non-state actors: visibility and influence. Delivery of mandate.  	HC: Across the CGIAR all areas are strongly covered  
STRONG  
PC: Present in most countries, but not all HC areas present.  
MODERATELY STRONG  
SC: 1, 3, 4 available through host country arrangements; 2, 5, 6 dependent on CG individuals and their networks.  
STRONG  
I: Incentives for CGIAR - greater influence on policy for impact  
STRONG 
  	Demand partners (DPs):  
●	Governments (regional, national, local, parastatals)  
●	Funders (World Bank, AfDB, ADB, IDB, Philanthropic Foundation, AID Agencies)  
●	Private sector (associations, FPs, value chain actors)  
●	Non-state actors (CSOs, CBOs, NGOs)  
Innovation Partners (IPs):  
●	Internal CGIAR  
●	Governments (regional, national, local, service delivery parastatals)  
●	Universities, NARS, think tanks  
●	Non-state actors (CSOs)  
●	Private sector  
Scaling partners (SPs):  
●	Governments (regional, national, local, service delivery parastatals)  
●	Funders (World Bank, AfDB, ADB, IDB, Philanthropic Foundation, AID Agencies)  
●	Non-state actors (CSOs)  
●	Private sector  	Current: 
Private Sector:  
HC: Limited, some applied technical expertise available.  
WEAK 
PC: Presence in country and context  
STRONG 
SC: All available to partially available  
MODERATELY STRONG 
I: Incentives for private sectors: greater stake in policy as key actor affected by policy environment  
STRONG 
Governments:  
HC: 1, 2, 3, available but with lower capacity; 4 can be available, 5 rarely available.  
MODERATELY STRONG 
PC: 1 is available  
STRONG 
SC: 1-6 are available but goodwill sometimes compromised by mis-aligned political interests  
MODERATELY STRONG 
I: Incentive for government: political influence and visibility  
STRONG 
Universities, NARS, think tanks  
HC: 1-5 available, 6 partially available  
STRONG 
PC: 1 is available  
STRONG 
SC: 1, 4, 5 available, 2, 3, 6 partially available  
MODERATELY STRONG 
I: Incentives for local universities, NARS, and think tanks: visibility and influence  
STRONG 
Funders  
HC: 1-4 available but sometimes not specialized, 5 partially available  
WEAK 
PC: 1 is available but remotely engaged  
MODERATELY STRONG 
SC: 1, 3, 4, 5, 6 available, 2 partially available  
STRONG 
I: Incentives for Donors: value for money, increased impact  
STRONG 
Non-state actors  
HC: 1-5 could be available but usually at low level of expertise  
WEAK 
PC: 1 is available  
STRONG 
SC: 1, 2, 3 and 6 available; 4 and 6 partially available, 5 hardly available  
MODERATELY STRONG 
I: Incentives for non-state actors: visibility and influence.  
STRONG  
  	CGIAR CA: Policy design and engagement processes generally strong and benefit from partnerships with NARs, local universities and think tanks.  
Partnership with private sector actors will also bring the CA of advocacy for positive policy environments, enhancing private sector participation. As the lead policy implementer, partnership with government is paramount, as favorable policies are aligned with government incentives for political influence and visibility. Non-state actors bring the CA of grassroot connections and working relationship with government, which positions them for advocacy and community engagement facilitation role needed in policy process  
</t>
  </si>
  <si>
    <t xml:space="preserve">HC: Across the CGIAR all areas are strongly covered  
STRONG  
PC: Present in most countries, but not all HC areas present.  
MODERATELY STRONG  
SC: 1, 3, 4 available through host country arrangements; 2, 5, 6 dependent on CG individuals and their networks.  
STRONG  
I: Incentives for CGIAR - greater influence on policy for impact  
STRONG 
</t>
  </si>
  <si>
    <t>CA produces more climate science to inform policy</t>
  </si>
  <si>
    <t>Climate Analytics</t>
  </si>
  <si>
    <t>Deeper and more granular focus on agriculture and food systems, long-term regional engagement</t>
  </si>
  <si>
    <t>AGNES</t>
  </si>
  <si>
    <t>Provide science to inform AGNES</t>
  </si>
  <si>
    <t>Climate Focus</t>
  </si>
  <si>
    <t>More knowledge of agriculture and food systems, long-term regional engagement</t>
  </si>
  <si>
    <t>Climate Policy Initiative</t>
  </si>
  <si>
    <t>NDC Partnership</t>
  </si>
  <si>
    <t>World Resources Institute</t>
  </si>
  <si>
    <t xml:space="preserve">Global </t>
  </si>
  <si>
    <t>GIZ</t>
  </si>
  <si>
    <t>Partner with GIZ to provide deep climate and agriculture expertise</t>
  </si>
  <si>
    <t>CSA-MSP Kenya</t>
  </si>
  <si>
    <t>We have co-designed the training module with the MSP and we plan to scaling it up together</t>
  </si>
  <si>
    <t>UNDP</t>
  </si>
  <si>
    <t>More knowledge of agriculture and food systems, long-term regional engagement.  Wider set of private and public sector partners.</t>
  </si>
  <si>
    <t xml:space="preserve">5.2 Analytical tools and frameworks that enhance access to climate finance   </t>
  </si>
  <si>
    <t xml:space="preserve">Human Capital (HC):  
1.	Transdisciplinary scientists bringing systems solutions  
2.	Social scientists to focus on adoption and scaling process, inclusiveness: economic drivers, gender  
3.	Data analysts: Biometrician, climate and systems modelers  
4.	Skills and knowledge  
Biophysical Capital (BC):  
2.	Infrastructure, instruments to measure food, land and water systems.  
3.	Secure data storage and computing facilities  
4.	Access to global data and modeling outputs  
5.	Presence on the ground  
Social Capital (SC)  
1.	Relevant partnerships and networks to co-design and implement  
2.	Long-term relationships and commitment with national R4D organizations to achieve impact  
3.	Long-term scientific links to newest discoveries and adaptive research  
Incentives (I):  
1.	Incentives for NARS: Increased capacity, international scientific links, enhanced delivery of mandates.  
2.	CGIAR: creation and publication of IPGs, stakeholder impact, delivery of mandate.  
4.	CBOs and INGOs: access to innovations and technical assistance, new business models, delivery of mission.  
</t>
  </si>
  <si>
    <t xml:space="preserve">HC:  
4: Knowledge hubs for innovations, science, data, methods  
STRONG  
BC:  
2-5: All CGIAR centers  
cover target regions and have varying country presence.  
MODERATELY STRONG  
SC:  
1: Strong partnerships and networks with NARS and community-based (CBOs), farmer organizations (FOs).  
2: Long-term relationships and commitment with national R4D organizations through physical presence  
3: 
MODERATELY STRONG  
I:  
●	Publication of IPGs 
●	Proof of impact for developed and scaled innovations 
●	Opportunity to address very diverse challenges 
●	Developing partner capacity &amp; strong collaborations 
STRONG  
</t>
  </si>
  <si>
    <t>World Bank</t>
  </si>
  <si>
    <t xml:space="preserve">Regionally specific climate and agriculture information </t>
  </si>
  <si>
    <t>IFAD</t>
  </si>
  <si>
    <t>We have submitted 1 concept note for Benin and Nigeria and will be submitting another in Egypt</t>
  </si>
  <si>
    <t>Global Environment Facility</t>
  </si>
  <si>
    <t>Scientific evidence and research</t>
  </si>
  <si>
    <t>Asian, African and Inter-American Development Bank</t>
  </si>
  <si>
    <t>Africa Climate Foundation</t>
  </si>
  <si>
    <t>Partner to support research on agriculture and food systems, long-term regional engagement</t>
  </si>
  <si>
    <t>5.3 Innovative finance models that increase private sector engagement in climate resilience and low emissions development projects</t>
  </si>
  <si>
    <t>We have more knowledge on agriculture.</t>
  </si>
  <si>
    <t>Recognize comparative advantage of multilaterals and private sector to do their own finance models</t>
  </si>
  <si>
    <t>World Business Council on Sustainable Development</t>
  </si>
  <si>
    <t>Rabobank</t>
  </si>
  <si>
    <t>Climate science to inform finance</t>
  </si>
  <si>
    <t>Important potential partner</t>
  </si>
  <si>
    <t>Global Dairy Platform</t>
  </si>
  <si>
    <t>Regional presence, breadth of research capacity</t>
  </si>
  <si>
    <t>5.4 Methodologies and evidence to operationalize the Loss and Damage Fund</t>
  </si>
  <si>
    <t>Engagement with AGNES and UNFCCC can support science and policy interface for impact</t>
  </si>
  <si>
    <t>Partner to provide scientific evidence</t>
  </si>
  <si>
    <t>UNFCCC</t>
  </si>
  <si>
    <t>Research and scientific evidence</t>
  </si>
  <si>
    <t>UNHCR</t>
  </si>
  <si>
    <t>We co-design approaches that UNHCR uses for advocacy purposes in international fora and to inform their strategies</t>
  </si>
  <si>
    <t>5.5 Proven and scalable frameworks for carbon markets that enhance participation and benefit-sharing for smallholders</t>
  </si>
  <si>
    <t xml:space="preserve">Human Capital (HC):  
1.	Transdisciplinary scientists bringing systems solutions  
2.	Social scientists to focus on adoption and scaling process, inclusiveness: economic drivers, gender  
3.	Data analysts: Biometrician, climate and systems modelers  
4.	Skills and knowledge  
Biophysical Capital (BC):  
2.	Infrastructure, instruments to measure food, land and water systems.  
3.	Secure data storage and computing facilities  
4.	Access to global data and modeling outputs  
5.	Presence on the ground  
Social Capital (SC)  
1.	Relevant partnerships and networks to co-design and implement  
2.	Long-term relationships and commitment with national R4D organizations to achieve impact  
3.	Long-term scientific links to newest discoveries and adaptive research  
Incentives (I):  
1.	Incentives for NARS: Increased capacity, international scientific links, enhanced delivery of mandates.  
2.	CGIAR: creation and publication of IPGs, stakeholder impact, delivery of mandate.  
4.	CBOs and INGOs: access to innovations and technical assistance, new business models, delivery of mission.  
  </t>
  </si>
  <si>
    <t>World Resources Inst</t>
  </si>
  <si>
    <t>Unique Forestry and Land Use</t>
  </si>
  <si>
    <t>CA produces more climate science and agronomy to inform policy.  Breadth of field experience</t>
  </si>
  <si>
    <t>We specialize in agriculture.</t>
  </si>
  <si>
    <t>Verra</t>
  </si>
  <si>
    <t>Research and evidence to inform policy</t>
  </si>
  <si>
    <t>Key potential partner</t>
  </si>
  <si>
    <t>GSD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</si>
</sst>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0"/>
      <color rgb="FFFFFFFF"/>
      <name val="Aptos"/>
      <family val="2"/>
    </font>
    <font>
      <i/>
      <sz val="11"/>
      <color theme="1"/>
      <name val="Aptos"/>
      <family val="2"/>
    </font>
    <font>
      <b/>
      <sz val="11"/>
      <color theme="1"/>
      <name val="Aptos Narrow"/>
      <family val="2"/>
      <scheme val="minor"/>
    </font>
    <font>
      <sz val="12"/>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sz val="11"/>
      <color rgb="FF000000"/>
      <name val="Aptos Narrow"/>
      <family val="2"/>
      <scheme val="minor"/>
    </font>
    <font>
      <i/>
      <sz val="11"/>
      <color rgb="FF000000"/>
      <name val="Aptos Narrow"/>
      <family val="2"/>
      <scheme val="minor"/>
    </font>
    <font>
      <b/>
      <sz val="11"/>
      <color rgb="FF000000"/>
      <name val="Aptos Narrow"/>
      <family val="2"/>
      <scheme val="minor"/>
    </font>
    <font>
      <i/>
      <sz val="11"/>
      <color theme="1"/>
      <name val="Aptos Narrow"/>
      <family val="2"/>
      <scheme val="minor"/>
    </font>
    <font>
      <i/>
      <sz val="11"/>
      <color rgb="FF000000"/>
      <name val="Aptos"/>
      <family val="2"/>
    </font>
  </fonts>
  <fills count="8">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14999847407452621"/>
        <bgColor indexed="64"/>
      </patternFill>
    </fill>
  </fills>
  <borders count="58">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indexed="64"/>
      </right>
      <top style="medium">
        <color rgb="FF000000"/>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top/>
      <bottom style="thin">
        <color rgb="FF000000"/>
      </bottom>
      <diagonal/>
    </border>
    <border>
      <left/>
      <right/>
      <top/>
      <bottom style="medium">
        <color indexed="64"/>
      </bottom>
      <diagonal/>
    </border>
    <border>
      <left style="medium">
        <color indexed="64"/>
      </left>
      <right/>
      <top style="medium">
        <color rgb="FF000000"/>
      </top>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indexed="64"/>
      </left>
      <right/>
      <top/>
      <bottom style="medium">
        <color rgb="FF000000"/>
      </bottom>
      <diagonal/>
    </border>
    <border>
      <left style="thin">
        <color rgb="FF000000"/>
      </left>
      <right style="thin">
        <color rgb="FF000000"/>
      </right>
      <top style="thin">
        <color rgb="FF000000"/>
      </top>
      <bottom style="medium">
        <color rgb="FF000000"/>
      </bottom>
      <diagonal/>
    </border>
    <border>
      <left/>
      <right/>
      <top style="medium">
        <color indexed="64"/>
      </top>
      <bottom style="medium">
        <color rgb="FF000000"/>
      </bottom>
      <diagonal/>
    </border>
    <border>
      <left style="medium">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right style="medium">
        <color rgb="FF000000"/>
      </right>
      <top/>
      <bottom style="thin">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s>
  <cellStyleXfs count="1">
    <xf numFmtId="0" fontId="0" fillId="0" borderId="0"/>
  </cellStyleXfs>
  <cellXfs count="118">
    <xf numFmtId="0" fontId="0" fillId="0" borderId="0" xfId="0"/>
    <xf numFmtId="0" fontId="0" fillId="0" borderId="0" xfId="0" applyAlignment="1">
      <alignment horizontal="left"/>
    </xf>
    <xf numFmtId="0" fontId="0" fillId="3" borderId="0" xfId="0" applyFill="1" applyAlignment="1">
      <alignment wrapText="1"/>
    </xf>
    <xf numFmtId="0" fontId="0" fillId="3" borderId="0" xfId="0" applyFill="1"/>
    <xf numFmtId="0" fontId="5" fillId="3" borderId="0" xfId="0" applyFont="1" applyFill="1" applyAlignment="1">
      <alignment wrapText="1"/>
    </xf>
    <xf numFmtId="0" fontId="4" fillId="3" borderId="0" xfId="0" applyFont="1" applyFill="1"/>
    <xf numFmtId="0" fontId="0" fillId="3" borderId="0" xfId="0" applyFill="1" applyAlignment="1">
      <alignment vertical="center" wrapText="1"/>
    </xf>
    <xf numFmtId="0" fontId="0" fillId="0" borderId="3" xfId="0" applyBorder="1"/>
    <xf numFmtId="0" fontId="0" fillId="0" borderId="6" xfId="0" applyBorder="1"/>
    <xf numFmtId="0" fontId="0" fillId="0" borderId="7" xfId="0" applyBorder="1"/>
    <xf numFmtId="0" fontId="0" fillId="0" borderId="8" xfId="0" applyBorder="1"/>
    <xf numFmtId="0" fontId="3" fillId="4" borderId="3" xfId="0" applyFont="1" applyFill="1" applyBorder="1"/>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0" fillId="0" borderId="2" xfId="0" applyBorder="1" applyAlignment="1">
      <alignment vertical="top" wrapText="1"/>
    </xf>
    <xf numFmtId="0" fontId="0" fillId="0" borderId="2" xfId="0" applyBorder="1" applyAlignment="1">
      <alignment wrapText="1"/>
    </xf>
    <xf numFmtId="0" fontId="0" fillId="0" borderId="2" xfId="0" applyBorder="1" applyAlignment="1">
      <alignment horizontal="left"/>
    </xf>
    <xf numFmtId="0" fontId="0" fillId="0" borderId="1" xfId="0" applyBorder="1" applyAlignment="1">
      <alignment horizontal="left"/>
    </xf>
    <xf numFmtId="0" fontId="0" fillId="3" borderId="11"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7" fillId="0" borderId="16" xfId="0" applyFont="1" applyBorder="1"/>
    <xf numFmtId="0" fontId="7" fillId="0" borderId="17" xfId="0" applyFont="1" applyBorder="1"/>
    <xf numFmtId="0" fontId="7" fillId="0" borderId="18" xfId="0" applyFont="1" applyBorder="1"/>
    <xf numFmtId="0" fontId="7" fillId="0" borderId="19" xfId="0" applyFont="1" applyBorder="1"/>
    <xf numFmtId="0" fontId="7" fillId="0" borderId="20" xfId="0" applyFont="1" applyBorder="1"/>
    <xf numFmtId="0" fontId="7" fillId="0" borderId="22" xfId="0" applyFont="1" applyBorder="1"/>
    <xf numFmtId="0" fontId="7" fillId="0" borderId="12" xfId="0" applyFont="1" applyBorder="1" applyAlignment="1">
      <alignment horizontal="center" vertical="center"/>
    </xf>
    <xf numFmtId="0" fontId="7" fillId="0" borderId="5" xfId="0" applyFont="1" applyBorder="1" applyAlignment="1">
      <alignment horizontal="center" vertical="center"/>
    </xf>
    <xf numFmtId="0" fontId="7" fillId="0" borderId="21" xfId="0" applyFont="1" applyBorder="1" applyAlignment="1">
      <alignment horizontal="center" vertical="center"/>
    </xf>
    <xf numFmtId="0" fontId="0" fillId="0" borderId="0" xfId="0" applyAlignment="1">
      <alignment horizontal="center" vertical="center"/>
    </xf>
    <xf numFmtId="0" fontId="3" fillId="5" borderId="9" xfId="0" applyFont="1" applyFill="1" applyBorder="1" applyAlignment="1">
      <alignment horizontal="center" vertical="center"/>
    </xf>
    <xf numFmtId="0" fontId="3" fillId="6" borderId="3" xfId="0" applyFont="1" applyFill="1" applyBorder="1" applyAlignment="1">
      <alignment horizontal="center"/>
    </xf>
    <xf numFmtId="0" fontId="0" fillId="0" borderId="8" xfId="0" applyBorder="1" applyAlignment="1">
      <alignment horizontal="left" vertical="center" indent="1"/>
    </xf>
    <xf numFmtId="0" fontId="0" fillId="0" borderId="6" xfId="0" applyBorder="1" applyAlignment="1">
      <alignment horizontal="left" vertical="center" indent="1"/>
    </xf>
    <xf numFmtId="0" fontId="0" fillId="0" borderId="23" xfId="0" applyBorder="1" applyAlignment="1">
      <alignment horizontal="left" vertical="center" indent="1"/>
    </xf>
    <xf numFmtId="0" fontId="8" fillId="3" borderId="0" xfId="0" applyFont="1" applyFill="1" applyAlignment="1">
      <alignment vertical="center" wrapText="1"/>
    </xf>
    <xf numFmtId="0" fontId="8" fillId="3" borderId="0" xfId="0" applyFont="1" applyFill="1" applyAlignment="1">
      <alignment wrapText="1"/>
    </xf>
    <xf numFmtId="0" fontId="0" fillId="0" borderId="0" xfId="0" applyAlignment="1">
      <alignment horizontal="center"/>
    </xf>
    <xf numFmtId="0" fontId="1" fillId="2" borderId="31"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0" fillId="0" borderId="48" xfId="0" applyBorder="1" applyAlignment="1">
      <alignment horizontal="justify" vertical="center" wrapText="1"/>
    </xf>
    <xf numFmtId="0" fontId="11" fillId="0" borderId="48" xfId="0" applyFont="1" applyBorder="1" applyAlignment="1">
      <alignment horizontal="left" vertical="center" wrapText="1"/>
    </xf>
    <xf numFmtId="0" fontId="0" fillId="7" borderId="48" xfId="0" applyFill="1" applyBorder="1" applyAlignment="1">
      <alignment horizontal="justify" vertical="center" wrapText="1"/>
    </xf>
    <xf numFmtId="0" fontId="0" fillId="0" borderId="52" xfId="0" applyBorder="1"/>
    <xf numFmtId="0" fontId="0" fillId="0" borderId="24" xfId="0" applyBorder="1" applyAlignment="1">
      <alignment horizontal="justify" vertical="center" wrapText="1"/>
    </xf>
    <xf numFmtId="0" fontId="11" fillId="0" borderId="24" xfId="0" applyFont="1" applyBorder="1" applyAlignment="1">
      <alignment horizontal="left" vertical="center" wrapText="1"/>
    </xf>
    <xf numFmtId="0" fontId="0" fillId="7" borderId="24" xfId="0" applyFill="1" applyBorder="1" applyAlignment="1">
      <alignment horizontal="justify" vertical="center" wrapText="1"/>
    </xf>
    <xf numFmtId="0" fontId="0" fillId="0" borderId="42" xfId="0" applyBorder="1"/>
    <xf numFmtId="0" fontId="0" fillId="0" borderId="45" xfId="0" applyBorder="1" applyAlignment="1">
      <alignment horizontal="justify" vertical="center" wrapText="1"/>
    </xf>
    <xf numFmtId="0" fontId="11" fillId="0" borderId="45" xfId="0" applyFont="1" applyBorder="1" applyAlignment="1">
      <alignment horizontal="left" vertical="center" wrapText="1"/>
    </xf>
    <xf numFmtId="0" fontId="0" fillId="7" borderId="45" xfId="0" applyFill="1" applyBorder="1" applyAlignment="1">
      <alignment horizontal="justify" vertical="center" wrapText="1"/>
    </xf>
    <xf numFmtId="0" fontId="0" fillId="0" borderId="55" xfId="0" applyBorder="1"/>
    <xf numFmtId="0" fontId="0" fillId="0" borderId="30" xfId="0" applyBorder="1" applyAlignment="1">
      <alignment horizontal="justify" vertical="center" wrapText="1"/>
    </xf>
    <xf numFmtId="0" fontId="11" fillId="0" borderId="30" xfId="0" applyFont="1" applyBorder="1" applyAlignment="1">
      <alignment horizontal="left" vertical="center" wrapText="1"/>
    </xf>
    <xf numFmtId="0" fontId="0" fillId="7" borderId="30" xfId="0" applyFill="1" applyBorder="1" applyAlignment="1">
      <alignment horizontal="justify" vertical="center" wrapText="1"/>
    </xf>
    <xf numFmtId="0" fontId="0" fillId="0" borderId="57" xfId="0" applyBorder="1" applyAlignment="1">
      <alignment wrapText="1"/>
    </xf>
    <xf numFmtId="0" fontId="0" fillId="0" borderId="42" xfId="0" applyBorder="1" applyAlignment="1">
      <alignment horizontal="justify" vertical="center" wrapText="1"/>
    </xf>
    <xf numFmtId="0" fontId="0" fillId="0" borderId="57" xfId="0" applyBorder="1"/>
    <xf numFmtId="0" fontId="0" fillId="0" borderId="24" xfId="0" applyBorder="1" applyAlignment="1">
      <alignment vertical="center" wrapText="1"/>
    </xf>
    <xf numFmtId="0" fontId="0" fillId="0" borderId="30" xfId="0" applyBorder="1"/>
    <xf numFmtId="0" fontId="0" fillId="0" borderId="49" xfId="0" applyBorder="1"/>
    <xf numFmtId="0" fontId="0" fillId="0" borderId="24" xfId="0" applyBorder="1"/>
    <xf numFmtId="0" fontId="0" fillId="0" borderId="34" xfId="0" applyBorder="1"/>
    <xf numFmtId="0" fontId="0" fillId="0" borderId="45" xfId="0" applyBorder="1"/>
    <xf numFmtId="0" fontId="0" fillId="0" borderId="35" xfId="0" applyBorder="1"/>
    <xf numFmtId="0" fontId="0" fillId="0" borderId="30" xfId="0" applyBorder="1" applyAlignment="1">
      <alignment wrapText="1"/>
    </xf>
    <xf numFmtId="0" fontId="0" fillId="0" borderId="24" xfId="0" applyBorder="1" applyAlignment="1">
      <alignment wrapText="1"/>
    </xf>
    <xf numFmtId="0" fontId="0" fillId="0" borderId="39" xfId="0" applyBorder="1"/>
    <xf numFmtId="0" fontId="0" fillId="7" borderId="40" xfId="0" applyFill="1" applyBorder="1" applyAlignment="1">
      <alignment horizontal="justify" vertical="center" wrapText="1"/>
    </xf>
    <xf numFmtId="0" fontId="0" fillId="0" borderId="38" xfId="0" applyBorder="1"/>
    <xf numFmtId="0" fontId="0" fillId="0" borderId="37" xfId="0" applyBorder="1"/>
    <xf numFmtId="0" fontId="0" fillId="7" borderId="10" xfId="0" applyFill="1" applyBorder="1" applyAlignment="1">
      <alignment horizontal="justify" vertical="center" wrapText="1"/>
    </xf>
    <xf numFmtId="0" fontId="0" fillId="0" borderId="32" xfId="0" applyBorder="1"/>
    <xf numFmtId="0" fontId="0" fillId="7" borderId="46" xfId="0" applyFill="1" applyBorder="1" applyAlignment="1">
      <alignment horizontal="justify" vertical="center" wrapText="1"/>
    </xf>
    <xf numFmtId="0" fontId="0" fillId="0" borderId="33" xfId="0" applyBorder="1"/>
    <xf numFmtId="0" fontId="0" fillId="0" borderId="45" xfId="0" applyBorder="1" applyAlignment="1">
      <alignment wrapText="1"/>
    </xf>
    <xf numFmtId="0" fontId="0" fillId="0" borderId="38" xfId="0" applyBorder="1" applyAlignment="1">
      <alignment wrapText="1"/>
    </xf>
    <xf numFmtId="0" fontId="0" fillId="0" borderId="47" xfId="0" applyBorder="1"/>
    <xf numFmtId="0" fontId="0" fillId="0" borderId="32" xfId="0" applyBorder="1" applyAlignment="1">
      <alignment wrapText="1"/>
    </xf>
    <xf numFmtId="0" fontId="0" fillId="0" borderId="36" xfId="0" applyBorder="1"/>
    <xf numFmtId="0" fontId="0" fillId="0" borderId="50" xfId="0" applyBorder="1"/>
    <xf numFmtId="0" fontId="0" fillId="0" borderId="43" xfId="0" applyBorder="1"/>
    <xf numFmtId="0" fontId="3" fillId="0" borderId="0" xfId="0" applyFont="1"/>
    <xf numFmtId="0" fontId="8" fillId="0" borderId="30" xfId="0" applyFont="1" applyBorder="1" applyAlignment="1">
      <alignment horizontal="left" wrapText="1"/>
    </xf>
    <xf numFmtId="0" fontId="8" fillId="0" borderId="30" xfId="0" applyFont="1" applyBorder="1" applyAlignment="1">
      <alignment wrapText="1"/>
    </xf>
    <xf numFmtId="0" fontId="8" fillId="0" borderId="24" xfId="0" applyFont="1" applyBorder="1" applyAlignment="1">
      <alignment horizontal="left" wrapText="1"/>
    </xf>
    <xf numFmtId="0" fontId="8" fillId="0" borderId="24" xfId="0" applyFont="1" applyBorder="1" applyAlignment="1">
      <alignment wrapText="1"/>
    </xf>
    <xf numFmtId="0" fontId="8" fillId="0" borderId="45" xfId="0" applyFont="1" applyBorder="1" applyAlignment="1">
      <alignment horizontal="left" wrapText="1"/>
    </xf>
    <xf numFmtId="0" fontId="8" fillId="0" borderId="45" xfId="0" applyFont="1" applyBorder="1" applyAlignment="1">
      <alignment wrapText="1"/>
    </xf>
    <xf numFmtId="0" fontId="8" fillId="0" borderId="33" xfId="0" applyFont="1" applyBorder="1"/>
    <xf numFmtId="0" fontId="8" fillId="0" borderId="32" xfId="0" applyFont="1" applyBorder="1"/>
    <xf numFmtId="0" fontId="8" fillId="0" borderId="38" xfId="0" applyFont="1" applyBorder="1"/>
    <xf numFmtId="0" fontId="3" fillId="4" borderId="9" xfId="0" applyFont="1" applyFill="1" applyBorder="1" applyAlignment="1">
      <alignment horizontal="center" wrapText="1"/>
    </xf>
    <xf numFmtId="0" fontId="3" fillId="4" borderId="10" xfId="0" applyFont="1" applyFill="1" applyBorder="1" applyAlignment="1">
      <alignment horizontal="center" wrapText="1"/>
    </xf>
    <xf numFmtId="0" fontId="3" fillId="4" borderId="4" xfId="0" applyFont="1" applyFill="1" applyBorder="1" applyAlignment="1">
      <alignment horizontal="center" wrapText="1"/>
    </xf>
    <xf numFmtId="0" fontId="2" fillId="0" borderId="56"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30" xfId="0" applyFont="1" applyBorder="1" applyAlignment="1">
      <alignment horizontal="left" vertical="top" wrapText="1"/>
    </xf>
    <xf numFmtId="0" fontId="2" fillId="0" borderId="24" xfId="0" applyFont="1" applyBorder="1" applyAlignment="1">
      <alignment horizontal="left" vertical="top" wrapText="1"/>
    </xf>
    <xf numFmtId="0" fontId="2" fillId="0" borderId="45" xfId="0" applyFont="1" applyBorder="1" applyAlignment="1">
      <alignment horizontal="left" vertical="top" wrapText="1"/>
    </xf>
    <xf numFmtId="0" fontId="0" fillId="0" borderId="30" xfId="0" applyBorder="1" applyAlignment="1">
      <alignment horizontal="center" vertical="center" wrapText="1"/>
    </xf>
    <xf numFmtId="0" fontId="0" fillId="0" borderId="24" xfId="0" applyBorder="1" applyAlignment="1">
      <alignment horizontal="center" vertical="center" wrapText="1"/>
    </xf>
    <xf numFmtId="0" fontId="0" fillId="0" borderId="45" xfId="0" applyBorder="1" applyAlignment="1">
      <alignment horizontal="center" vertical="center" wrapText="1"/>
    </xf>
    <xf numFmtId="0" fontId="0" fillId="0" borderId="48" xfId="0" applyBorder="1" applyAlignment="1">
      <alignment horizontal="center" vertical="center" wrapText="1"/>
    </xf>
    <xf numFmtId="0" fontId="2" fillId="0" borderId="51" xfId="0" applyFont="1" applyBorder="1" applyAlignment="1">
      <alignment horizontal="center" vertical="center" wrapText="1"/>
    </xf>
    <xf numFmtId="0" fontId="2" fillId="0" borderId="48" xfId="0" applyFont="1" applyBorder="1" applyAlignment="1">
      <alignment horizontal="left" vertical="top"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12" fillId="0" borderId="2" xfId="0" applyFont="1" applyBorder="1" applyAlignment="1">
      <alignment horizontal="left" vertical="top" wrapText="1"/>
    </xf>
    <xf numFmtId="0" fontId="2" fillId="0" borderId="2" xfId="0" applyFont="1" applyBorder="1" applyAlignment="1">
      <alignment horizontal="left" vertical="top" wrapText="1"/>
    </xf>
    <xf numFmtId="0" fontId="2" fillId="0" borderId="27" xfId="0" applyFont="1" applyBorder="1" applyAlignment="1">
      <alignment horizontal="left" vertical="top" wrapText="1"/>
    </xf>
    <xf numFmtId="0" fontId="0" fillId="0" borderId="11" xfId="0" applyBorder="1" applyAlignment="1">
      <alignment horizontal="center" vertical="center" wrapText="1"/>
    </xf>
    <xf numFmtId="0" fontId="0" fillId="0" borderId="44"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zoomScaleNormal="100" workbookViewId="0">
      <selection activeCell="A7" sqref="A7"/>
    </sheetView>
  </sheetViews>
  <sheetFormatPr defaultColWidth="8.7109375" defaultRowHeight="14.45"/>
  <cols>
    <col min="1" max="1" width="159.85546875" style="2" customWidth="1"/>
    <col min="2" max="2" width="159.85546875" style="3" customWidth="1"/>
    <col min="3" max="16384" width="8.7109375" style="3"/>
  </cols>
  <sheetData>
    <row r="1" spans="1:1" ht="15" customHeight="1"/>
    <row r="2" spans="1:1" s="5" customFormat="1" ht="21">
      <c r="A2" s="4" t="s">
        <v>0</v>
      </c>
    </row>
    <row r="4" spans="1:1" ht="47.45" customHeight="1">
      <c r="A4" s="6" t="s">
        <v>1</v>
      </c>
    </row>
    <row r="5" spans="1:1" ht="266.25" customHeight="1">
      <c r="A5" s="37" t="s">
        <v>2</v>
      </c>
    </row>
    <row r="6" spans="1:1" ht="87">
      <c r="A6" s="38" t="s">
        <v>3</v>
      </c>
    </row>
    <row r="7" spans="1:1" ht="144.94999999999999">
      <c r="A7" s="38" t="s">
        <v>4</v>
      </c>
    </row>
    <row r="9" spans="1:1">
      <c r="A9"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topLeftCell="C1" workbookViewId="0">
      <selection activeCell="C3" sqref="C3"/>
    </sheetView>
  </sheetViews>
  <sheetFormatPr defaultColWidth="8.85546875" defaultRowHeight="14.45"/>
  <cols>
    <col min="1" max="1" width="61.85546875" customWidth="1"/>
    <col min="2" max="2" width="2.140625" style="3" customWidth="1"/>
    <col min="3" max="3" width="40.42578125" customWidth="1"/>
    <col min="4" max="4" width="14.42578125" style="31" customWidth="1"/>
    <col min="5" max="5" width="46.7109375" customWidth="1"/>
    <col min="6" max="6" width="2.140625" style="3" customWidth="1"/>
    <col min="7" max="7" width="88.85546875" customWidth="1"/>
  </cols>
  <sheetData>
    <row r="1" spans="1:7" ht="15" thickBot="1">
      <c r="A1" s="32" t="s">
        <v>6</v>
      </c>
      <c r="C1" s="96" t="s">
        <v>7</v>
      </c>
      <c r="D1" s="97"/>
      <c r="E1" s="98"/>
      <c r="G1" s="33" t="s">
        <v>8</v>
      </c>
    </row>
    <row r="2" spans="1:7" ht="16.5" customHeight="1" thickBot="1">
      <c r="A2" s="15" t="s">
        <v>9</v>
      </c>
      <c r="B2" s="19"/>
      <c r="C2" s="12" t="s">
        <v>10</v>
      </c>
      <c r="D2" s="13" t="s">
        <v>11</v>
      </c>
      <c r="E2" s="14" t="s">
        <v>12</v>
      </c>
      <c r="F2" s="21"/>
      <c r="G2" s="34" t="s">
        <v>13</v>
      </c>
    </row>
    <row r="3" spans="1:7">
      <c r="A3" s="16" t="s">
        <v>14</v>
      </c>
      <c r="B3" s="2"/>
      <c r="C3" s="22" t="s">
        <v>15</v>
      </c>
      <c r="D3" s="28">
        <v>378</v>
      </c>
      <c r="E3" s="23" t="s">
        <v>16</v>
      </c>
      <c r="F3" s="2"/>
      <c r="G3" s="35" t="s">
        <v>17</v>
      </c>
    </row>
    <row r="4" spans="1:7">
      <c r="A4" s="17" t="s">
        <v>18</v>
      </c>
      <c r="B4" s="20"/>
      <c r="C4" s="24" t="s">
        <v>19</v>
      </c>
      <c r="D4" s="29">
        <v>251</v>
      </c>
      <c r="E4" s="25" t="s">
        <v>16</v>
      </c>
      <c r="F4" s="20"/>
      <c r="G4" s="35" t="s">
        <v>20</v>
      </c>
    </row>
    <row r="5" spans="1:7">
      <c r="A5" s="17" t="s">
        <v>21</v>
      </c>
      <c r="B5" s="20"/>
      <c r="C5" s="24" t="s">
        <v>22</v>
      </c>
      <c r="D5" s="29">
        <v>210</v>
      </c>
      <c r="E5" s="25" t="s">
        <v>16</v>
      </c>
      <c r="F5" s="20"/>
      <c r="G5" s="35" t="s">
        <v>23</v>
      </c>
    </row>
    <row r="6" spans="1:7">
      <c r="A6" s="17" t="s">
        <v>24</v>
      </c>
      <c r="B6" s="20"/>
      <c r="C6" s="24" t="s">
        <v>25</v>
      </c>
      <c r="D6" s="29">
        <v>173</v>
      </c>
      <c r="E6" s="25" t="s">
        <v>16</v>
      </c>
      <c r="F6" s="20"/>
      <c r="G6" s="35" t="s">
        <v>26</v>
      </c>
    </row>
    <row r="7" spans="1:7">
      <c r="A7" s="17" t="s">
        <v>27</v>
      </c>
      <c r="B7" s="20"/>
      <c r="C7" s="24" t="s">
        <v>28</v>
      </c>
      <c r="D7" s="29">
        <v>163</v>
      </c>
      <c r="E7" s="25" t="s">
        <v>16</v>
      </c>
      <c r="F7" s="20"/>
      <c r="G7" s="35" t="s">
        <v>29</v>
      </c>
    </row>
    <row r="8" spans="1:7">
      <c r="A8" s="17" t="s">
        <v>30</v>
      </c>
      <c r="B8" s="20"/>
      <c r="C8" s="24" t="s">
        <v>31</v>
      </c>
      <c r="D8" s="29">
        <v>154</v>
      </c>
      <c r="E8" s="25" t="s">
        <v>16</v>
      </c>
      <c r="F8" s="20"/>
      <c r="G8" s="35" t="s">
        <v>32</v>
      </c>
    </row>
    <row r="9" spans="1:7">
      <c r="A9" s="17" t="s">
        <v>33</v>
      </c>
      <c r="B9" s="20"/>
      <c r="C9" s="24" t="s">
        <v>34</v>
      </c>
      <c r="D9" s="29">
        <v>140</v>
      </c>
      <c r="E9" s="25" t="s">
        <v>16</v>
      </c>
      <c r="F9" s="20"/>
      <c r="G9" s="35" t="s">
        <v>35</v>
      </c>
    </row>
    <row r="10" spans="1:7">
      <c r="A10" s="17" t="s">
        <v>36</v>
      </c>
      <c r="B10" s="20"/>
      <c r="C10" s="24" t="s">
        <v>37</v>
      </c>
      <c r="D10" s="29">
        <v>132</v>
      </c>
      <c r="E10" s="25" t="s">
        <v>16</v>
      </c>
      <c r="F10" s="20"/>
      <c r="G10" s="35" t="s">
        <v>38</v>
      </c>
    </row>
    <row r="11" spans="1:7">
      <c r="A11" s="17" t="s">
        <v>39</v>
      </c>
      <c r="B11" s="20"/>
      <c r="C11" s="24" t="s">
        <v>40</v>
      </c>
      <c r="D11" s="29">
        <v>124</v>
      </c>
      <c r="E11" s="25" t="s">
        <v>16</v>
      </c>
      <c r="F11" s="20"/>
      <c r="G11" s="35" t="s">
        <v>41</v>
      </c>
    </row>
    <row r="12" spans="1:7">
      <c r="A12" s="17" t="s">
        <v>42</v>
      </c>
      <c r="B12" s="20"/>
      <c r="C12" s="24" t="s">
        <v>43</v>
      </c>
      <c r="D12" s="29">
        <v>104</v>
      </c>
      <c r="E12" s="25" t="s">
        <v>16</v>
      </c>
      <c r="F12" s="20"/>
      <c r="G12" s="35" t="s">
        <v>44</v>
      </c>
    </row>
    <row r="13" spans="1:7">
      <c r="A13" s="17" t="s">
        <v>45</v>
      </c>
      <c r="B13" s="20"/>
      <c r="C13" s="24" t="s">
        <v>46</v>
      </c>
      <c r="D13" s="29">
        <v>100</v>
      </c>
      <c r="E13" s="25" t="s">
        <v>16</v>
      </c>
      <c r="F13" s="20"/>
      <c r="G13" s="35" t="s">
        <v>47</v>
      </c>
    </row>
    <row r="14" spans="1:7" ht="15" thickBot="1">
      <c r="A14" s="18" t="s">
        <v>48</v>
      </c>
      <c r="B14" s="20"/>
      <c r="C14" s="24" t="s">
        <v>49</v>
      </c>
      <c r="D14" s="29">
        <v>96</v>
      </c>
      <c r="E14" s="25" t="s">
        <v>16</v>
      </c>
      <c r="F14" s="20"/>
      <c r="G14" s="35" t="s">
        <v>50</v>
      </c>
    </row>
    <row r="15" spans="1:7">
      <c r="A15" s="1"/>
      <c r="B15" s="20"/>
      <c r="C15" s="24" t="s">
        <v>51</v>
      </c>
      <c r="D15" s="29">
        <v>93</v>
      </c>
      <c r="E15" s="25" t="s">
        <v>16</v>
      </c>
      <c r="F15" s="20"/>
      <c r="G15" s="35" t="s">
        <v>52</v>
      </c>
    </row>
    <row r="16" spans="1:7" ht="15" thickBot="1">
      <c r="A16" s="1"/>
      <c r="B16" s="20"/>
      <c r="C16" s="24" t="s">
        <v>53</v>
      </c>
      <c r="D16" s="29">
        <v>86</v>
      </c>
      <c r="E16" s="25" t="s">
        <v>16</v>
      </c>
      <c r="F16" s="20"/>
      <c r="G16" s="36" t="s">
        <v>54</v>
      </c>
    </row>
    <row r="17" spans="1:6">
      <c r="A17" s="1"/>
      <c r="B17" s="20"/>
      <c r="C17" s="24" t="s">
        <v>55</v>
      </c>
      <c r="D17" s="29">
        <v>81</v>
      </c>
      <c r="E17" s="25" t="s">
        <v>16</v>
      </c>
      <c r="F17" s="20"/>
    </row>
    <row r="18" spans="1:6">
      <c r="A18" s="1"/>
      <c r="B18" s="20"/>
      <c r="C18" s="24" t="s">
        <v>56</v>
      </c>
      <c r="D18" s="29">
        <v>14</v>
      </c>
      <c r="E18" s="25" t="s">
        <v>57</v>
      </c>
      <c r="F18" s="20"/>
    </row>
    <row r="19" spans="1:6">
      <c r="A19" s="1"/>
      <c r="B19" s="20"/>
      <c r="C19" s="24" t="s">
        <v>58</v>
      </c>
      <c r="D19" s="29">
        <v>12</v>
      </c>
      <c r="E19" s="25" t="s">
        <v>57</v>
      </c>
      <c r="F19" s="20"/>
    </row>
    <row r="20" spans="1:6">
      <c r="A20" s="1"/>
      <c r="B20" s="20"/>
      <c r="C20" s="24" t="s">
        <v>59</v>
      </c>
      <c r="D20" s="29">
        <v>4</v>
      </c>
      <c r="E20" s="25" t="s">
        <v>57</v>
      </c>
      <c r="F20" s="20"/>
    </row>
    <row r="21" spans="1:6">
      <c r="A21" s="1"/>
      <c r="B21" s="20"/>
      <c r="C21" s="24" t="s">
        <v>60</v>
      </c>
      <c r="D21" s="29">
        <v>4</v>
      </c>
      <c r="E21" s="25" t="s">
        <v>57</v>
      </c>
      <c r="F21" s="20"/>
    </row>
    <row r="22" spans="1:6">
      <c r="A22" s="1"/>
      <c r="B22" s="20"/>
      <c r="C22" s="24" t="s">
        <v>61</v>
      </c>
      <c r="D22" s="29">
        <v>3</v>
      </c>
      <c r="E22" s="25" t="s">
        <v>57</v>
      </c>
      <c r="F22" s="20"/>
    </row>
    <row r="23" spans="1:6">
      <c r="A23" s="1"/>
      <c r="B23" s="20"/>
      <c r="C23" s="24" t="s">
        <v>62</v>
      </c>
      <c r="D23" s="29">
        <v>2</v>
      </c>
      <c r="E23" s="25" t="s">
        <v>57</v>
      </c>
      <c r="F23" s="20"/>
    </row>
    <row r="24" spans="1:6">
      <c r="C24" s="24" t="s">
        <v>63</v>
      </c>
      <c r="D24" s="29">
        <v>2</v>
      </c>
      <c r="E24" s="25" t="s">
        <v>57</v>
      </c>
    </row>
    <row r="25" spans="1:6">
      <c r="C25" s="24" t="s">
        <v>64</v>
      </c>
      <c r="D25" s="29">
        <v>2</v>
      </c>
      <c r="E25" s="25" t="s">
        <v>57</v>
      </c>
    </row>
    <row r="26" spans="1:6">
      <c r="C26" s="24" t="s">
        <v>65</v>
      </c>
      <c r="D26" s="29">
        <v>1</v>
      </c>
      <c r="E26" s="25" t="s">
        <v>57</v>
      </c>
    </row>
    <row r="27" spans="1:6">
      <c r="C27" s="24" t="s">
        <v>66</v>
      </c>
      <c r="D27" s="29">
        <v>1</v>
      </c>
      <c r="E27" s="25" t="s">
        <v>57</v>
      </c>
    </row>
    <row r="28" spans="1:6">
      <c r="C28" s="24" t="s">
        <v>67</v>
      </c>
      <c r="D28" s="29">
        <v>1</v>
      </c>
      <c r="E28" s="25" t="s">
        <v>57</v>
      </c>
    </row>
    <row r="29" spans="1:6">
      <c r="C29" s="24" t="s">
        <v>68</v>
      </c>
      <c r="D29" s="29">
        <v>1</v>
      </c>
      <c r="E29" s="25" t="s">
        <v>57</v>
      </c>
    </row>
    <row r="30" spans="1:6">
      <c r="C30" s="24" t="s">
        <v>69</v>
      </c>
      <c r="D30" s="29">
        <v>1</v>
      </c>
      <c r="E30" s="25" t="s">
        <v>57</v>
      </c>
    </row>
    <row r="31" spans="1:6">
      <c r="C31" s="24" t="s">
        <v>70</v>
      </c>
      <c r="D31" s="29">
        <v>1</v>
      </c>
      <c r="E31" s="25" t="s">
        <v>57</v>
      </c>
    </row>
    <row r="32" spans="1:6">
      <c r="C32" s="24" t="s">
        <v>71</v>
      </c>
      <c r="D32" s="29">
        <v>1</v>
      </c>
      <c r="E32" s="25" t="s">
        <v>57</v>
      </c>
    </row>
    <row r="33" spans="3:5">
      <c r="C33" s="24" t="s">
        <v>72</v>
      </c>
      <c r="D33" s="29">
        <v>1</v>
      </c>
      <c r="E33" s="25" t="s">
        <v>57</v>
      </c>
    </row>
    <row r="34" spans="3:5">
      <c r="C34" s="24" t="s">
        <v>73</v>
      </c>
      <c r="D34" s="29">
        <v>1</v>
      </c>
      <c r="E34" s="25" t="s">
        <v>57</v>
      </c>
    </row>
    <row r="35" spans="3:5">
      <c r="C35" s="24" t="s">
        <v>74</v>
      </c>
      <c r="D35" s="29">
        <v>32</v>
      </c>
      <c r="E35" s="25" t="s">
        <v>75</v>
      </c>
    </row>
    <row r="36" spans="3:5">
      <c r="C36" s="24" t="s">
        <v>76</v>
      </c>
      <c r="D36" s="29">
        <v>20</v>
      </c>
      <c r="E36" s="25" t="s">
        <v>75</v>
      </c>
    </row>
    <row r="37" spans="3:5">
      <c r="C37" s="24" t="s">
        <v>77</v>
      </c>
      <c r="D37" s="29">
        <v>17</v>
      </c>
      <c r="E37" s="25" t="s">
        <v>75</v>
      </c>
    </row>
    <row r="38" spans="3:5">
      <c r="C38" s="24" t="s">
        <v>78</v>
      </c>
      <c r="D38" s="29">
        <v>14</v>
      </c>
      <c r="E38" s="25" t="s">
        <v>75</v>
      </c>
    </row>
    <row r="39" spans="3:5">
      <c r="C39" s="24" t="s">
        <v>79</v>
      </c>
      <c r="D39" s="29">
        <v>11</v>
      </c>
      <c r="E39" s="25" t="s">
        <v>75</v>
      </c>
    </row>
    <row r="40" spans="3:5">
      <c r="C40" s="24" t="s">
        <v>80</v>
      </c>
      <c r="D40" s="29">
        <v>11</v>
      </c>
      <c r="E40" s="25" t="s">
        <v>75</v>
      </c>
    </row>
    <row r="41" spans="3:5">
      <c r="C41" s="24" t="s">
        <v>81</v>
      </c>
      <c r="D41" s="29">
        <v>11</v>
      </c>
      <c r="E41" s="25" t="s">
        <v>75</v>
      </c>
    </row>
    <row r="42" spans="3:5">
      <c r="C42" s="24" t="s">
        <v>82</v>
      </c>
      <c r="D42" s="29">
        <v>10</v>
      </c>
      <c r="E42" s="25" t="s">
        <v>75</v>
      </c>
    </row>
    <row r="43" spans="3:5">
      <c r="C43" s="24" t="s">
        <v>83</v>
      </c>
      <c r="D43" s="29">
        <v>9</v>
      </c>
      <c r="E43" s="25" t="s">
        <v>75</v>
      </c>
    </row>
    <row r="44" spans="3:5">
      <c r="C44" s="24" t="s">
        <v>84</v>
      </c>
      <c r="D44" s="29">
        <v>6</v>
      </c>
      <c r="E44" s="25" t="s">
        <v>75</v>
      </c>
    </row>
    <row r="45" spans="3:5">
      <c r="C45" s="24" t="s">
        <v>85</v>
      </c>
      <c r="D45" s="29">
        <v>6</v>
      </c>
      <c r="E45" s="25" t="s">
        <v>75</v>
      </c>
    </row>
    <row r="46" spans="3:5">
      <c r="C46" s="24" t="s">
        <v>86</v>
      </c>
      <c r="D46" s="29">
        <v>4</v>
      </c>
      <c r="E46" s="25" t="s">
        <v>75</v>
      </c>
    </row>
    <row r="47" spans="3:5">
      <c r="C47" s="24" t="s">
        <v>87</v>
      </c>
      <c r="D47" s="29">
        <v>4</v>
      </c>
      <c r="E47" s="25" t="s">
        <v>75</v>
      </c>
    </row>
    <row r="48" spans="3:5">
      <c r="C48" s="24" t="s">
        <v>88</v>
      </c>
      <c r="D48" s="29">
        <v>4</v>
      </c>
      <c r="E48" s="25" t="s">
        <v>75</v>
      </c>
    </row>
    <row r="49" spans="3:5">
      <c r="C49" s="24" t="s">
        <v>89</v>
      </c>
      <c r="D49" s="29">
        <v>3</v>
      </c>
      <c r="E49" s="25" t="s">
        <v>75</v>
      </c>
    </row>
    <row r="50" spans="3:5">
      <c r="C50" s="24" t="s">
        <v>90</v>
      </c>
      <c r="D50" s="29">
        <v>3</v>
      </c>
      <c r="E50" s="25" t="s">
        <v>75</v>
      </c>
    </row>
    <row r="51" spans="3:5">
      <c r="C51" s="24" t="s">
        <v>91</v>
      </c>
      <c r="D51" s="29">
        <v>3</v>
      </c>
      <c r="E51" s="25" t="s">
        <v>75</v>
      </c>
    </row>
    <row r="52" spans="3:5">
      <c r="C52" s="24" t="s">
        <v>92</v>
      </c>
      <c r="D52" s="29">
        <v>3</v>
      </c>
      <c r="E52" s="25" t="s">
        <v>75</v>
      </c>
    </row>
    <row r="53" spans="3:5">
      <c r="C53" s="24" t="s">
        <v>93</v>
      </c>
      <c r="D53" s="29">
        <v>75</v>
      </c>
      <c r="E53" s="25" t="s">
        <v>94</v>
      </c>
    </row>
    <row r="54" spans="3:5">
      <c r="C54" s="24" t="s">
        <v>95</v>
      </c>
      <c r="D54" s="29">
        <v>66</v>
      </c>
      <c r="E54" s="25" t="s">
        <v>94</v>
      </c>
    </row>
    <row r="55" spans="3:5">
      <c r="C55" s="24" t="s">
        <v>96</v>
      </c>
      <c r="D55" s="29">
        <v>58</v>
      </c>
      <c r="E55" s="25" t="s">
        <v>94</v>
      </c>
    </row>
    <row r="56" spans="3:5">
      <c r="C56" s="24" t="s">
        <v>97</v>
      </c>
      <c r="D56" s="29">
        <v>55</v>
      </c>
      <c r="E56" s="25" t="s">
        <v>94</v>
      </c>
    </row>
    <row r="57" spans="3:5">
      <c r="C57" s="24" t="s">
        <v>98</v>
      </c>
      <c r="D57" s="29">
        <v>51</v>
      </c>
      <c r="E57" s="25" t="s">
        <v>94</v>
      </c>
    </row>
    <row r="58" spans="3:5">
      <c r="C58" s="24" t="s">
        <v>99</v>
      </c>
      <c r="D58" s="29">
        <v>48</v>
      </c>
      <c r="E58" s="25" t="s">
        <v>94</v>
      </c>
    </row>
    <row r="59" spans="3:5">
      <c r="C59" s="24" t="s">
        <v>100</v>
      </c>
      <c r="D59" s="29">
        <v>46</v>
      </c>
      <c r="E59" s="25" t="s">
        <v>94</v>
      </c>
    </row>
    <row r="60" spans="3:5">
      <c r="C60" s="24" t="s">
        <v>101</v>
      </c>
      <c r="D60" s="29">
        <v>44</v>
      </c>
      <c r="E60" s="25" t="s">
        <v>94</v>
      </c>
    </row>
    <row r="61" spans="3:5">
      <c r="C61" s="24" t="s">
        <v>102</v>
      </c>
      <c r="D61" s="29">
        <v>44</v>
      </c>
      <c r="E61" s="25" t="s">
        <v>94</v>
      </c>
    </row>
    <row r="62" spans="3:5">
      <c r="C62" s="24" t="s">
        <v>103</v>
      </c>
      <c r="D62" s="29">
        <v>44</v>
      </c>
      <c r="E62" s="25" t="s">
        <v>94</v>
      </c>
    </row>
    <row r="63" spans="3:5">
      <c r="C63" s="24" t="s">
        <v>104</v>
      </c>
      <c r="D63" s="29">
        <v>44</v>
      </c>
      <c r="E63" s="25" t="s">
        <v>94</v>
      </c>
    </row>
    <row r="64" spans="3:5">
      <c r="C64" s="24" t="s">
        <v>105</v>
      </c>
      <c r="D64" s="29">
        <v>43</v>
      </c>
      <c r="E64" s="25" t="s">
        <v>94</v>
      </c>
    </row>
    <row r="65" spans="3:5">
      <c r="C65" s="24" t="s">
        <v>106</v>
      </c>
      <c r="D65" s="29">
        <v>43</v>
      </c>
      <c r="E65" s="25" t="s">
        <v>94</v>
      </c>
    </row>
    <row r="66" spans="3:5">
      <c r="C66" s="24" t="s">
        <v>107</v>
      </c>
      <c r="D66" s="29">
        <v>43</v>
      </c>
      <c r="E66" s="25" t="s">
        <v>94</v>
      </c>
    </row>
    <row r="67" spans="3:5">
      <c r="C67" s="24" t="s">
        <v>19</v>
      </c>
      <c r="D67" s="29">
        <v>251</v>
      </c>
      <c r="E67" s="25" t="s">
        <v>108</v>
      </c>
    </row>
    <row r="68" spans="3:5">
      <c r="C68" s="24" t="s">
        <v>22</v>
      </c>
      <c r="D68" s="29">
        <v>210</v>
      </c>
      <c r="E68" s="25" t="s">
        <v>108</v>
      </c>
    </row>
    <row r="69" spans="3:5">
      <c r="C69" s="24" t="s">
        <v>25</v>
      </c>
      <c r="D69" s="29">
        <v>173</v>
      </c>
      <c r="E69" s="25" t="s">
        <v>108</v>
      </c>
    </row>
    <row r="70" spans="3:5">
      <c r="C70" s="24" t="s">
        <v>28</v>
      </c>
      <c r="D70" s="29">
        <v>163</v>
      </c>
      <c r="E70" s="25" t="s">
        <v>108</v>
      </c>
    </row>
    <row r="71" spans="3:5">
      <c r="C71" s="24" t="s">
        <v>34</v>
      </c>
      <c r="D71" s="29">
        <v>140</v>
      </c>
      <c r="E71" s="25" t="s">
        <v>108</v>
      </c>
    </row>
    <row r="72" spans="3:5">
      <c r="C72" s="24" t="s">
        <v>37</v>
      </c>
      <c r="D72" s="29">
        <v>132</v>
      </c>
      <c r="E72" s="25" t="s">
        <v>108</v>
      </c>
    </row>
    <row r="73" spans="3:5">
      <c r="C73" s="24" t="s">
        <v>43</v>
      </c>
      <c r="D73" s="29">
        <v>104</v>
      </c>
      <c r="E73" s="25" t="s">
        <v>108</v>
      </c>
    </row>
    <row r="74" spans="3:5">
      <c r="C74" s="24" t="s">
        <v>46</v>
      </c>
      <c r="D74" s="29">
        <v>100</v>
      </c>
      <c r="E74" s="25" t="s">
        <v>108</v>
      </c>
    </row>
    <row r="75" spans="3:5">
      <c r="C75" s="24" t="s">
        <v>51</v>
      </c>
      <c r="D75" s="29">
        <v>93</v>
      </c>
      <c r="E75" s="25" t="s">
        <v>108</v>
      </c>
    </row>
    <row r="76" spans="3:5">
      <c r="C76" s="24" t="s">
        <v>53</v>
      </c>
      <c r="D76" s="29">
        <v>86</v>
      </c>
      <c r="E76" s="25" t="s">
        <v>108</v>
      </c>
    </row>
    <row r="77" spans="3:5">
      <c r="C77" s="24" t="s">
        <v>55</v>
      </c>
      <c r="D77" s="29">
        <v>81</v>
      </c>
      <c r="E77" s="25" t="s">
        <v>108</v>
      </c>
    </row>
    <row r="78" spans="3:5">
      <c r="C78" s="24" t="s">
        <v>109</v>
      </c>
      <c r="D78" s="29">
        <v>75</v>
      </c>
      <c r="E78" s="25" t="s">
        <v>108</v>
      </c>
    </row>
    <row r="79" spans="3:5">
      <c r="C79" s="24" t="s">
        <v>110</v>
      </c>
      <c r="D79" s="29">
        <v>71</v>
      </c>
      <c r="E79" s="25" t="s">
        <v>108</v>
      </c>
    </row>
    <row r="80" spans="3:5">
      <c r="C80" s="24" t="s">
        <v>111</v>
      </c>
      <c r="D80" s="29">
        <v>69</v>
      </c>
      <c r="E80" s="25" t="s">
        <v>108</v>
      </c>
    </row>
    <row r="81" spans="3:5">
      <c r="C81" s="24" t="s">
        <v>112</v>
      </c>
      <c r="D81" s="29">
        <v>66</v>
      </c>
      <c r="E81" s="25" t="s">
        <v>108</v>
      </c>
    </row>
    <row r="82" spans="3:5">
      <c r="C82" s="24" t="s">
        <v>113</v>
      </c>
      <c r="D82" s="29">
        <v>3</v>
      </c>
      <c r="E82" s="25" t="s">
        <v>114</v>
      </c>
    </row>
    <row r="83" spans="3:5">
      <c r="C83" s="24" t="s">
        <v>115</v>
      </c>
      <c r="D83" s="29">
        <v>3</v>
      </c>
      <c r="E83" s="25" t="s">
        <v>114</v>
      </c>
    </row>
    <row r="84" spans="3:5">
      <c r="C84" s="24" t="s">
        <v>116</v>
      </c>
      <c r="D84" s="29">
        <v>2</v>
      </c>
      <c r="E84" s="25" t="s">
        <v>114</v>
      </c>
    </row>
    <row r="85" spans="3:5">
      <c r="C85" s="24" t="s">
        <v>117</v>
      </c>
      <c r="D85" s="29">
        <v>2</v>
      </c>
      <c r="E85" s="25" t="s">
        <v>114</v>
      </c>
    </row>
    <row r="86" spans="3:5">
      <c r="C86" s="24" t="s">
        <v>118</v>
      </c>
      <c r="D86" s="29">
        <v>2</v>
      </c>
      <c r="E86" s="25" t="s">
        <v>114</v>
      </c>
    </row>
    <row r="87" spans="3:5">
      <c r="C87" s="24" t="s">
        <v>119</v>
      </c>
      <c r="D87" s="29">
        <v>1</v>
      </c>
      <c r="E87" s="25" t="s">
        <v>114</v>
      </c>
    </row>
    <row r="88" spans="3:5">
      <c r="C88" s="24" t="s">
        <v>120</v>
      </c>
      <c r="D88" s="29">
        <v>1</v>
      </c>
      <c r="E88" s="25" t="s">
        <v>114</v>
      </c>
    </row>
    <row r="89" spans="3:5">
      <c r="C89" s="24" t="s">
        <v>121</v>
      </c>
      <c r="D89" s="29">
        <v>1</v>
      </c>
      <c r="E89" s="25" t="s">
        <v>114</v>
      </c>
    </row>
    <row r="90" spans="3:5">
      <c r="C90" s="24" t="s">
        <v>122</v>
      </c>
      <c r="D90" s="29">
        <v>1</v>
      </c>
      <c r="E90" s="25" t="s">
        <v>114</v>
      </c>
    </row>
    <row r="91" spans="3:5">
      <c r="C91" s="24" t="s">
        <v>123</v>
      </c>
      <c r="D91" s="29">
        <v>1</v>
      </c>
      <c r="E91" s="25" t="s">
        <v>114</v>
      </c>
    </row>
    <row r="92" spans="3:5">
      <c r="C92" s="24" t="s">
        <v>124</v>
      </c>
      <c r="D92" s="29">
        <v>1</v>
      </c>
      <c r="E92" s="25" t="s">
        <v>114</v>
      </c>
    </row>
    <row r="93" spans="3:5">
      <c r="C93" s="24" t="s">
        <v>125</v>
      </c>
      <c r="D93" s="29">
        <v>25</v>
      </c>
      <c r="E93" s="25" t="s">
        <v>126</v>
      </c>
    </row>
    <row r="94" spans="3:5">
      <c r="C94" s="24" t="s">
        <v>127</v>
      </c>
      <c r="D94" s="29">
        <v>23</v>
      </c>
      <c r="E94" s="25" t="s">
        <v>126</v>
      </c>
    </row>
    <row r="95" spans="3:5">
      <c r="C95" s="24" t="s">
        <v>128</v>
      </c>
      <c r="D95" s="29">
        <v>20</v>
      </c>
      <c r="E95" s="25" t="s">
        <v>126</v>
      </c>
    </row>
    <row r="96" spans="3:5">
      <c r="C96" s="24" t="s">
        <v>129</v>
      </c>
      <c r="D96" s="29">
        <v>19</v>
      </c>
      <c r="E96" s="25" t="s">
        <v>126</v>
      </c>
    </row>
    <row r="97" spans="3:5">
      <c r="C97" s="24" t="s">
        <v>130</v>
      </c>
      <c r="D97" s="29">
        <v>14</v>
      </c>
      <c r="E97" s="25" t="s">
        <v>126</v>
      </c>
    </row>
    <row r="98" spans="3:5">
      <c r="C98" s="24" t="s">
        <v>131</v>
      </c>
      <c r="D98" s="29">
        <v>13</v>
      </c>
      <c r="E98" s="25" t="s">
        <v>126</v>
      </c>
    </row>
    <row r="99" spans="3:5">
      <c r="C99" s="24" t="s">
        <v>132</v>
      </c>
      <c r="D99" s="29">
        <v>12</v>
      </c>
      <c r="E99" s="25" t="s">
        <v>126</v>
      </c>
    </row>
    <row r="100" spans="3:5">
      <c r="C100" s="24" t="s">
        <v>133</v>
      </c>
      <c r="D100" s="29">
        <v>12</v>
      </c>
      <c r="E100" s="25" t="s">
        <v>126</v>
      </c>
    </row>
    <row r="101" spans="3:5">
      <c r="C101" s="24" t="s">
        <v>134</v>
      </c>
      <c r="D101" s="29">
        <v>12</v>
      </c>
      <c r="E101" s="25" t="s">
        <v>126</v>
      </c>
    </row>
    <row r="102" spans="3:5">
      <c r="C102" s="24" t="s">
        <v>135</v>
      </c>
      <c r="D102" s="29">
        <v>11</v>
      </c>
      <c r="E102" s="25" t="s">
        <v>126</v>
      </c>
    </row>
    <row r="103" spans="3:5">
      <c r="C103" s="24" t="s">
        <v>136</v>
      </c>
      <c r="D103" s="29">
        <v>11</v>
      </c>
      <c r="E103" s="25" t="s">
        <v>126</v>
      </c>
    </row>
    <row r="104" spans="3:5">
      <c r="C104" s="24" t="s">
        <v>137</v>
      </c>
      <c r="D104" s="29">
        <v>10</v>
      </c>
      <c r="E104" s="25" t="s">
        <v>126</v>
      </c>
    </row>
    <row r="105" spans="3:5">
      <c r="C105" s="24" t="s">
        <v>138</v>
      </c>
      <c r="D105" s="29">
        <v>9</v>
      </c>
      <c r="E105" s="25" t="s">
        <v>126</v>
      </c>
    </row>
    <row r="106" spans="3:5">
      <c r="C106" s="24" t="s">
        <v>139</v>
      </c>
      <c r="D106" s="29">
        <v>9</v>
      </c>
      <c r="E106" s="25" t="s">
        <v>126</v>
      </c>
    </row>
    <row r="107" spans="3:5">
      <c r="C107" s="24" t="s">
        <v>140</v>
      </c>
      <c r="D107" s="29">
        <v>9</v>
      </c>
      <c r="E107" s="25" t="s">
        <v>126</v>
      </c>
    </row>
    <row r="108" spans="3:5">
      <c r="C108" s="24" t="s">
        <v>141</v>
      </c>
      <c r="D108" s="29">
        <v>9</v>
      </c>
      <c r="E108" s="25" t="s">
        <v>126</v>
      </c>
    </row>
    <row r="109" spans="3:5">
      <c r="C109" s="24" t="s">
        <v>142</v>
      </c>
      <c r="D109" s="29">
        <v>52</v>
      </c>
      <c r="E109" s="25" t="s">
        <v>143</v>
      </c>
    </row>
    <row r="110" spans="3:5">
      <c r="C110" s="24" t="s">
        <v>144</v>
      </c>
      <c r="D110" s="29">
        <v>19</v>
      </c>
      <c r="E110" s="25" t="s">
        <v>143</v>
      </c>
    </row>
    <row r="111" spans="3:5">
      <c r="C111" s="24" t="s">
        <v>145</v>
      </c>
      <c r="D111" s="29">
        <v>19</v>
      </c>
      <c r="E111" s="25" t="s">
        <v>143</v>
      </c>
    </row>
    <row r="112" spans="3:5">
      <c r="C112" s="24" t="s">
        <v>146</v>
      </c>
      <c r="D112" s="29">
        <v>18</v>
      </c>
      <c r="E112" s="25" t="s">
        <v>143</v>
      </c>
    </row>
    <row r="113" spans="3:5">
      <c r="C113" s="24" t="s">
        <v>147</v>
      </c>
      <c r="D113" s="29">
        <v>17</v>
      </c>
      <c r="E113" s="25" t="s">
        <v>143</v>
      </c>
    </row>
    <row r="114" spans="3:5">
      <c r="C114" s="24" t="s">
        <v>148</v>
      </c>
      <c r="D114" s="29">
        <v>15</v>
      </c>
      <c r="E114" s="25" t="s">
        <v>143</v>
      </c>
    </row>
    <row r="115" spans="3:5">
      <c r="C115" s="24" t="s">
        <v>149</v>
      </c>
      <c r="D115" s="29">
        <v>12</v>
      </c>
      <c r="E115" s="25" t="s">
        <v>143</v>
      </c>
    </row>
    <row r="116" spans="3:5">
      <c r="C116" s="24" t="s">
        <v>150</v>
      </c>
      <c r="D116" s="29">
        <v>12</v>
      </c>
      <c r="E116" s="25" t="s">
        <v>143</v>
      </c>
    </row>
    <row r="117" spans="3:5">
      <c r="C117" s="24" t="s">
        <v>151</v>
      </c>
      <c r="D117" s="29">
        <v>11</v>
      </c>
      <c r="E117" s="25" t="s">
        <v>143</v>
      </c>
    </row>
    <row r="118" spans="3:5">
      <c r="C118" s="24" t="s">
        <v>152</v>
      </c>
      <c r="D118" s="29">
        <v>10</v>
      </c>
      <c r="E118" s="25" t="s">
        <v>143</v>
      </c>
    </row>
    <row r="119" spans="3:5">
      <c r="C119" s="24" t="s">
        <v>153</v>
      </c>
      <c r="D119" s="29">
        <v>8</v>
      </c>
      <c r="E119" s="25" t="s">
        <v>143</v>
      </c>
    </row>
    <row r="120" spans="3:5">
      <c r="C120" s="24" t="s">
        <v>154</v>
      </c>
      <c r="D120" s="29">
        <v>8</v>
      </c>
      <c r="E120" s="25" t="s">
        <v>143</v>
      </c>
    </row>
    <row r="121" spans="3:5">
      <c r="C121" s="24" t="s">
        <v>155</v>
      </c>
      <c r="D121" s="29">
        <v>8</v>
      </c>
      <c r="E121" s="25" t="s">
        <v>143</v>
      </c>
    </row>
    <row r="122" spans="3:5">
      <c r="C122" s="24" t="s">
        <v>156</v>
      </c>
      <c r="D122" s="29">
        <v>7</v>
      </c>
      <c r="E122" s="25" t="s">
        <v>143</v>
      </c>
    </row>
    <row r="123" spans="3:5">
      <c r="C123" s="24" t="s">
        <v>157</v>
      </c>
      <c r="D123" s="29">
        <v>7</v>
      </c>
      <c r="E123" s="25" t="s">
        <v>143</v>
      </c>
    </row>
    <row r="124" spans="3:5">
      <c r="C124" s="24" t="s">
        <v>158</v>
      </c>
      <c r="D124" s="29">
        <v>7</v>
      </c>
      <c r="E124" s="25" t="s">
        <v>143</v>
      </c>
    </row>
    <row r="125" spans="3:5">
      <c r="C125" s="24" t="s">
        <v>159</v>
      </c>
      <c r="D125" s="29">
        <v>195</v>
      </c>
      <c r="E125" s="25" t="s">
        <v>160</v>
      </c>
    </row>
    <row r="126" spans="3:5">
      <c r="C126" s="24" t="s">
        <v>161</v>
      </c>
      <c r="D126" s="29">
        <v>112</v>
      </c>
      <c r="E126" s="25" t="s">
        <v>160</v>
      </c>
    </row>
    <row r="127" spans="3:5">
      <c r="C127" s="24" t="s">
        <v>162</v>
      </c>
      <c r="D127" s="29">
        <v>20</v>
      </c>
      <c r="E127" s="25" t="s">
        <v>160</v>
      </c>
    </row>
    <row r="128" spans="3:5">
      <c r="C128" s="24" t="s">
        <v>163</v>
      </c>
      <c r="D128" s="29">
        <v>20</v>
      </c>
      <c r="E128" s="25" t="s">
        <v>160</v>
      </c>
    </row>
    <row r="129" spans="3:5">
      <c r="C129" s="24" t="s">
        <v>164</v>
      </c>
      <c r="D129" s="29">
        <v>19</v>
      </c>
      <c r="E129" s="25" t="s">
        <v>160</v>
      </c>
    </row>
    <row r="130" spans="3:5">
      <c r="C130" s="24" t="s">
        <v>165</v>
      </c>
      <c r="D130" s="29">
        <v>19</v>
      </c>
      <c r="E130" s="25" t="s">
        <v>160</v>
      </c>
    </row>
    <row r="131" spans="3:5">
      <c r="C131" s="24" t="s">
        <v>166</v>
      </c>
      <c r="D131" s="29">
        <v>19</v>
      </c>
      <c r="E131" s="25" t="s">
        <v>160</v>
      </c>
    </row>
    <row r="132" spans="3:5">
      <c r="C132" s="24" t="s">
        <v>167</v>
      </c>
      <c r="D132" s="29">
        <v>18</v>
      </c>
      <c r="E132" s="25" t="s">
        <v>160</v>
      </c>
    </row>
    <row r="133" spans="3:5">
      <c r="C133" s="24" t="s">
        <v>168</v>
      </c>
      <c r="D133" s="29">
        <v>17</v>
      </c>
      <c r="E133" s="25" t="s">
        <v>160</v>
      </c>
    </row>
    <row r="134" spans="3:5">
      <c r="C134" s="24" t="s">
        <v>169</v>
      </c>
      <c r="D134" s="29">
        <v>17</v>
      </c>
      <c r="E134" s="25" t="s">
        <v>160</v>
      </c>
    </row>
    <row r="135" spans="3:5">
      <c r="C135" s="24" t="s">
        <v>170</v>
      </c>
      <c r="D135" s="29">
        <v>16</v>
      </c>
      <c r="E135" s="25" t="s">
        <v>160</v>
      </c>
    </row>
    <row r="136" spans="3:5">
      <c r="C136" s="24" t="s">
        <v>171</v>
      </c>
      <c r="D136" s="29">
        <v>16</v>
      </c>
      <c r="E136" s="25" t="s">
        <v>160</v>
      </c>
    </row>
    <row r="137" spans="3:5">
      <c r="C137" s="24" t="s">
        <v>172</v>
      </c>
      <c r="D137" s="29">
        <v>16</v>
      </c>
      <c r="E137" s="25" t="s">
        <v>160</v>
      </c>
    </row>
    <row r="138" spans="3:5">
      <c r="C138" s="24" t="s">
        <v>173</v>
      </c>
      <c r="D138" s="29">
        <v>15</v>
      </c>
      <c r="E138" s="25" t="s">
        <v>160</v>
      </c>
    </row>
    <row r="139" spans="3:5">
      <c r="C139" s="24" t="s">
        <v>174</v>
      </c>
      <c r="D139" s="29">
        <v>14</v>
      </c>
      <c r="E139" s="25" t="s">
        <v>160</v>
      </c>
    </row>
    <row r="140" spans="3:5">
      <c r="C140" s="24" t="s">
        <v>175</v>
      </c>
      <c r="D140" s="29">
        <v>69</v>
      </c>
      <c r="E140" s="25" t="s">
        <v>176</v>
      </c>
    </row>
    <row r="141" spans="3:5">
      <c r="C141" s="24" t="s">
        <v>177</v>
      </c>
      <c r="D141" s="29">
        <v>49</v>
      </c>
      <c r="E141" s="25" t="s">
        <v>176</v>
      </c>
    </row>
    <row r="142" spans="3:5">
      <c r="C142" s="24" t="s">
        <v>178</v>
      </c>
      <c r="D142" s="29">
        <v>35</v>
      </c>
      <c r="E142" s="25" t="s">
        <v>176</v>
      </c>
    </row>
    <row r="143" spans="3:5">
      <c r="C143" s="24" t="s">
        <v>179</v>
      </c>
      <c r="D143" s="29">
        <v>35</v>
      </c>
      <c r="E143" s="25" t="s">
        <v>176</v>
      </c>
    </row>
    <row r="144" spans="3:5">
      <c r="C144" s="24" t="s">
        <v>180</v>
      </c>
      <c r="D144" s="29">
        <v>30</v>
      </c>
      <c r="E144" s="25" t="s">
        <v>176</v>
      </c>
    </row>
    <row r="145" spans="3:5">
      <c r="C145" s="24" t="s">
        <v>181</v>
      </c>
      <c r="D145" s="29">
        <v>29</v>
      </c>
      <c r="E145" s="25" t="s">
        <v>176</v>
      </c>
    </row>
    <row r="146" spans="3:5">
      <c r="C146" s="24" t="s">
        <v>182</v>
      </c>
      <c r="D146" s="29">
        <v>27</v>
      </c>
      <c r="E146" s="25" t="s">
        <v>176</v>
      </c>
    </row>
    <row r="147" spans="3:5">
      <c r="C147" s="24" t="s">
        <v>183</v>
      </c>
      <c r="D147" s="29">
        <v>26</v>
      </c>
      <c r="E147" s="25" t="s">
        <v>176</v>
      </c>
    </row>
    <row r="148" spans="3:5">
      <c r="C148" s="24" t="s">
        <v>184</v>
      </c>
      <c r="D148" s="29">
        <v>24</v>
      </c>
      <c r="E148" s="25" t="s">
        <v>176</v>
      </c>
    </row>
    <row r="149" spans="3:5">
      <c r="C149" s="24" t="s">
        <v>185</v>
      </c>
      <c r="D149" s="29">
        <v>23</v>
      </c>
      <c r="E149" s="25" t="s">
        <v>176</v>
      </c>
    </row>
    <row r="150" spans="3:5">
      <c r="C150" s="24" t="s">
        <v>186</v>
      </c>
      <c r="D150" s="29">
        <v>23</v>
      </c>
      <c r="E150" s="25" t="s">
        <v>176</v>
      </c>
    </row>
    <row r="151" spans="3:5">
      <c r="C151" s="24" t="s">
        <v>187</v>
      </c>
      <c r="D151" s="29">
        <v>22</v>
      </c>
      <c r="E151" s="25" t="s">
        <v>176</v>
      </c>
    </row>
    <row r="152" spans="3:5">
      <c r="C152" s="24" t="s">
        <v>188</v>
      </c>
      <c r="D152" s="29">
        <v>22</v>
      </c>
      <c r="E152" s="25" t="s">
        <v>176</v>
      </c>
    </row>
    <row r="153" spans="3:5">
      <c r="C153" s="24" t="s">
        <v>189</v>
      </c>
      <c r="D153" s="29">
        <v>21</v>
      </c>
      <c r="E153" s="25" t="s">
        <v>176</v>
      </c>
    </row>
    <row r="154" spans="3:5">
      <c r="C154" s="24" t="s">
        <v>190</v>
      </c>
      <c r="D154" s="29">
        <v>20</v>
      </c>
      <c r="E154" s="25" t="s">
        <v>176</v>
      </c>
    </row>
    <row r="155" spans="3:5">
      <c r="C155" s="24" t="s">
        <v>191</v>
      </c>
      <c r="D155" s="29">
        <v>113</v>
      </c>
      <c r="E155" s="25" t="s">
        <v>192</v>
      </c>
    </row>
    <row r="156" spans="3:5">
      <c r="C156" s="24" t="s">
        <v>193</v>
      </c>
      <c r="D156" s="29">
        <v>92</v>
      </c>
      <c r="E156" s="25" t="s">
        <v>192</v>
      </c>
    </row>
    <row r="157" spans="3:5">
      <c r="C157" s="24" t="s">
        <v>194</v>
      </c>
      <c r="D157" s="29">
        <v>80</v>
      </c>
      <c r="E157" s="25" t="s">
        <v>192</v>
      </c>
    </row>
    <row r="158" spans="3:5">
      <c r="C158" s="24" t="s">
        <v>195</v>
      </c>
      <c r="D158" s="29">
        <v>58</v>
      </c>
      <c r="E158" s="25" t="s">
        <v>192</v>
      </c>
    </row>
    <row r="159" spans="3:5">
      <c r="C159" s="24" t="s">
        <v>196</v>
      </c>
      <c r="D159" s="29">
        <v>53</v>
      </c>
      <c r="E159" s="25" t="s">
        <v>192</v>
      </c>
    </row>
    <row r="160" spans="3:5">
      <c r="C160" s="24" t="s">
        <v>197</v>
      </c>
      <c r="D160" s="29">
        <v>51</v>
      </c>
      <c r="E160" s="25" t="s">
        <v>192</v>
      </c>
    </row>
    <row r="161" spans="3:5">
      <c r="C161" s="24" t="s">
        <v>198</v>
      </c>
      <c r="D161" s="29">
        <v>50</v>
      </c>
      <c r="E161" s="25" t="s">
        <v>192</v>
      </c>
    </row>
    <row r="162" spans="3:5">
      <c r="C162" s="24" t="s">
        <v>199</v>
      </c>
      <c r="D162" s="29">
        <v>50</v>
      </c>
      <c r="E162" s="25" t="s">
        <v>192</v>
      </c>
    </row>
    <row r="163" spans="3:5">
      <c r="C163" s="24" t="s">
        <v>200</v>
      </c>
      <c r="D163" s="29">
        <v>49</v>
      </c>
      <c r="E163" s="25" t="s">
        <v>192</v>
      </c>
    </row>
    <row r="164" spans="3:5">
      <c r="C164" s="24" t="s">
        <v>201</v>
      </c>
      <c r="D164" s="29">
        <v>48</v>
      </c>
      <c r="E164" s="25" t="s">
        <v>192</v>
      </c>
    </row>
    <row r="165" spans="3:5">
      <c r="C165" s="24" t="s">
        <v>202</v>
      </c>
      <c r="D165" s="29">
        <v>47</v>
      </c>
      <c r="E165" s="25" t="s">
        <v>192</v>
      </c>
    </row>
    <row r="166" spans="3:5">
      <c r="C166" s="24" t="s">
        <v>203</v>
      </c>
      <c r="D166" s="29">
        <v>45</v>
      </c>
      <c r="E166" s="25" t="s">
        <v>192</v>
      </c>
    </row>
    <row r="167" spans="3:5">
      <c r="C167" s="24" t="s">
        <v>204</v>
      </c>
      <c r="D167" s="29">
        <v>38</v>
      </c>
      <c r="E167" s="25" t="s">
        <v>192</v>
      </c>
    </row>
    <row r="168" spans="3:5">
      <c r="C168" s="24" t="s">
        <v>205</v>
      </c>
      <c r="D168" s="29">
        <v>32</v>
      </c>
      <c r="E168" s="25" t="s">
        <v>192</v>
      </c>
    </row>
    <row r="169" spans="3:5">
      <c r="C169" s="24" t="s">
        <v>206</v>
      </c>
      <c r="D169" s="29">
        <v>32</v>
      </c>
      <c r="E169" s="25" t="s">
        <v>192</v>
      </c>
    </row>
    <row r="170" spans="3:5">
      <c r="C170" s="24" t="s">
        <v>207</v>
      </c>
      <c r="D170" s="29">
        <v>38</v>
      </c>
      <c r="E170" s="25" t="s">
        <v>208</v>
      </c>
    </row>
    <row r="171" spans="3:5">
      <c r="C171" s="24" t="s">
        <v>209</v>
      </c>
      <c r="D171" s="29">
        <v>22</v>
      </c>
      <c r="E171" s="25" t="s">
        <v>208</v>
      </c>
    </row>
    <row r="172" spans="3:5">
      <c r="C172" s="24" t="s">
        <v>210</v>
      </c>
      <c r="D172" s="29">
        <v>9</v>
      </c>
      <c r="E172" s="25" t="s">
        <v>208</v>
      </c>
    </row>
    <row r="173" spans="3:5">
      <c r="C173" s="24" t="s">
        <v>211</v>
      </c>
      <c r="D173" s="29">
        <v>7</v>
      </c>
      <c r="E173" s="25" t="s">
        <v>208</v>
      </c>
    </row>
    <row r="174" spans="3:5">
      <c r="C174" s="24" t="s">
        <v>212</v>
      </c>
      <c r="D174" s="29">
        <v>4</v>
      </c>
      <c r="E174" s="25" t="s">
        <v>208</v>
      </c>
    </row>
    <row r="175" spans="3:5">
      <c r="C175" s="24" t="s">
        <v>213</v>
      </c>
      <c r="D175" s="29">
        <v>4</v>
      </c>
      <c r="E175" s="25" t="s">
        <v>208</v>
      </c>
    </row>
    <row r="176" spans="3:5">
      <c r="C176" s="24" t="s">
        <v>214</v>
      </c>
      <c r="D176" s="29">
        <v>4</v>
      </c>
      <c r="E176" s="25" t="s">
        <v>208</v>
      </c>
    </row>
    <row r="177" spans="3:5">
      <c r="C177" s="24" t="s">
        <v>215</v>
      </c>
      <c r="D177" s="29">
        <v>3</v>
      </c>
      <c r="E177" s="25" t="s">
        <v>208</v>
      </c>
    </row>
    <row r="178" spans="3:5">
      <c r="C178" s="24" t="s">
        <v>216</v>
      </c>
      <c r="D178" s="29">
        <v>2</v>
      </c>
      <c r="E178" s="25" t="s">
        <v>208</v>
      </c>
    </row>
    <row r="179" spans="3:5">
      <c r="C179" s="24" t="s">
        <v>217</v>
      </c>
      <c r="D179" s="29">
        <v>2</v>
      </c>
      <c r="E179" s="25" t="s">
        <v>208</v>
      </c>
    </row>
    <row r="180" spans="3:5">
      <c r="C180" s="24" t="s">
        <v>218</v>
      </c>
      <c r="D180" s="29">
        <v>2</v>
      </c>
      <c r="E180" s="25" t="s">
        <v>208</v>
      </c>
    </row>
    <row r="181" spans="3:5">
      <c r="C181" s="24" t="s">
        <v>219</v>
      </c>
      <c r="D181" s="29">
        <v>2</v>
      </c>
      <c r="E181" s="25" t="s">
        <v>208</v>
      </c>
    </row>
    <row r="182" spans="3:5">
      <c r="C182" s="24" t="s">
        <v>220</v>
      </c>
      <c r="D182" s="29">
        <v>2</v>
      </c>
      <c r="E182" s="25" t="s">
        <v>208</v>
      </c>
    </row>
    <row r="183" spans="3:5">
      <c r="C183" s="24" t="s">
        <v>221</v>
      </c>
      <c r="D183" s="29">
        <v>2</v>
      </c>
      <c r="E183" s="25" t="s">
        <v>208</v>
      </c>
    </row>
    <row r="184" spans="3:5">
      <c r="C184" s="24" t="s">
        <v>222</v>
      </c>
      <c r="D184" s="29">
        <v>2</v>
      </c>
      <c r="E184" s="25" t="s">
        <v>208</v>
      </c>
    </row>
    <row r="185" spans="3:5">
      <c r="C185" s="24" t="s">
        <v>223</v>
      </c>
      <c r="D185" s="29">
        <v>135</v>
      </c>
      <c r="E185" s="25" t="s">
        <v>224</v>
      </c>
    </row>
    <row r="186" spans="3:5">
      <c r="C186" s="24" t="s">
        <v>225</v>
      </c>
      <c r="D186" s="29">
        <v>94</v>
      </c>
      <c r="E186" s="25" t="s">
        <v>224</v>
      </c>
    </row>
    <row r="187" spans="3:5">
      <c r="C187" s="24" t="s">
        <v>226</v>
      </c>
      <c r="D187" s="29">
        <v>74</v>
      </c>
      <c r="E187" s="25" t="s">
        <v>224</v>
      </c>
    </row>
    <row r="188" spans="3:5">
      <c r="C188" s="24" t="s">
        <v>227</v>
      </c>
      <c r="D188" s="29">
        <v>33</v>
      </c>
      <c r="E188" s="25" t="s">
        <v>224</v>
      </c>
    </row>
    <row r="189" spans="3:5">
      <c r="C189" s="24" t="s">
        <v>228</v>
      </c>
      <c r="D189" s="29">
        <v>32</v>
      </c>
      <c r="E189" s="25" t="s">
        <v>224</v>
      </c>
    </row>
    <row r="190" spans="3:5">
      <c r="C190" s="24" t="s">
        <v>229</v>
      </c>
      <c r="D190" s="29">
        <v>15</v>
      </c>
      <c r="E190" s="25" t="s">
        <v>224</v>
      </c>
    </row>
    <row r="191" spans="3:5">
      <c r="C191" s="24" t="s">
        <v>230</v>
      </c>
      <c r="D191" s="29">
        <v>13</v>
      </c>
      <c r="E191" s="25" t="s">
        <v>224</v>
      </c>
    </row>
    <row r="192" spans="3:5">
      <c r="C192" s="24" t="s">
        <v>231</v>
      </c>
      <c r="D192" s="29">
        <v>10</v>
      </c>
      <c r="E192" s="25" t="s">
        <v>224</v>
      </c>
    </row>
    <row r="193" spans="3:5">
      <c r="C193" s="24" t="s">
        <v>232</v>
      </c>
      <c r="D193" s="29">
        <v>9</v>
      </c>
      <c r="E193" s="25" t="s">
        <v>224</v>
      </c>
    </row>
    <row r="194" spans="3:5">
      <c r="C194" s="24" t="s">
        <v>233</v>
      </c>
      <c r="D194" s="29">
        <v>8</v>
      </c>
      <c r="E194" s="25" t="s">
        <v>224</v>
      </c>
    </row>
    <row r="195" spans="3:5">
      <c r="C195" s="24" t="s">
        <v>234</v>
      </c>
      <c r="D195" s="29">
        <v>7</v>
      </c>
      <c r="E195" s="25" t="s">
        <v>224</v>
      </c>
    </row>
    <row r="196" spans="3:5">
      <c r="C196" s="24" t="s">
        <v>235</v>
      </c>
      <c r="D196" s="29">
        <v>7</v>
      </c>
      <c r="E196" s="25" t="s">
        <v>224</v>
      </c>
    </row>
    <row r="197" spans="3:5">
      <c r="C197" s="24" t="s">
        <v>236</v>
      </c>
      <c r="D197" s="29">
        <v>6</v>
      </c>
      <c r="E197" s="25" t="s">
        <v>224</v>
      </c>
    </row>
    <row r="198" spans="3:5">
      <c r="C198" s="24" t="s">
        <v>237</v>
      </c>
      <c r="D198" s="29">
        <v>6</v>
      </c>
      <c r="E198" s="25" t="s">
        <v>224</v>
      </c>
    </row>
    <row r="199" spans="3:5">
      <c r="C199" s="24" t="s">
        <v>238</v>
      </c>
      <c r="D199" s="29">
        <v>5</v>
      </c>
      <c r="E199" s="25" t="s">
        <v>224</v>
      </c>
    </row>
    <row r="200" spans="3:5">
      <c r="C200" s="24" t="s">
        <v>239</v>
      </c>
      <c r="D200" s="29">
        <v>5</v>
      </c>
      <c r="E200" s="25" t="s">
        <v>224</v>
      </c>
    </row>
    <row r="201" spans="3:5" ht="15" thickBot="1">
      <c r="C201" s="26" t="s">
        <v>240</v>
      </c>
      <c r="D201" s="30">
        <v>5</v>
      </c>
      <c r="E201" s="27"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A2" sqref="A2"/>
    </sheetView>
  </sheetViews>
  <sheetFormatPr defaultColWidth="8.85546875" defaultRowHeight="14.45"/>
  <cols>
    <col min="1" max="1" width="49.42578125" customWidth="1"/>
  </cols>
  <sheetData>
    <row r="1" spans="1:1" ht="15" thickBot="1">
      <c r="A1" s="11" t="s">
        <v>241</v>
      </c>
    </row>
    <row r="2" spans="1:1">
      <c r="A2" s="10" t="s">
        <v>242</v>
      </c>
    </row>
    <row r="3" spans="1:1">
      <c r="A3" s="8" t="s">
        <v>243</v>
      </c>
    </row>
    <row r="4" spans="1:1">
      <c r="A4" s="8" t="s">
        <v>244</v>
      </c>
    </row>
    <row r="5" spans="1:1">
      <c r="A5" s="8" t="s">
        <v>245</v>
      </c>
    </row>
    <row r="6" spans="1:1">
      <c r="A6" s="8" t="s">
        <v>246</v>
      </c>
    </row>
    <row r="7" spans="1:1">
      <c r="A7" s="8" t="s">
        <v>247</v>
      </c>
    </row>
    <row r="8" spans="1:1">
      <c r="A8" s="8" t="s">
        <v>248</v>
      </c>
    </row>
    <row r="9" spans="1:1" ht="15" thickBot="1">
      <c r="A9" s="9"/>
    </row>
    <row r="10" spans="1:1" ht="15" thickBot="1">
      <c r="A10" s="7"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sheetPr>
    <tabColor theme="7" tint="0.79998168889431442"/>
  </sheetPr>
  <dimension ref="A1:K372"/>
  <sheetViews>
    <sheetView tabSelected="1" zoomScale="90" zoomScaleNormal="90" workbookViewId="0">
      <pane xSplit="1" ySplit="2" topLeftCell="I210" activePane="bottomRight" state="frozen"/>
      <selection pane="bottomRight" activeCell="K224" sqref="K224"/>
      <selection pane="bottomLeft" activeCell="A2" sqref="A2"/>
      <selection pane="topRight" activeCell="C1" sqref="C1"/>
    </sheetView>
  </sheetViews>
  <sheetFormatPr defaultColWidth="8.85546875" defaultRowHeight="14.45"/>
  <cols>
    <col min="1" max="1" width="33.85546875" customWidth="1"/>
    <col min="2" max="2" width="71.85546875" customWidth="1"/>
    <col min="3" max="3" width="71.42578125" customWidth="1"/>
    <col min="4" max="4" width="31.140625" customWidth="1"/>
    <col min="5" max="5" width="58.7109375" customWidth="1"/>
    <col min="6" max="6" width="41.140625" customWidth="1"/>
    <col min="7" max="7" width="32.42578125" customWidth="1"/>
    <col min="8" max="8" width="44.140625" customWidth="1"/>
    <col min="9" max="9" width="32.42578125" customWidth="1"/>
    <col min="10" max="10" width="70" customWidth="1"/>
    <col min="11" max="11" width="45.42578125" customWidth="1"/>
  </cols>
  <sheetData>
    <row r="1" spans="1:11" ht="15" thickBot="1">
      <c r="A1" s="86" t="s">
        <v>250</v>
      </c>
      <c r="I1" s="39" t="s">
        <v>251</v>
      </c>
    </row>
    <row r="2" spans="1:11" ht="133.5" customHeight="1" thickBot="1">
      <c r="A2" s="41" t="s">
        <v>252</v>
      </c>
      <c r="B2" s="42" t="s">
        <v>253</v>
      </c>
      <c r="C2" s="42" t="s">
        <v>254</v>
      </c>
      <c r="D2" s="42" t="s">
        <v>255</v>
      </c>
      <c r="E2" s="42" t="s">
        <v>256</v>
      </c>
      <c r="F2" s="42" t="s">
        <v>257</v>
      </c>
      <c r="G2" s="42" t="s">
        <v>258</v>
      </c>
      <c r="H2" s="42" t="s">
        <v>259</v>
      </c>
      <c r="I2" s="42" t="s">
        <v>260</v>
      </c>
      <c r="J2" s="43" t="s">
        <v>261</v>
      </c>
      <c r="K2" s="40" t="s">
        <v>262</v>
      </c>
    </row>
    <row r="3" spans="1:11" ht="90.75" customHeight="1">
      <c r="A3" s="109" t="s">
        <v>263</v>
      </c>
      <c r="B3" s="110" t="s">
        <v>264</v>
      </c>
      <c r="C3" s="110" t="s">
        <v>265</v>
      </c>
      <c r="D3" s="108" t="s">
        <v>266</v>
      </c>
      <c r="E3" s="44"/>
      <c r="F3" s="44"/>
      <c r="G3" s="44"/>
      <c r="H3" s="45"/>
      <c r="I3" s="46">
        <f>IF(OR(D3="N", G3="N"), 1, IF(H3="Minimally efficient and impactful", 1, IF(H3="Moderately efficient and impactful", 0.5, IF(H3="Highly efficient and impactful", 0, 0))))</f>
        <v>1</v>
      </c>
      <c r="J3" s="44"/>
      <c r="K3" s="47"/>
    </row>
    <row r="4" spans="1:11">
      <c r="A4" s="100"/>
      <c r="B4" s="103"/>
      <c r="C4" s="103"/>
      <c r="D4" s="106"/>
      <c r="E4" s="48"/>
      <c r="F4" s="48"/>
      <c r="G4" s="48"/>
      <c r="H4" s="49"/>
      <c r="I4" s="50">
        <f t="shared" ref="I4:I67" si="0">IF(OR(D4="N", G4="N"), 1, IF(H4="Minimally efficient and impactful", 1, IF(H4="Moderately efficient and impactful", 0.5, IF(H4="Highly efficient and impactful", 0, 0))))</f>
        <v>0</v>
      </c>
      <c r="J4" s="48"/>
      <c r="K4" s="51"/>
    </row>
    <row r="5" spans="1:11">
      <c r="A5" s="100"/>
      <c r="B5" s="103"/>
      <c r="C5" s="103"/>
      <c r="D5" s="106"/>
      <c r="E5" s="48"/>
      <c r="F5" s="48"/>
      <c r="G5" s="48"/>
      <c r="H5" s="49"/>
      <c r="I5" s="50">
        <f t="shared" si="0"/>
        <v>0</v>
      </c>
      <c r="J5" s="48"/>
      <c r="K5" s="51"/>
    </row>
    <row r="6" spans="1:11">
      <c r="A6" s="100"/>
      <c r="B6" s="103"/>
      <c r="C6" s="103"/>
      <c r="D6" s="106"/>
      <c r="E6" s="48"/>
      <c r="F6" s="48"/>
      <c r="G6" s="48"/>
      <c r="H6" s="49"/>
      <c r="I6" s="50">
        <f t="shared" si="0"/>
        <v>0</v>
      </c>
      <c r="J6" s="48"/>
      <c r="K6" s="51"/>
    </row>
    <row r="7" spans="1:11">
      <c r="A7" s="100"/>
      <c r="B7" s="103"/>
      <c r="C7" s="103"/>
      <c r="D7" s="106"/>
      <c r="E7" s="48"/>
      <c r="F7" s="48"/>
      <c r="G7" s="48"/>
      <c r="H7" s="49"/>
      <c r="I7" s="50">
        <f t="shared" si="0"/>
        <v>0</v>
      </c>
      <c r="J7" s="48"/>
      <c r="K7" s="51"/>
    </row>
    <row r="8" spans="1:11">
      <c r="A8" s="100"/>
      <c r="B8" s="103"/>
      <c r="C8" s="103"/>
      <c r="D8" s="106"/>
      <c r="E8" s="48"/>
      <c r="F8" s="48"/>
      <c r="G8" s="48"/>
      <c r="H8" s="49"/>
      <c r="I8" s="50">
        <f t="shared" si="0"/>
        <v>0</v>
      </c>
      <c r="J8" s="48"/>
      <c r="K8" s="51"/>
    </row>
    <row r="9" spans="1:11">
      <c r="A9" s="100"/>
      <c r="B9" s="103"/>
      <c r="C9" s="103"/>
      <c r="D9" s="106"/>
      <c r="E9" s="48"/>
      <c r="F9" s="48"/>
      <c r="G9" s="48"/>
      <c r="H9" s="49"/>
      <c r="I9" s="50">
        <f t="shared" si="0"/>
        <v>0</v>
      </c>
      <c r="J9" s="48"/>
      <c r="K9" s="51"/>
    </row>
    <row r="10" spans="1:11">
      <c r="A10" s="100"/>
      <c r="B10" s="103"/>
      <c r="C10" s="103"/>
      <c r="D10" s="106"/>
      <c r="E10" s="48"/>
      <c r="F10" s="48"/>
      <c r="G10" s="48"/>
      <c r="H10" s="49"/>
      <c r="I10" s="50">
        <f t="shared" si="0"/>
        <v>0</v>
      </c>
      <c r="J10" s="48"/>
      <c r="K10" s="51"/>
    </row>
    <row r="11" spans="1:11">
      <c r="A11" s="100"/>
      <c r="B11" s="103"/>
      <c r="C11" s="103"/>
      <c r="D11" s="106"/>
      <c r="E11" s="48"/>
      <c r="F11" s="48"/>
      <c r="G11" s="48"/>
      <c r="H11" s="49"/>
      <c r="I11" s="50">
        <f t="shared" si="0"/>
        <v>0</v>
      </c>
      <c r="J11" s="48"/>
      <c r="K11" s="51"/>
    </row>
    <row r="12" spans="1:11" ht="15" thickBot="1">
      <c r="A12" s="101"/>
      <c r="B12" s="104"/>
      <c r="C12" s="104"/>
      <c r="D12" s="107"/>
      <c r="E12" s="52"/>
      <c r="F12" s="52"/>
      <c r="G12" s="52"/>
      <c r="H12" s="53"/>
      <c r="I12" s="54">
        <f t="shared" si="0"/>
        <v>0</v>
      </c>
      <c r="J12" s="52"/>
      <c r="K12" s="55"/>
    </row>
    <row r="13" spans="1:11" ht="58.5" customHeight="1">
      <c r="A13" s="99" t="s">
        <v>267</v>
      </c>
      <c r="B13" s="102" t="s">
        <v>264</v>
      </c>
      <c r="C13" s="102" t="s">
        <v>265</v>
      </c>
      <c r="D13" s="105" t="s">
        <v>268</v>
      </c>
      <c r="E13" s="56" t="s">
        <v>269</v>
      </c>
      <c r="F13" s="56" t="s">
        <v>270</v>
      </c>
      <c r="G13" s="56" t="s">
        <v>268</v>
      </c>
      <c r="H13" s="57" t="s">
        <v>271</v>
      </c>
      <c r="I13" s="58">
        <f t="shared" si="0"/>
        <v>0.5</v>
      </c>
      <c r="J13" s="56" t="s">
        <v>272</v>
      </c>
      <c r="K13" s="59" t="s">
        <v>273</v>
      </c>
    </row>
    <row r="14" spans="1:11" ht="57.95">
      <c r="A14" s="100"/>
      <c r="B14" s="103"/>
      <c r="C14" s="103"/>
      <c r="D14" s="106"/>
      <c r="E14" s="48" t="s">
        <v>274</v>
      </c>
      <c r="F14" s="48" t="s">
        <v>270</v>
      </c>
      <c r="G14" s="48" t="s">
        <v>268</v>
      </c>
      <c r="H14" s="49" t="s">
        <v>271</v>
      </c>
      <c r="I14" s="50">
        <f t="shared" si="0"/>
        <v>0.5</v>
      </c>
      <c r="J14" s="48" t="s">
        <v>275</v>
      </c>
      <c r="K14" s="51"/>
    </row>
    <row r="15" spans="1:11" ht="29.1">
      <c r="A15" s="100"/>
      <c r="B15" s="103"/>
      <c r="C15" s="103"/>
      <c r="D15" s="106"/>
      <c r="E15" s="48" t="s">
        <v>165</v>
      </c>
      <c r="F15" s="48" t="s">
        <v>270</v>
      </c>
      <c r="G15" s="48" t="s">
        <v>268</v>
      </c>
      <c r="H15" s="49" t="s">
        <v>271</v>
      </c>
      <c r="I15" s="50">
        <f t="shared" si="0"/>
        <v>0.5</v>
      </c>
      <c r="J15" s="48" t="s">
        <v>276</v>
      </c>
      <c r="K15" s="51"/>
    </row>
    <row r="16" spans="1:11" ht="29.1">
      <c r="A16" s="100"/>
      <c r="B16" s="103"/>
      <c r="C16" s="103"/>
      <c r="D16" s="106"/>
      <c r="E16" s="48" t="s">
        <v>277</v>
      </c>
      <c r="F16" s="48" t="s">
        <v>270</v>
      </c>
      <c r="G16" s="48" t="s">
        <v>268</v>
      </c>
      <c r="H16" s="49" t="s">
        <v>271</v>
      </c>
      <c r="I16" s="50">
        <f t="shared" si="0"/>
        <v>0.5</v>
      </c>
      <c r="J16" s="48" t="s">
        <v>278</v>
      </c>
      <c r="K16" s="51"/>
    </row>
    <row r="17" spans="1:11">
      <c r="A17" s="100"/>
      <c r="B17" s="103"/>
      <c r="C17" s="103"/>
      <c r="D17" s="106"/>
      <c r="E17" s="48"/>
      <c r="F17" s="48"/>
      <c r="G17" s="48"/>
      <c r="H17" s="49"/>
      <c r="I17" s="50">
        <f t="shared" si="0"/>
        <v>0</v>
      </c>
      <c r="J17" s="48"/>
      <c r="K17" s="51"/>
    </row>
    <row r="18" spans="1:11">
      <c r="A18" s="100"/>
      <c r="B18" s="103"/>
      <c r="C18" s="103"/>
      <c r="D18" s="106"/>
      <c r="E18" s="48"/>
      <c r="F18" s="48"/>
      <c r="G18" s="48"/>
      <c r="H18" s="49"/>
      <c r="I18" s="50">
        <f t="shared" si="0"/>
        <v>0</v>
      </c>
      <c r="J18" s="48"/>
      <c r="K18" s="51"/>
    </row>
    <row r="19" spans="1:11">
      <c r="A19" s="100"/>
      <c r="B19" s="103"/>
      <c r="C19" s="103"/>
      <c r="D19" s="106"/>
      <c r="E19" s="48"/>
      <c r="F19" s="48"/>
      <c r="G19" s="48"/>
      <c r="H19" s="49"/>
      <c r="I19" s="50">
        <f t="shared" si="0"/>
        <v>0</v>
      </c>
      <c r="J19" s="48"/>
      <c r="K19" s="51"/>
    </row>
    <row r="20" spans="1:11" ht="15" customHeight="1">
      <c r="A20" s="100"/>
      <c r="B20" s="103"/>
      <c r="C20" s="103"/>
      <c r="D20" s="106"/>
      <c r="E20" s="48"/>
      <c r="F20" s="48"/>
      <c r="G20" s="48"/>
      <c r="H20" s="49"/>
      <c r="I20" s="50">
        <f t="shared" si="0"/>
        <v>0</v>
      </c>
      <c r="J20" s="48"/>
      <c r="K20" s="51"/>
    </row>
    <row r="21" spans="1:11">
      <c r="A21" s="100"/>
      <c r="B21" s="103"/>
      <c r="C21" s="103"/>
      <c r="D21" s="106"/>
      <c r="E21" s="48"/>
      <c r="F21" s="48"/>
      <c r="G21" s="48"/>
      <c r="H21" s="49"/>
      <c r="I21" s="50">
        <f t="shared" si="0"/>
        <v>0</v>
      </c>
      <c r="J21" s="48"/>
      <c r="K21" s="51"/>
    </row>
    <row r="22" spans="1:11" ht="15" thickBot="1">
      <c r="A22" s="101"/>
      <c r="B22" s="104"/>
      <c r="C22" s="104"/>
      <c r="D22" s="107"/>
      <c r="E22" s="52"/>
      <c r="F22" s="52"/>
      <c r="G22" s="52"/>
      <c r="H22" s="53"/>
      <c r="I22" s="54">
        <f t="shared" si="0"/>
        <v>0</v>
      </c>
      <c r="J22" s="52"/>
      <c r="K22" s="55"/>
    </row>
    <row r="23" spans="1:11" ht="77.25" customHeight="1">
      <c r="A23" s="99" t="s">
        <v>279</v>
      </c>
      <c r="B23" s="102" t="s">
        <v>264</v>
      </c>
      <c r="C23" s="102" t="s">
        <v>280</v>
      </c>
      <c r="D23" s="105" t="s">
        <v>268</v>
      </c>
      <c r="E23" s="56" t="s">
        <v>281</v>
      </c>
      <c r="F23" s="56" t="s">
        <v>270</v>
      </c>
      <c r="G23" s="56" t="s">
        <v>268</v>
      </c>
      <c r="H23" s="57" t="s">
        <v>271</v>
      </c>
      <c r="I23" s="58">
        <f t="shared" si="0"/>
        <v>0.5</v>
      </c>
      <c r="J23" s="56" t="s">
        <v>282</v>
      </c>
      <c r="K23" s="59" t="s">
        <v>283</v>
      </c>
    </row>
    <row r="24" spans="1:11" ht="43.5">
      <c r="A24" s="100"/>
      <c r="B24" s="103"/>
      <c r="C24" s="103"/>
      <c r="D24" s="106"/>
      <c r="E24" s="48" t="s">
        <v>284</v>
      </c>
      <c r="F24" s="48" t="s">
        <v>270</v>
      </c>
      <c r="G24" s="48" t="s">
        <v>268</v>
      </c>
      <c r="H24" s="49" t="s">
        <v>271</v>
      </c>
      <c r="I24" s="50">
        <f t="shared" si="0"/>
        <v>0.5</v>
      </c>
      <c r="J24" s="48" t="s">
        <v>285</v>
      </c>
      <c r="K24" s="51"/>
    </row>
    <row r="25" spans="1:11" ht="43.5">
      <c r="A25" s="100"/>
      <c r="B25" s="103"/>
      <c r="C25" s="103"/>
      <c r="D25" s="106"/>
      <c r="E25" s="48" t="s">
        <v>286</v>
      </c>
      <c r="F25" s="48" t="s">
        <v>270</v>
      </c>
      <c r="G25" s="48" t="s">
        <v>268</v>
      </c>
      <c r="H25" s="49" t="s">
        <v>271</v>
      </c>
      <c r="I25" s="50">
        <f t="shared" si="0"/>
        <v>0.5</v>
      </c>
      <c r="J25" s="48" t="s">
        <v>287</v>
      </c>
      <c r="K25" s="60"/>
    </row>
    <row r="26" spans="1:11" ht="43.5">
      <c r="A26" s="100"/>
      <c r="B26" s="103"/>
      <c r="C26" s="103"/>
      <c r="D26" s="106"/>
      <c r="E26" s="48" t="s">
        <v>288</v>
      </c>
      <c r="F26" s="48" t="s">
        <v>270</v>
      </c>
      <c r="G26" s="48" t="s">
        <v>268</v>
      </c>
      <c r="H26" s="49" t="s">
        <v>289</v>
      </c>
      <c r="I26" s="50">
        <f t="shared" si="0"/>
        <v>1</v>
      </c>
      <c r="J26" s="48" t="s">
        <v>290</v>
      </c>
      <c r="K26" s="51"/>
    </row>
    <row r="27" spans="1:11" ht="43.5">
      <c r="A27" s="100"/>
      <c r="B27" s="103"/>
      <c r="C27" s="103"/>
      <c r="D27" s="106"/>
      <c r="E27" s="48" t="s">
        <v>291</v>
      </c>
      <c r="F27" s="48" t="s">
        <v>270</v>
      </c>
      <c r="G27" s="48" t="s">
        <v>268</v>
      </c>
      <c r="H27" s="49" t="s">
        <v>271</v>
      </c>
      <c r="I27" s="50">
        <f t="shared" si="0"/>
        <v>0.5</v>
      </c>
      <c r="J27" s="48" t="s">
        <v>292</v>
      </c>
      <c r="K27" s="51"/>
    </row>
    <row r="28" spans="1:11" ht="43.5">
      <c r="A28" s="100"/>
      <c r="B28" s="103"/>
      <c r="C28" s="103"/>
      <c r="D28" s="106"/>
      <c r="E28" s="48" t="s">
        <v>293</v>
      </c>
      <c r="F28" s="48" t="s">
        <v>270</v>
      </c>
      <c r="G28" s="48" t="s">
        <v>268</v>
      </c>
      <c r="H28" s="49" t="s">
        <v>289</v>
      </c>
      <c r="I28" s="50">
        <f t="shared" si="0"/>
        <v>1</v>
      </c>
      <c r="J28" s="48" t="s">
        <v>294</v>
      </c>
      <c r="K28" s="51"/>
    </row>
    <row r="29" spans="1:11">
      <c r="A29" s="100"/>
      <c r="B29" s="103"/>
      <c r="C29" s="103"/>
      <c r="D29" s="106"/>
      <c r="E29" s="48"/>
      <c r="F29" s="48"/>
      <c r="G29" s="48"/>
      <c r="H29" s="49"/>
      <c r="I29" s="50">
        <f t="shared" si="0"/>
        <v>0</v>
      </c>
      <c r="J29" s="48"/>
      <c r="K29" s="51"/>
    </row>
    <row r="30" spans="1:11">
      <c r="A30" s="100"/>
      <c r="B30" s="103"/>
      <c r="C30" s="103"/>
      <c r="D30" s="106"/>
      <c r="E30" s="48"/>
      <c r="F30" s="48"/>
      <c r="G30" s="48"/>
      <c r="H30" s="49"/>
      <c r="I30" s="50">
        <f t="shared" si="0"/>
        <v>0</v>
      </c>
      <c r="J30" s="48"/>
      <c r="K30" s="51"/>
    </row>
    <row r="31" spans="1:11">
      <c r="A31" s="100"/>
      <c r="B31" s="103"/>
      <c r="C31" s="103"/>
      <c r="D31" s="106"/>
      <c r="E31" s="48"/>
      <c r="F31" s="48"/>
      <c r="G31" s="48"/>
      <c r="H31" s="49"/>
      <c r="I31" s="50">
        <f t="shared" si="0"/>
        <v>0</v>
      </c>
      <c r="J31" s="48"/>
      <c r="K31" s="51"/>
    </row>
    <row r="32" spans="1:11" ht="15" thickBot="1">
      <c r="A32" s="101"/>
      <c r="B32" s="104"/>
      <c r="C32" s="104"/>
      <c r="D32" s="107"/>
      <c r="E32" s="52"/>
      <c r="F32" s="52"/>
      <c r="G32" s="52"/>
      <c r="H32" s="53"/>
      <c r="I32" s="54">
        <f t="shared" si="0"/>
        <v>0</v>
      </c>
      <c r="J32" s="52"/>
      <c r="K32" s="55"/>
    </row>
    <row r="33" spans="1:11" ht="58.5" customHeight="1">
      <c r="A33" s="99" t="s">
        <v>295</v>
      </c>
      <c r="B33" s="102" t="s">
        <v>264</v>
      </c>
      <c r="C33" s="102" t="s">
        <v>265</v>
      </c>
      <c r="D33" s="105" t="s">
        <v>268</v>
      </c>
      <c r="E33" s="56" t="s">
        <v>296</v>
      </c>
      <c r="F33" s="56" t="s">
        <v>270</v>
      </c>
      <c r="G33" s="56" t="s">
        <v>266</v>
      </c>
      <c r="H33" s="57"/>
      <c r="I33" s="58">
        <f t="shared" si="0"/>
        <v>1</v>
      </c>
      <c r="J33" s="56"/>
      <c r="K33" s="61"/>
    </row>
    <row r="34" spans="1:11">
      <c r="A34" s="100"/>
      <c r="B34" s="103"/>
      <c r="C34" s="103"/>
      <c r="D34" s="106"/>
      <c r="E34" s="48" t="s">
        <v>297</v>
      </c>
      <c r="F34" s="48" t="s">
        <v>270</v>
      </c>
      <c r="G34" s="48" t="s">
        <v>266</v>
      </c>
      <c r="H34" s="49"/>
      <c r="I34" s="50">
        <f t="shared" si="0"/>
        <v>1</v>
      </c>
      <c r="J34" s="48"/>
      <c r="K34" s="51"/>
    </row>
    <row r="35" spans="1:11" ht="75.75" customHeight="1">
      <c r="A35" s="100"/>
      <c r="B35" s="103"/>
      <c r="C35" s="103"/>
      <c r="D35" s="106"/>
      <c r="E35" s="48" t="s">
        <v>298</v>
      </c>
      <c r="F35" s="48" t="s">
        <v>270</v>
      </c>
      <c r="G35" s="48" t="s">
        <v>266</v>
      </c>
      <c r="H35" s="49"/>
      <c r="I35" s="50">
        <f t="shared" si="0"/>
        <v>1</v>
      </c>
      <c r="J35" s="48"/>
      <c r="K35" s="51"/>
    </row>
    <row r="36" spans="1:11">
      <c r="A36" s="100"/>
      <c r="B36" s="103"/>
      <c r="C36" s="103"/>
      <c r="D36" s="106"/>
      <c r="E36" s="48" t="s">
        <v>269</v>
      </c>
      <c r="F36" s="48" t="s">
        <v>270</v>
      </c>
      <c r="G36" s="48" t="s">
        <v>266</v>
      </c>
      <c r="H36" s="49"/>
      <c r="I36" s="50">
        <f t="shared" si="0"/>
        <v>1</v>
      </c>
      <c r="J36" s="48"/>
      <c r="K36" s="51"/>
    </row>
    <row r="37" spans="1:11">
      <c r="A37" s="100"/>
      <c r="B37" s="103"/>
      <c r="C37" s="103"/>
      <c r="D37" s="106"/>
      <c r="E37" s="48" t="s">
        <v>299</v>
      </c>
      <c r="F37" s="48" t="s">
        <v>270</v>
      </c>
      <c r="G37" s="48" t="s">
        <v>266</v>
      </c>
      <c r="H37" s="49"/>
      <c r="I37" s="50">
        <f t="shared" si="0"/>
        <v>1</v>
      </c>
      <c r="J37" s="48"/>
      <c r="K37" s="51"/>
    </row>
    <row r="38" spans="1:11" ht="43.5">
      <c r="A38" s="100"/>
      <c r="B38" s="103"/>
      <c r="C38" s="103"/>
      <c r="D38" s="106"/>
      <c r="E38" s="48" t="s">
        <v>274</v>
      </c>
      <c r="F38" s="48" t="s">
        <v>270</v>
      </c>
      <c r="G38" s="48" t="s">
        <v>268</v>
      </c>
      <c r="H38" s="49" t="s">
        <v>271</v>
      </c>
      <c r="I38" s="50">
        <f t="shared" si="0"/>
        <v>0.5</v>
      </c>
      <c r="J38" s="48" t="s">
        <v>300</v>
      </c>
      <c r="K38" s="51"/>
    </row>
    <row r="39" spans="1:11">
      <c r="A39" s="100"/>
      <c r="B39" s="103"/>
      <c r="C39" s="103"/>
      <c r="D39" s="106"/>
      <c r="E39" s="48"/>
      <c r="F39" s="48"/>
      <c r="G39" s="48"/>
      <c r="H39" s="49"/>
      <c r="I39" s="50">
        <f t="shared" si="0"/>
        <v>0</v>
      </c>
      <c r="J39" s="48"/>
      <c r="K39" s="51"/>
    </row>
    <row r="40" spans="1:11">
      <c r="A40" s="100"/>
      <c r="B40" s="103"/>
      <c r="C40" s="103"/>
      <c r="D40" s="106"/>
      <c r="E40" s="48"/>
      <c r="F40" s="48"/>
      <c r="G40" s="48"/>
      <c r="H40" s="49"/>
      <c r="I40" s="50">
        <f t="shared" si="0"/>
        <v>0</v>
      </c>
      <c r="J40" s="48"/>
      <c r="K40" s="51"/>
    </row>
    <row r="41" spans="1:11">
      <c r="A41" s="100"/>
      <c r="B41" s="103"/>
      <c r="C41" s="103"/>
      <c r="D41" s="106"/>
      <c r="E41" s="48"/>
      <c r="F41" s="48"/>
      <c r="G41" s="48"/>
      <c r="H41" s="49"/>
      <c r="I41" s="50">
        <f t="shared" si="0"/>
        <v>0</v>
      </c>
      <c r="J41" s="48"/>
      <c r="K41" s="51"/>
    </row>
    <row r="42" spans="1:11" ht="15" thickBot="1">
      <c r="A42" s="101"/>
      <c r="B42" s="104"/>
      <c r="C42" s="104"/>
      <c r="D42" s="107"/>
      <c r="E42" s="52"/>
      <c r="F42" s="52"/>
      <c r="G42" s="52"/>
      <c r="H42" s="53"/>
      <c r="I42" s="54">
        <f t="shared" si="0"/>
        <v>0</v>
      </c>
      <c r="J42" s="52"/>
      <c r="K42" s="55"/>
    </row>
    <row r="43" spans="1:11" ht="99" customHeight="1">
      <c r="A43" s="99" t="s">
        <v>301</v>
      </c>
      <c r="B43" s="102" t="s">
        <v>264</v>
      </c>
      <c r="C43" s="102" t="s">
        <v>265</v>
      </c>
      <c r="D43" s="105" t="s">
        <v>268</v>
      </c>
      <c r="E43" s="56" t="s">
        <v>302</v>
      </c>
      <c r="F43" s="56" t="s">
        <v>270</v>
      </c>
      <c r="G43" s="56" t="s">
        <v>268</v>
      </c>
      <c r="H43" s="57" t="s">
        <v>303</v>
      </c>
      <c r="I43" s="58">
        <f t="shared" si="0"/>
        <v>0</v>
      </c>
      <c r="J43" s="56" t="s">
        <v>304</v>
      </c>
      <c r="K43" s="61"/>
    </row>
    <row r="44" spans="1:11" ht="72.599999999999994">
      <c r="A44" s="100"/>
      <c r="B44" s="103"/>
      <c r="C44" s="103"/>
      <c r="D44" s="106"/>
      <c r="E44" s="48" t="s">
        <v>305</v>
      </c>
      <c r="F44" s="48" t="s">
        <v>270</v>
      </c>
      <c r="G44" s="48" t="s">
        <v>268</v>
      </c>
      <c r="H44" s="49" t="s">
        <v>303</v>
      </c>
      <c r="I44" s="50">
        <f t="shared" si="0"/>
        <v>0</v>
      </c>
      <c r="J44" s="48" t="s">
        <v>306</v>
      </c>
      <c r="K44" s="51"/>
    </row>
    <row r="45" spans="1:11" ht="29.1">
      <c r="A45" s="100"/>
      <c r="B45" s="103"/>
      <c r="C45" s="103"/>
      <c r="D45" s="106"/>
      <c r="E45" s="48" t="s">
        <v>307</v>
      </c>
      <c r="F45" s="48" t="s">
        <v>308</v>
      </c>
      <c r="G45" s="48" t="s">
        <v>268</v>
      </c>
      <c r="H45" s="49" t="s">
        <v>289</v>
      </c>
      <c r="I45" s="50">
        <f t="shared" si="0"/>
        <v>1</v>
      </c>
      <c r="J45" s="48" t="s">
        <v>309</v>
      </c>
      <c r="K45" s="51"/>
    </row>
    <row r="46" spans="1:11" ht="29.1">
      <c r="A46" s="100"/>
      <c r="B46" s="103"/>
      <c r="C46" s="103"/>
      <c r="D46" s="106"/>
      <c r="E46" s="48" t="s">
        <v>310</v>
      </c>
      <c r="F46" s="48" t="s">
        <v>270</v>
      </c>
      <c r="G46" s="48" t="s">
        <v>268</v>
      </c>
      <c r="H46" s="49" t="s">
        <v>271</v>
      </c>
      <c r="I46" s="50">
        <f t="shared" si="0"/>
        <v>0.5</v>
      </c>
      <c r="J46" s="48" t="s">
        <v>311</v>
      </c>
      <c r="K46" s="51"/>
    </row>
    <row r="47" spans="1:11">
      <c r="A47" s="100"/>
      <c r="B47" s="103"/>
      <c r="C47" s="103"/>
      <c r="D47" s="106"/>
      <c r="E47" s="48"/>
      <c r="F47" s="48"/>
      <c r="G47" s="48"/>
      <c r="H47" s="49"/>
      <c r="I47" s="50">
        <f t="shared" si="0"/>
        <v>0</v>
      </c>
      <c r="J47" s="48"/>
      <c r="K47" s="51"/>
    </row>
    <row r="48" spans="1:11">
      <c r="A48" s="100"/>
      <c r="B48" s="103"/>
      <c r="C48" s="103"/>
      <c r="D48" s="106"/>
      <c r="E48" s="48"/>
      <c r="F48" s="48"/>
      <c r="G48" s="48"/>
      <c r="H48" s="49"/>
      <c r="I48" s="50">
        <f t="shared" si="0"/>
        <v>0</v>
      </c>
      <c r="J48" s="48"/>
      <c r="K48" s="51"/>
    </row>
    <row r="49" spans="1:11">
      <c r="A49" s="100"/>
      <c r="B49" s="103"/>
      <c r="C49" s="103"/>
      <c r="D49" s="106"/>
      <c r="E49" s="48"/>
      <c r="F49" s="48"/>
      <c r="G49" s="48"/>
      <c r="H49" s="49"/>
      <c r="I49" s="50">
        <f t="shared" si="0"/>
        <v>0</v>
      </c>
      <c r="J49" s="48"/>
      <c r="K49" s="51"/>
    </row>
    <row r="50" spans="1:11">
      <c r="A50" s="100"/>
      <c r="B50" s="103"/>
      <c r="C50" s="103"/>
      <c r="D50" s="106"/>
      <c r="E50" s="48"/>
      <c r="F50" s="48"/>
      <c r="G50" s="48"/>
      <c r="H50" s="49"/>
      <c r="I50" s="50">
        <f t="shared" si="0"/>
        <v>0</v>
      </c>
      <c r="J50" s="48"/>
      <c r="K50" s="51"/>
    </row>
    <row r="51" spans="1:11">
      <c r="A51" s="100"/>
      <c r="B51" s="103"/>
      <c r="C51" s="103"/>
      <c r="D51" s="106"/>
      <c r="E51" s="48"/>
      <c r="F51" s="48"/>
      <c r="G51" s="48"/>
      <c r="H51" s="49"/>
      <c r="I51" s="50">
        <f t="shared" si="0"/>
        <v>0</v>
      </c>
      <c r="J51" s="48"/>
      <c r="K51" s="51"/>
    </row>
    <row r="52" spans="1:11" ht="15" thickBot="1">
      <c r="A52" s="101"/>
      <c r="B52" s="104"/>
      <c r="C52" s="104"/>
      <c r="D52" s="107"/>
      <c r="E52" s="52"/>
      <c r="F52" s="52"/>
      <c r="G52" s="52"/>
      <c r="H52" s="53"/>
      <c r="I52" s="54">
        <f t="shared" si="0"/>
        <v>0</v>
      </c>
      <c r="J52" s="52"/>
      <c r="K52" s="55"/>
    </row>
    <row r="53" spans="1:11" ht="43.5">
      <c r="A53" s="99" t="s">
        <v>312</v>
      </c>
      <c r="B53" s="102" t="s">
        <v>313</v>
      </c>
      <c r="C53" s="102" t="s">
        <v>314</v>
      </c>
      <c r="D53" s="105" t="s">
        <v>268</v>
      </c>
      <c r="E53" s="56" t="s">
        <v>315</v>
      </c>
      <c r="F53" s="56" t="s">
        <v>270</v>
      </c>
      <c r="G53" s="56" t="s">
        <v>268</v>
      </c>
      <c r="H53" s="57" t="s">
        <v>271</v>
      </c>
      <c r="I53" s="58">
        <f t="shared" si="0"/>
        <v>0.5</v>
      </c>
      <c r="J53" s="56" t="s">
        <v>316</v>
      </c>
      <c r="K53" s="61" t="s">
        <v>317</v>
      </c>
    </row>
    <row r="54" spans="1:11" ht="29.1">
      <c r="A54" s="100"/>
      <c r="B54" s="103"/>
      <c r="C54" s="103"/>
      <c r="D54" s="106"/>
      <c r="E54" s="48" t="s">
        <v>318</v>
      </c>
      <c r="F54" s="48" t="s">
        <v>270</v>
      </c>
      <c r="G54" s="48" t="s">
        <v>268</v>
      </c>
      <c r="H54" s="49" t="s">
        <v>271</v>
      </c>
      <c r="I54" s="50">
        <f t="shared" si="0"/>
        <v>0.5</v>
      </c>
      <c r="J54" s="48" t="s">
        <v>319</v>
      </c>
      <c r="K54" s="51" t="s">
        <v>317</v>
      </c>
    </row>
    <row r="55" spans="1:11" ht="29.1">
      <c r="A55" s="100"/>
      <c r="B55" s="103"/>
      <c r="C55" s="103"/>
      <c r="D55" s="106"/>
      <c r="E55" s="48" t="s">
        <v>320</v>
      </c>
      <c r="F55" s="48" t="s">
        <v>270</v>
      </c>
      <c r="G55" s="48" t="s">
        <v>268</v>
      </c>
      <c r="H55" s="49" t="s">
        <v>271</v>
      </c>
      <c r="I55" s="50">
        <f t="shared" si="0"/>
        <v>0.5</v>
      </c>
      <c r="J55" s="62" t="s">
        <v>321</v>
      </c>
      <c r="K55" s="51" t="s">
        <v>317</v>
      </c>
    </row>
    <row r="56" spans="1:11" ht="29.1">
      <c r="A56" s="100"/>
      <c r="B56" s="103"/>
      <c r="C56" s="103"/>
      <c r="D56" s="106"/>
      <c r="E56" s="48" t="s">
        <v>322</v>
      </c>
      <c r="F56" s="48" t="s">
        <v>248</v>
      </c>
      <c r="G56" s="48" t="s">
        <v>268</v>
      </c>
      <c r="H56" s="49" t="s">
        <v>271</v>
      </c>
      <c r="I56" s="50">
        <f t="shared" si="0"/>
        <v>0.5</v>
      </c>
      <c r="J56" s="48" t="s">
        <v>323</v>
      </c>
      <c r="K56" s="51" t="s">
        <v>317</v>
      </c>
    </row>
    <row r="57" spans="1:11" ht="29.1">
      <c r="A57" s="100"/>
      <c r="B57" s="103"/>
      <c r="C57" s="103"/>
      <c r="D57" s="106"/>
      <c r="E57" s="48" t="s">
        <v>324</v>
      </c>
      <c r="F57" s="48" t="s">
        <v>244</v>
      </c>
      <c r="G57" s="48" t="s">
        <v>268</v>
      </c>
      <c r="H57" s="49" t="s">
        <v>271</v>
      </c>
      <c r="I57" s="50">
        <f t="shared" si="0"/>
        <v>0.5</v>
      </c>
      <c r="J57" s="48" t="s">
        <v>325</v>
      </c>
      <c r="K57" s="51" t="s">
        <v>317</v>
      </c>
    </row>
    <row r="58" spans="1:11" ht="29.1">
      <c r="A58" s="100"/>
      <c r="B58" s="103"/>
      <c r="C58" s="103"/>
      <c r="D58" s="106"/>
      <c r="E58" s="48" t="s">
        <v>326</v>
      </c>
      <c r="F58" s="48" t="s">
        <v>327</v>
      </c>
      <c r="G58" s="48" t="s">
        <v>268</v>
      </c>
      <c r="H58" s="49" t="s">
        <v>271</v>
      </c>
      <c r="I58" s="50">
        <f t="shared" si="0"/>
        <v>0.5</v>
      </c>
      <c r="J58" s="48" t="s">
        <v>328</v>
      </c>
      <c r="K58" s="51" t="s">
        <v>317</v>
      </c>
    </row>
    <row r="59" spans="1:11" ht="29.1">
      <c r="A59" s="100"/>
      <c r="B59" s="103"/>
      <c r="C59" s="103"/>
      <c r="D59" s="106"/>
      <c r="E59" s="48" t="s">
        <v>329</v>
      </c>
      <c r="F59" s="48" t="s">
        <v>270</v>
      </c>
      <c r="G59" s="48" t="s">
        <v>268</v>
      </c>
      <c r="H59" s="49" t="s">
        <v>289</v>
      </c>
      <c r="I59" s="50">
        <f t="shared" si="0"/>
        <v>1</v>
      </c>
      <c r="J59" s="48" t="s">
        <v>330</v>
      </c>
      <c r="K59" s="51" t="s">
        <v>317</v>
      </c>
    </row>
    <row r="60" spans="1:11" ht="29.1">
      <c r="A60" s="100"/>
      <c r="B60" s="103"/>
      <c r="C60" s="103"/>
      <c r="D60" s="106"/>
      <c r="E60" s="48" t="s">
        <v>331</v>
      </c>
      <c r="F60" s="48" t="s">
        <v>308</v>
      </c>
      <c r="G60" s="48" t="s">
        <v>268</v>
      </c>
      <c r="H60" s="49" t="s">
        <v>271</v>
      </c>
      <c r="I60" s="50">
        <f t="shared" si="0"/>
        <v>0.5</v>
      </c>
      <c r="J60" s="48" t="s">
        <v>332</v>
      </c>
      <c r="K60" s="51" t="s">
        <v>317</v>
      </c>
    </row>
    <row r="61" spans="1:11" ht="29.1">
      <c r="A61" s="100"/>
      <c r="B61" s="103"/>
      <c r="C61" s="103"/>
      <c r="D61" s="106"/>
      <c r="E61" s="48" t="s">
        <v>333</v>
      </c>
      <c r="F61" s="48" t="s">
        <v>270</v>
      </c>
      <c r="G61" s="48" t="s">
        <v>268</v>
      </c>
      <c r="H61" s="49" t="s">
        <v>289</v>
      </c>
      <c r="I61" s="50">
        <f t="shared" si="0"/>
        <v>1</v>
      </c>
      <c r="J61" s="48" t="s">
        <v>334</v>
      </c>
      <c r="K61" s="51" t="s">
        <v>317</v>
      </c>
    </row>
    <row r="62" spans="1:11" ht="44.1" thickBot="1">
      <c r="A62" s="101"/>
      <c r="B62" s="104"/>
      <c r="C62" s="104"/>
      <c r="D62" s="107"/>
      <c r="E62" s="52" t="s">
        <v>335</v>
      </c>
      <c r="F62" s="52" t="s">
        <v>270</v>
      </c>
      <c r="G62" s="52" t="s">
        <v>268</v>
      </c>
      <c r="H62" s="53" t="s">
        <v>271</v>
      </c>
      <c r="I62" s="54">
        <f t="shared" si="0"/>
        <v>0.5</v>
      </c>
      <c r="J62" s="52" t="s">
        <v>336</v>
      </c>
      <c r="K62" s="55" t="s">
        <v>317</v>
      </c>
    </row>
    <row r="63" spans="1:11" ht="29.1">
      <c r="A63" s="99" t="s">
        <v>337</v>
      </c>
      <c r="B63" s="102" t="s">
        <v>338</v>
      </c>
      <c r="C63" s="102" t="s">
        <v>339</v>
      </c>
      <c r="D63" s="105" t="s">
        <v>268</v>
      </c>
      <c r="E63" s="56" t="s">
        <v>340</v>
      </c>
      <c r="F63" s="56" t="s">
        <v>270</v>
      </c>
      <c r="G63" s="56" t="s">
        <v>268</v>
      </c>
      <c r="H63" s="57" t="s">
        <v>303</v>
      </c>
      <c r="I63" s="58">
        <f t="shared" si="0"/>
        <v>0</v>
      </c>
      <c r="J63" s="56" t="s">
        <v>341</v>
      </c>
      <c r="K63" s="61" t="s">
        <v>317</v>
      </c>
    </row>
    <row r="64" spans="1:11" ht="43.5">
      <c r="A64" s="100"/>
      <c r="B64" s="103"/>
      <c r="C64" s="103"/>
      <c r="D64" s="106"/>
      <c r="E64" s="48" t="s">
        <v>315</v>
      </c>
      <c r="F64" s="48" t="s">
        <v>270</v>
      </c>
      <c r="G64" s="48" t="s">
        <v>268</v>
      </c>
      <c r="H64" s="49" t="s">
        <v>303</v>
      </c>
      <c r="I64" s="50">
        <f t="shared" si="0"/>
        <v>0</v>
      </c>
      <c r="J64" s="48" t="s">
        <v>342</v>
      </c>
      <c r="K64" s="51" t="s">
        <v>317</v>
      </c>
    </row>
    <row r="65" spans="1:11" ht="29.1">
      <c r="A65" s="100"/>
      <c r="B65" s="103"/>
      <c r="C65" s="103"/>
      <c r="D65" s="106"/>
      <c r="E65" s="48" t="s">
        <v>320</v>
      </c>
      <c r="F65" s="48" t="s">
        <v>270</v>
      </c>
      <c r="G65" s="48" t="s">
        <v>268</v>
      </c>
      <c r="H65" s="49" t="s">
        <v>271</v>
      </c>
      <c r="I65" s="50">
        <f t="shared" si="0"/>
        <v>0.5</v>
      </c>
      <c r="J65" s="48" t="s">
        <v>343</v>
      </c>
      <c r="K65" s="51" t="s">
        <v>317</v>
      </c>
    </row>
    <row r="66" spans="1:11" ht="43.5">
      <c r="A66" s="100"/>
      <c r="B66" s="103"/>
      <c r="C66" s="103"/>
      <c r="D66" s="106"/>
      <c r="E66" s="48" t="s">
        <v>344</v>
      </c>
      <c r="F66" s="48" t="s">
        <v>270</v>
      </c>
      <c r="G66" s="48" t="s">
        <v>268</v>
      </c>
      <c r="H66" s="49" t="s">
        <v>271</v>
      </c>
      <c r="I66" s="50">
        <f t="shared" si="0"/>
        <v>0.5</v>
      </c>
      <c r="J66" s="48" t="s">
        <v>345</v>
      </c>
      <c r="K66" s="51" t="s">
        <v>317</v>
      </c>
    </row>
    <row r="67" spans="1:11" ht="29.1">
      <c r="A67" s="100"/>
      <c r="B67" s="103"/>
      <c r="C67" s="103"/>
      <c r="D67" s="106"/>
      <c r="E67" s="48" t="s">
        <v>346</v>
      </c>
      <c r="F67" s="48" t="s">
        <v>270</v>
      </c>
      <c r="G67" s="48" t="s">
        <v>268</v>
      </c>
      <c r="H67" s="49" t="s">
        <v>271</v>
      </c>
      <c r="I67" s="50">
        <f t="shared" si="0"/>
        <v>0.5</v>
      </c>
      <c r="J67" s="48" t="s">
        <v>347</v>
      </c>
      <c r="K67" s="51" t="s">
        <v>317</v>
      </c>
    </row>
    <row r="68" spans="1:11" ht="29.1">
      <c r="A68" s="100"/>
      <c r="B68" s="103"/>
      <c r="C68" s="103"/>
      <c r="D68" s="106"/>
      <c r="E68" s="48" t="s">
        <v>348</v>
      </c>
      <c r="F68" s="48" t="s">
        <v>327</v>
      </c>
      <c r="G68" s="48" t="s">
        <v>268</v>
      </c>
      <c r="H68" s="49" t="s">
        <v>271</v>
      </c>
      <c r="I68" s="50">
        <f t="shared" ref="I68:I131" si="1">IF(OR(D68="N", G68="N"), 1, IF(H68="Minimally efficient and impactful", 1, IF(H68="Moderately efficient and impactful", 0.5, IF(H68="Highly efficient and impactful", 0, 0))))</f>
        <v>0.5</v>
      </c>
      <c r="J68" s="48" t="s">
        <v>349</v>
      </c>
      <c r="K68" s="51" t="s">
        <v>317</v>
      </c>
    </row>
    <row r="69" spans="1:11" ht="29.1">
      <c r="A69" s="100"/>
      <c r="B69" s="103"/>
      <c r="C69" s="103"/>
      <c r="D69" s="106"/>
      <c r="E69" s="48" t="s">
        <v>350</v>
      </c>
      <c r="F69" s="48" t="s">
        <v>244</v>
      </c>
      <c r="G69" s="48" t="s">
        <v>268</v>
      </c>
      <c r="H69" s="49" t="s">
        <v>271</v>
      </c>
      <c r="I69" s="50">
        <f t="shared" si="1"/>
        <v>0.5</v>
      </c>
      <c r="J69" s="48" t="s">
        <v>351</v>
      </c>
      <c r="K69" s="51" t="s">
        <v>317</v>
      </c>
    </row>
    <row r="70" spans="1:11" ht="29.1">
      <c r="A70" s="100"/>
      <c r="B70" s="103"/>
      <c r="C70" s="103"/>
      <c r="D70" s="106"/>
      <c r="E70" s="48" t="s">
        <v>352</v>
      </c>
      <c r="F70" s="48" t="s">
        <v>270</v>
      </c>
      <c r="G70" s="48" t="s">
        <v>268</v>
      </c>
      <c r="H70" s="49" t="s">
        <v>271</v>
      </c>
      <c r="I70" s="50">
        <f t="shared" si="1"/>
        <v>0.5</v>
      </c>
      <c r="J70" s="48" t="s">
        <v>353</v>
      </c>
      <c r="K70" s="51" t="s">
        <v>317</v>
      </c>
    </row>
    <row r="71" spans="1:11" ht="29.1">
      <c r="A71" s="100"/>
      <c r="B71" s="103"/>
      <c r="C71" s="103"/>
      <c r="D71" s="106"/>
      <c r="E71" s="48" t="s">
        <v>331</v>
      </c>
      <c r="F71" s="48" t="s">
        <v>308</v>
      </c>
      <c r="G71" s="48" t="s">
        <v>268</v>
      </c>
      <c r="H71" s="49" t="s">
        <v>271</v>
      </c>
      <c r="I71" s="50">
        <f t="shared" si="1"/>
        <v>0.5</v>
      </c>
      <c r="J71" s="48" t="s">
        <v>354</v>
      </c>
      <c r="K71" s="51" t="s">
        <v>317</v>
      </c>
    </row>
    <row r="72" spans="1:11" ht="29.45" thickBot="1">
      <c r="A72" s="101"/>
      <c r="B72" s="104"/>
      <c r="C72" s="104"/>
      <c r="D72" s="107"/>
      <c r="E72" s="52" t="s">
        <v>355</v>
      </c>
      <c r="F72" s="52" t="s">
        <v>356</v>
      </c>
      <c r="G72" s="52" t="s">
        <v>268</v>
      </c>
      <c r="H72" s="53" t="s">
        <v>271</v>
      </c>
      <c r="I72" s="54">
        <f t="shared" si="1"/>
        <v>0.5</v>
      </c>
      <c r="J72" s="52" t="s">
        <v>357</v>
      </c>
      <c r="K72" s="55" t="s">
        <v>317</v>
      </c>
    </row>
    <row r="73" spans="1:11" ht="43.5">
      <c r="A73" s="99" t="s">
        <v>358</v>
      </c>
      <c r="B73" s="102" t="s">
        <v>359</v>
      </c>
      <c r="C73" s="102" t="s">
        <v>360</v>
      </c>
      <c r="D73" s="105" t="s">
        <v>268</v>
      </c>
      <c r="E73" s="56" t="s">
        <v>361</v>
      </c>
      <c r="F73" s="56" t="s">
        <v>270</v>
      </c>
      <c r="G73" s="56" t="s">
        <v>268</v>
      </c>
      <c r="H73" s="57" t="s">
        <v>271</v>
      </c>
      <c r="I73" s="58">
        <f t="shared" si="1"/>
        <v>0.5</v>
      </c>
      <c r="J73" s="56" t="s">
        <v>362</v>
      </c>
      <c r="K73" s="61" t="s">
        <v>317</v>
      </c>
    </row>
    <row r="74" spans="1:11" ht="29.1">
      <c r="A74" s="100"/>
      <c r="B74" s="103"/>
      <c r="C74" s="103"/>
      <c r="D74" s="106"/>
      <c r="E74" s="48" t="s">
        <v>363</v>
      </c>
      <c r="F74" s="48" t="s">
        <v>270</v>
      </c>
      <c r="G74" s="48" t="s">
        <v>268</v>
      </c>
      <c r="H74" s="49" t="s">
        <v>271</v>
      </c>
      <c r="I74" s="50">
        <f t="shared" si="1"/>
        <v>0.5</v>
      </c>
      <c r="J74" s="48" t="s">
        <v>364</v>
      </c>
      <c r="K74" s="51" t="s">
        <v>317</v>
      </c>
    </row>
    <row r="75" spans="1:11" ht="29.1">
      <c r="A75" s="100"/>
      <c r="B75" s="103"/>
      <c r="C75" s="103"/>
      <c r="D75" s="106"/>
      <c r="E75" s="48" t="s">
        <v>365</v>
      </c>
      <c r="F75" s="48" t="s">
        <v>270</v>
      </c>
      <c r="G75" s="48" t="s">
        <v>268</v>
      </c>
      <c r="H75" s="49" t="s">
        <v>271</v>
      </c>
      <c r="I75" s="50">
        <f t="shared" si="1"/>
        <v>0.5</v>
      </c>
      <c r="J75" s="48" t="s">
        <v>366</v>
      </c>
      <c r="K75" s="51" t="s">
        <v>317</v>
      </c>
    </row>
    <row r="76" spans="1:11" ht="43.5">
      <c r="A76" s="100"/>
      <c r="B76" s="103"/>
      <c r="C76" s="103"/>
      <c r="D76" s="106"/>
      <c r="E76" s="48" t="s">
        <v>367</v>
      </c>
      <c r="F76" s="48" t="s">
        <v>270</v>
      </c>
      <c r="G76" s="48" t="s">
        <v>268</v>
      </c>
      <c r="H76" s="49" t="s">
        <v>271</v>
      </c>
      <c r="I76" s="50">
        <f t="shared" si="1"/>
        <v>0.5</v>
      </c>
      <c r="J76" s="48" t="s">
        <v>368</v>
      </c>
      <c r="K76" s="51" t="s">
        <v>317</v>
      </c>
    </row>
    <row r="77" spans="1:11" ht="43.5">
      <c r="A77" s="100"/>
      <c r="B77" s="103"/>
      <c r="C77" s="103"/>
      <c r="D77" s="106"/>
      <c r="E77" s="48" t="s">
        <v>369</v>
      </c>
      <c r="F77" s="48" t="s">
        <v>370</v>
      </c>
      <c r="G77" s="48" t="s">
        <v>268</v>
      </c>
      <c r="H77" s="49" t="s">
        <v>271</v>
      </c>
      <c r="I77" s="50">
        <f t="shared" si="1"/>
        <v>0.5</v>
      </c>
      <c r="J77" s="48" t="s">
        <v>371</v>
      </c>
      <c r="K77" s="51" t="s">
        <v>317</v>
      </c>
    </row>
    <row r="78" spans="1:11" ht="43.5">
      <c r="A78" s="100"/>
      <c r="B78" s="103"/>
      <c r="C78" s="103"/>
      <c r="D78" s="106"/>
      <c r="E78" s="48" t="s">
        <v>372</v>
      </c>
      <c r="F78" s="48" t="s">
        <v>308</v>
      </c>
      <c r="G78" s="48" t="s">
        <v>268</v>
      </c>
      <c r="H78" s="49" t="s">
        <v>289</v>
      </c>
      <c r="I78" s="50">
        <f t="shared" si="1"/>
        <v>1</v>
      </c>
      <c r="J78" s="48" t="s">
        <v>373</v>
      </c>
      <c r="K78" s="51" t="s">
        <v>317</v>
      </c>
    </row>
    <row r="79" spans="1:11" ht="43.5">
      <c r="A79" s="100"/>
      <c r="B79" s="103"/>
      <c r="C79" s="103"/>
      <c r="D79" s="106"/>
      <c r="E79" s="48" t="s">
        <v>374</v>
      </c>
      <c r="F79" s="48" t="s">
        <v>270</v>
      </c>
      <c r="G79" s="48" t="s">
        <v>268</v>
      </c>
      <c r="H79" s="49" t="s">
        <v>271</v>
      </c>
      <c r="I79" s="50">
        <f t="shared" si="1"/>
        <v>0.5</v>
      </c>
      <c r="J79" s="48" t="s">
        <v>375</v>
      </c>
      <c r="K79" s="51" t="s">
        <v>317</v>
      </c>
    </row>
    <row r="80" spans="1:11" ht="43.5">
      <c r="A80" s="100"/>
      <c r="B80" s="103"/>
      <c r="C80" s="103"/>
      <c r="D80" s="106"/>
      <c r="E80" s="48" t="s">
        <v>376</v>
      </c>
      <c r="F80" s="48" t="s">
        <v>270</v>
      </c>
      <c r="G80" s="48" t="s">
        <v>268</v>
      </c>
      <c r="H80" s="49" t="s">
        <v>271</v>
      </c>
      <c r="I80" s="50">
        <f t="shared" si="1"/>
        <v>0.5</v>
      </c>
      <c r="J80" s="48" t="s">
        <v>377</v>
      </c>
      <c r="K80" s="51" t="s">
        <v>317</v>
      </c>
    </row>
    <row r="81" spans="1:11" ht="43.5">
      <c r="A81" s="100"/>
      <c r="B81" s="103"/>
      <c r="C81" s="103"/>
      <c r="D81" s="106"/>
      <c r="E81" s="48" t="s">
        <v>378</v>
      </c>
      <c r="F81" s="48" t="s">
        <v>270</v>
      </c>
      <c r="G81" s="48" t="s">
        <v>268</v>
      </c>
      <c r="H81" s="49" t="s">
        <v>271</v>
      </c>
      <c r="I81" s="50">
        <f t="shared" si="1"/>
        <v>0.5</v>
      </c>
      <c r="J81" s="48" t="s">
        <v>379</v>
      </c>
      <c r="K81" s="51" t="s">
        <v>317</v>
      </c>
    </row>
    <row r="82" spans="1:11" ht="15" thickBot="1">
      <c r="A82" s="101"/>
      <c r="B82" s="104"/>
      <c r="C82" s="104"/>
      <c r="D82" s="107"/>
      <c r="E82" s="52"/>
      <c r="F82" s="52"/>
      <c r="G82" s="52"/>
      <c r="H82" s="53"/>
      <c r="I82" s="54">
        <f t="shared" ref="I82:I93" si="2">IF(OR(D82="N", G82="N"), 1, IF(H82="Minimally efficient and impactful", 1, IF(H82="Moderately efficient and impactful", 0.5, IF(H82="Highly efficient and impactful", 0, 0))))</f>
        <v>0</v>
      </c>
      <c r="J82" s="52"/>
      <c r="K82" s="55"/>
    </row>
    <row r="83" spans="1:11" ht="43.5">
      <c r="A83" s="99" t="s">
        <v>380</v>
      </c>
      <c r="B83" s="102" t="s">
        <v>381</v>
      </c>
      <c r="C83" s="102" t="s">
        <v>382</v>
      </c>
      <c r="D83" s="105" t="s">
        <v>268</v>
      </c>
      <c r="E83" s="56" t="s">
        <v>383</v>
      </c>
      <c r="F83" s="56" t="s">
        <v>327</v>
      </c>
      <c r="G83" s="56" t="s">
        <v>268</v>
      </c>
      <c r="H83" s="57" t="s">
        <v>271</v>
      </c>
      <c r="I83" s="58">
        <f t="shared" si="2"/>
        <v>0.5</v>
      </c>
      <c r="J83" s="56" t="s">
        <v>384</v>
      </c>
      <c r="K83" s="61" t="s">
        <v>317</v>
      </c>
    </row>
    <row r="84" spans="1:11" ht="43.5">
      <c r="A84" s="100"/>
      <c r="B84" s="103"/>
      <c r="C84" s="103"/>
      <c r="D84" s="106"/>
      <c r="E84" s="48" t="s">
        <v>385</v>
      </c>
      <c r="F84" s="48" t="s">
        <v>327</v>
      </c>
      <c r="G84" s="48" t="s">
        <v>268</v>
      </c>
      <c r="H84" s="49" t="s">
        <v>271</v>
      </c>
      <c r="I84" s="50">
        <f t="shared" si="2"/>
        <v>0.5</v>
      </c>
      <c r="J84" s="48" t="s">
        <v>386</v>
      </c>
      <c r="K84" s="51" t="s">
        <v>317</v>
      </c>
    </row>
    <row r="85" spans="1:11" ht="43.5">
      <c r="A85" s="100"/>
      <c r="B85" s="103"/>
      <c r="C85" s="103"/>
      <c r="D85" s="106"/>
      <c r="E85" s="48" t="s">
        <v>326</v>
      </c>
      <c r="F85" s="48" t="s">
        <v>327</v>
      </c>
      <c r="G85" s="48" t="s">
        <v>268</v>
      </c>
      <c r="H85" s="49" t="s">
        <v>271</v>
      </c>
      <c r="I85" s="50">
        <f t="shared" si="2"/>
        <v>0.5</v>
      </c>
      <c r="J85" s="48" t="s">
        <v>387</v>
      </c>
      <c r="K85" s="51" t="s">
        <v>317</v>
      </c>
    </row>
    <row r="86" spans="1:11" ht="43.5">
      <c r="A86" s="100"/>
      <c r="B86" s="103"/>
      <c r="C86" s="103"/>
      <c r="D86" s="106"/>
      <c r="E86" s="48" t="s">
        <v>388</v>
      </c>
      <c r="F86" s="48" t="s">
        <v>308</v>
      </c>
      <c r="G86" s="48" t="s">
        <v>268</v>
      </c>
      <c r="H86" s="49" t="s">
        <v>289</v>
      </c>
      <c r="I86" s="50">
        <f t="shared" si="2"/>
        <v>1</v>
      </c>
      <c r="J86" s="48" t="s">
        <v>389</v>
      </c>
      <c r="K86" s="51" t="s">
        <v>317</v>
      </c>
    </row>
    <row r="87" spans="1:11" ht="43.5">
      <c r="A87" s="100"/>
      <c r="B87" s="103"/>
      <c r="C87" s="103"/>
      <c r="D87" s="106"/>
      <c r="E87" s="48" t="s">
        <v>390</v>
      </c>
      <c r="F87" s="48" t="s">
        <v>270</v>
      </c>
      <c r="G87" s="48" t="s">
        <v>268</v>
      </c>
      <c r="H87" s="49" t="s">
        <v>271</v>
      </c>
      <c r="I87" s="50">
        <f t="shared" si="2"/>
        <v>0.5</v>
      </c>
      <c r="J87" s="48" t="s">
        <v>391</v>
      </c>
      <c r="K87" s="51" t="s">
        <v>317</v>
      </c>
    </row>
    <row r="88" spans="1:11" ht="43.5">
      <c r="A88" s="100"/>
      <c r="B88" s="103"/>
      <c r="C88" s="103"/>
      <c r="D88" s="106"/>
      <c r="E88" s="48" t="s">
        <v>392</v>
      </c>
      <c r="F88" s="48" t="s">
        <v>270</v>
      </c>
      <c r="G88" s="48" t="s">
        <v>268</v>
      </c>
      <c r="H88" s="49" t="s">
        <v>271</v>
      </c>
      <c r="I88" s="50">
        <f t="shared" si="2"/>
        <v>0.5</v>
      </c>
      <c r="J88" s="48" t="s">
        <v>393</v>
      </c>
      <c r="K88" s="51" t="s">
        <v>317</v>
      </c>
    </row>
    <row r="89" spans="1:11" ht="43.5">
      <c r="A89" s="100"/>
      <c r="B89" s="103"/>
      <c r="C89" s="103"/>
      <c r="D89" s="106"/>
      <c r="E89" s="48" t="s">
        <v>394</v>
      </c>
      <c r="F89" s="48" t="s">
        <v>327</v>
      </c>
      <c r="G89" s="48" t="s">
        <v>268</v>
      </c>
      <c r="H89" s="49" t="s">
        <v>271</v>
      </c>
      <c r="I89" s="50">
        <f t="shared" si="2"/>
        <v>0.5</v>
      </c>
      <c r="J89" s="48" t="s">
        <v>395</v>
      </c>
      <c r="K89" s="51" t="s">
        <v>317</v>
      </c>
    </row>
    <row r="90" spans="1:11" ht="43.5">
      <c r="A90" s="100"/>
      <c r="B90" s="103"/>
      <c r="C90" s="103"/>
      <c r="D90" s="106"/>
      <c r="E90" s="48" t="s">
        <v>396</v>
      </c>
      <c r="F90" s="48" t="s">
        <v>270</v>
      </c>
      <c r="G90" s="48" t="s">
        <v>268</v>
      </c>
      <c r="H90" s="49" t="s">
        <v>271</v>
      </c>
      <c r="I90" s="50">
        <f t="shared" si="2"/>
        <v>0.5</v>
      </c>
      <c r="J90" s="48" t="s">
        <v>397</v>
      </c>
      <c r="K90" s="51" t="s">
        <v>317</v>
      </c>
    </row>
    <row r="91" spans="1:11" ht="43.5">
      <c r="A91" s="100"/>
      <c r="B91" s="103"/>
      <c r="C91" s="103"/>
      <c r="D91" s="106"/>
      <c r="E91" s="48" t="s">
        <v>398</v>
      </c>
      <c r="F91" s="48" t="s">
        <v>270</v>
      </c>
      <c r="G91" s="48" t="s">
        <v>268</v>
      </c>
      <c r="H91" s="49" t="s">
        <v>271</v>
      </c>
      <c r="I91" s="50">
        <f t="shared" si="2"/>
        <v>0.5</v>
      </c>
      <c r="J91" s="48" t="s">
        <v>399</v>
      </c>
      <c r="K91" s="51" t="s">
        <v>317</v>
      </c>
    </row>
    <row r="92" spans="1:11" ht="44.1" thickBot="1">
      <c r="A92" s="101"/>
      <c r="B92" s="104"/>
      <c r="C92" s="104"/>
      <c r="D92" s="107"/>
      <c r="E92" s="52" t="s">
        <v>400</v>
      </c>
      <c r="F92" s="52" t="s">
        <v>270</v>
      </c>
      <c r="G92" s="52" t="s">
        <v>268</v>
      </c>
      <c r="H92" s="53" t="s">
        <v>271</v>
      </c>
      <c r="I92" s="54">
        <f t="shared" si="2"/>
        <v>0.5</v>
      </c>
      <c r="J92" s="52" t="s">
        <v>401</v>
      </c>
      <c r="K92" s="55" t="s">
        <v>317</v>
      </c>
    </row>
    <row r="93" spans="1:11" ht="15" customHeight="1">
      <c r="A93" s="111" t="s">
        <v>402</v>
      </c>
      <c r="B93" s="102" t="s">
        <v>403</v>
      </c>
      <c r="C93" s="102" t="s">
        <v>404</v>
      </c>
      <c r="D93" s="105" t="s">
        <v>268</v>
      </c>
      <c r="E93" s="87" t="s">
        <v>405</v>
      </c>
      <c r="F93" s="87" t="s">
        <v>270</v>
      </c>
      <c r="G93" s="63" t="s">
        <v>268</v>
      </c>
      <c r="H93" s="88" t="s">
        <v>303</v>
      </c>
      <c r="I93" s="58">
        <f t="shared" si="2"/>
        <v>0</v>
      </c>
      <c r="J93" s="56" t="s">
        <v>406</v>
      </c>
      <c r="K93" s="64" t="s">
        <v>317</v>
      </c>
    </row>
    <row r="94" spans="1:11" ht="14.45" customHeight="1">
      <c r="A94" s="111"/>
      <c r="B94" s="103"/>
      <c r="C94" s="103"/>
      <c r="D94" s="106"/>
      <c r="E94" s="89" t="s">
        <v>40</v>
      </c>
      <c r="F94" s="89" t="s">
        <v>270</v>
      </c>
      <c r="G94" s="65" t="s">
        <v>268</v>
      </c>
      <c r="H94" s="90" t="s">
        <v>303</v>
      </c>
      <c r="I94" s="50">
        <f t="shared" si="1"/>
        <v>0</v>
      </c>
      <c r="J94" s="48" t="s">
        <v>407</v>
      </c>
      <c r="K94" s="66" t="s">
        <v>317</v>
      </c>
    </row>
    <row r="95" spans="1:11" ht="14.45" customHeight="1">
      <c r="A95" s="111"/>
      <c r="B95" s="103"/>
      <c r="C95" s="103"/>
      <c r="D95" s="106"/>
      <c r="E95" s="89" t="s">
        <v>408</v>
      </c>
      <c r="F95" s="89" t="s">
        <v>409</v>
      </c>
      <c r="G95" s="65" t="s">
        <v>268</v>
      </c>
      <c r="H95" s="90" t="s">
        <v>271</v>
      </c>
      <c r="I95" s="50">
        <f t="shared" si="1"/>
        <v>0.5</v>
      </c>
      <c r="J95" s="48" t="s">
        <v>410</v>
      </c>
      <c r="K95" s="66" t="s">
        <v>317</v>
      </c>
    </row>
    <row r="96" spans="1:11" ht="56.25" customHeight="1">
      <c r="A96" s="111"/>
      <c r="B96" s="103"/>
      <c r="C96" s="103"/>
      <c r="D96" s="106"/>
      <c r="E96" s="89" t="s">
        <v>411</v>
      </c>
      <c r="F96" s="89" t="s">
        <v>270</v>
      </c>
      <c r="G96" s="65" t="s">
        <v>268</v>
      </c>
      <c r="H96" s="90" t="s">
        <v>303</v>
      </c>
      <c r="I96" s="50">
        <f t="shared" si="1"/>
        <v>0</v>
      </c>
      <c r="J96" s="48" t="s">
        <v>412</v>
      </c>
      <c r="K96" s="66" t="s">
        <v>317</v>
      </c>
    </row>
    <row r="97" spans="1:11" ht="48.75" customHeight="1">
      <c r="A97" s="111"/>
      <c r="B97" s="103"/>
      <c r="C97" s="103"/>
      <c r="D97" s="106"/>
      <c r="E97" s="89" t="s">
        <v>413</v>
      </c>
      <c r="F97" s="89" t="s">
        <v>414</v>
      </c>
      <c r="G97" s="65" t="s">
        <v>268</v>
      </c>
      <c r="H97" s="90" t="s">
        <v>271</v>
      </c>
      <c r="I97" s="50">
        <f t="shared" si="1"/>
        <v>0.5</v>
      </c>
      <c r="J97" s="48" t="s">
        <v>415</v>
      </c>
      <c r="K97" s="66" t="s">
        <v>317</v>
      </c>
    </row>
    <row r="98" spans="1:11" ht="14.45" customHeight="1">
      <c r="A98" s="111"/>
      <c r="B98" s="103"/>
      <c r="C98" s="103"/>
      <c r="D98" s="106"/>
      <c r="E98" s="89" t="s">
        <v>416</v>
      </c>
      <c r="F98" s="89" t="s">
        <v>409</v>
      </c>
      <c r="G98" s="65" t="s">
        <v>268</v>
      </c>
      <c r="H98" s="90" t="s">
        <v>289</v>
      </c>
      <c r="I98" s="50">
        <f t="shared" si="1"/>
        <v>1</v>
      </c>
      <c r="J98" s="48"/>
      <c r="K98" s="66" t="s">
        <v>317</v>
      </c>
    </row>
    <row r="99" spans="1:11" ht="14.45" customHeight="1">
      <c r="A99" s="111"/>
      <c r="B99" s="103"/>
      <c r="C99" s="103"/>
      <c r="D99" s="106"/>
      <c r="E99" s="89" t="s">
        <v>417</v>
      </c>
      <c r="F99" s="89" t="s">
        <v>418</v>
      </c>
      <c r="G99" s="65" t="s">
        <v>268</v>
      </c>
      <c r="H99" s="90" t="s">
        <v>271</v>
      </c>
      <c r="I99" s="50">
        <f t="shared" si="1"/>
        <v>0.5</v>
      </c>
      <c r="J99" s="48" t="s">
        <v>419</v>
      </c>
      <c r="K99" s="66" t="s">
        <v>317</v>
      </c>
    </row>
    <row r="100" spans="1:11" ht="14.45" customHeight="1">
      <c r="A100" s="111"/>
      <c r="B100" s="103"/>
      <c r="C100" s="103"/>
      <c r="D100" s="106"/>
      <c r="E100" s="89" t="s">
        <v>420</v>
      </c>
      <c r="F100" s="89" t="s">
        <v>270</v>
      </c>
      <c r="G100" s="65" t="s">
        <v>268</v>
      </c>
      <c r="H100" s="90" t="s">
        <v>289</v>
      </c>
      <c r="I100" s="50">
        <f t="shared" si="1"/>
        <v>1</v>
      </c>
      <c r="J100" s="48"/>
      <c r="K100" s="66" t="s">
        <v>317</v>
      </c>
    </row>
    <row r="101" spans="1:11" ht="14.45" customHeight="1">
      <c r="A101" s="111"/>
      <c r="B101" s="103"/>
      <c r="C101" s="103"/>
      <c r="D101" s="106"/>
      <c r="E101" s="89" t="s">
        <v>421</v>
      </c>
      <c r="F101" s="89" t="s">
        <v>422</v>
      </c>
      <c r="G101" s="65" t="s">
        <v>268</v>
      </c>
      <c r="H101" s="90" t="s">
        <v>289</v>
      </c>
      <c r="I101" s="50">
        <f t="shared" si="1"/>
        <v>1</v>
      </c>
      <c r="J101" s="65"/>
      <c r="K101" s="66" t="s">
        <v>317</v>
      </c>
    </row>
    <row r="102" spans="1:11" ht="51.75" customHeight="1" thickBot="1">
      <c r="A102" s="112"/>
      <c r="B102" s="104"/>
      <c r="C102" s="104"/>
      <c r="D102" s="107"/>
      <c r="E102" s="91" t="s">
        <v>423</v>
      </c>
      <c r="F102" s="91" t="s">
        <v>270</v>
      </c>
      <c r="G102" s="67" t="s">
        <v>268</v>
      </c>
      <c r="H102" s="92" t="s">
        <v>271</v>
      </c>
      <c r="I102" s="54">
        <f t="shared" si="1"/>
        <v>0.5</v>
      </c>
      <c r="J102" s="52" t="s">
        <v>424</v>
      </c>
      <c r="K102" s="68" t="s">
        <v>317</v>
      </c>
    </row>
    <row r="103" spans="1:11" ht="15" customHeight="1">
      <c r="A103" s="111" t="s">
        <v>425</v>
      </c>
      <c r="B103" s="102" t="s">
        <v>426</v>
      </c>
      <c r="C103" s="102" t="s">
        <v>427</v>
      </c>
      <c r="D103" s="105" t="s">
        <v>268</v>
      </c>
      <c r="E103" s="87" t="s">
        <v>428</v>
      </c>
      <c r="F103" s="87" t="s">
        <v>429</v>
      </c>
      <c r="G103" s="63" t="s">
        <v>268</v>
      </c>
      <c r="H103" s="88" t="s">
        <v>271</v>
      </c>
      <c r="I103" s="58">
        <f t="shared" si="1"/>
        <v>0.5</v>
      </c>
      <c r="J103" s="88" t="s">
        <v>430</v>
      </c>
      <c r="K103" s="64" t="s">
        <v>317</v>
      </c>
    </row>
    <row r="104" spans="1:11">
      <c r="A104" s="111"/>
      <c r="B104" s="103"/>
      <c r="C104" s="103"/>
      <c r="D104" s="106"/>
      <c r="E104" s="89" t="s">
        <v>431</v>
      </c>
      <c r="F104" s="89" t="s">
        <v>432</v>
      </c>
      <c r="G104" s="65" t="s">
        <v>268</v>
      </c>
      <c r="H104" s="90" t="s">
        <v>271</v>
      </c>
      <c r="I104" s="50">
        <f t="shared" si="1"/>
        <v>0.5</v>
      </c>
      <c r="J104" s="90" t="s">
        <v>433</v>
      </c>
      <c r="K104" s="66" t="s">
        <v>317</v>
      </c>
    </row>
    <row r="105" spans="1:11" ht="29.1">
      <c r="A105" s="111"/>
      <c r="B105" s="103"/>
      <c r="C105" s="103"/>
      <c r="D105" s="106"/>
      <c r="E105" s="89" t="s">
        <v>434</v>
      </c>
      <c r="F105" s="89" t="s">
        <v>435</v>
      </c>
      <c r="G105" s="65" t="s">
        <v>268</v>
      </c>
      <c r="H105" s="90" t="s">
        <v>271</v>
      </c>
      <c r="I105" s="50">
        <f t="shared" si="1"/>
        <v>0.5</v>
      </c>
      <c r="J105" s="90" t="s">
        <v>436</v>
      </c>
      <c r="K105" s="66" t="s">
        <v>317</v>
      </c>
    </row>
    <row r="106" spans="1:11" ht="29.1">
      <c r="A106" s="111"/>
      <c r="B106" s="103"/>
      <c r="C106" s="103"/>
      <c r="D106" s="106"/>
      <c r="E106" s="89" t="s">
        <v>437</v>
      </c>
      <c r="F106" s="89" t="s">
        <v>438</v>
      </c>
      <c r="G106" s="65" t="s">
        <v>268</v>
      </c>
      <c r="H106" s="90" t="s">
        <v>271</v>
      </c>
      <c r="I106" s="50">
        <f t="shared" si="1"/>
        <v>0.5</v>
      </c>
      <c r="J106" s="90" t="s">
        <v>439</v>
      </c>
      <c r="K106" s="66" t="s">
        <v>317</v>
      </c>
    </row>
    <row r="107" spans="1:11" ht="29.1">
      <c r="A107" s="111"/>
      <c r="B107" s="103"/>
      <c r="C107" s="103"/>
      <c r="D107" s="106"/>
      <c r="E107" s="89" t="s">
        <v>440</v>
      </c>
      <c r="F107" s="89" t="s">
        <v>270</v>
      </c>
      <c r="G107" s="65" t="s">
        <v>268</v>
      </c>
      <c r="H107" s="90" t="s">
        <v>303</v>
      </c>
      <c r="I107" s="50">
        <f t="shared" si="1"/>
        <v>0</v>
      </c>
      <c r="J107" s="90" t="s">
        <v>441</v>
      </c>
      <c r="K107" s="66" t="s">
        <v>317</v>
      </c>
    </row>
    <row r="108" spans="1:11" ht="29.1">
      <c r="A108" s="111"/>
      <c r="B108" s="103"/>
      <c r="C108" s="103"/>
      <c r="D108" s="106"/>
      <c r="E108" s="89" t="s">
        <v>442</v>
      </c>
      <c r="F108" s="89" t="s">
        <v>438</v>
      </c>
      <c r="G108" s="65" t="s">
        <v>268</v>
      </c>
      <c r="H108" s="90" t="s">
        <v>303</v>
      </c>
      <c r="I108" s="50">
        <f t="shared" si="1"/>
        <v>0</v>
      </c>
      <c r="J108" s="90" t="s">
        <v>443</v>
      </c>
      <c r="K108" s="66" t="s">
        <v>317</v>
      </c>
    </row>
    <row r="109" spans="1:11">
      <c r="A109" s="111"/>
      <c r="B109" s="103"/>
      <c r="C109" s="103"/>
      <c r="D109" s="106"/>
      <c r="E109" s="89" t="s">
        <v>421</v>
      </c>
      <c r="F109" s="89" t="s">
        <v>422</v>
      </c>
      <c r="G109" s="65" t="s">
        <v>268</v>
      </c>
      <c r="H109" s="90" t="s">
        <v>289</v>
      </c>
      <c r="I109" s="50">
        <f t="shared" si="1"/>
        <v>1</v>
      </c>
      <c r="J109" s="65"/>
      <c r="K109" s="66" t="s">
        <v>317</v>
      </c>
    </row>
    <row r="110" spans="1:11" ht="29.1">
      <c r="A110" s="111"/>
      <c r="B110" s="103"/>
      <c r="C110" s="103"/>
      <c r="D110" s="106"/>
      <c r="E110" s="89" t="s">
        <v>444</v>
      </c>
      <c r="F110" s="89" t="s">
        <v>432</v>
      </c>
      <c r="G110" s="65" t="s">
        <v>268</v>
      </c>
      <c r="H110" s="90" t="s">
        <v>271</v>
      </c>
      <c r="I110" s="50">
        <f t="shared" si="1"/>
        <v>0.5</v>
      </c>
      <c r="J110" s="90" t="s">
        <v>445</v>
      </c>
      <c r="K110" s="66" t="s">
        <v>317</v>
      </c>
    </row>
    <row r="111" spans="1:11" ht="29.1">
      <c r="A111" s="111"/>
      <c r="B111" s="103"/>
      <c r="C111" s="103"/>
      <c r="D111" s="106"/>
      <c r="E111" s="89" t="s">
        <v>446</v>
      </c>
      <c r="F111" s="89" t="s">
        <v>447</v>
      </c>
      <c r="G111" s="65" t="s">
        <v>268</v>
      </c>
      <c r="H111" s="90" t="s">
        <v>271</v>
      </c>
      <c r="I111" s="50">
        <f t="shared" si="1"/>
        <v>0.5</v>
      </c>
      <c r="J111" s="90" t="s">
        <v>448</v>
      </c>
      <c r="K111" s="66" t="s">
        <v>317</v>
      </c>
    </row>
    <row r="112" spans="1:11" ht="15" thickBot="1">
      <c r="A112" s="112"/>
      <c r="B112" s="104"/>
      <c r="C112" s="104"/>
      <c r="D112" s="107"/>
      <c r="E112" s="91"/>
      <c r="F112" s="91"/>
      <c r="G112" s="67"/>
      <c r="H112" s="67"/>
      <c r="I112" s="54">
        <f t="shared" si="1"/>
        <v>0</v>
      </c>
      <c r="J112" s="67"/>
      <c r="K112" s="68"/>
    </row>
    <row r="113" spans="1:11" ht="40.5" customHeight="1">
      <c r="A113" s="111" t="s">
        <v>449</v>
      </c>
      <c r="B113" s="102" t="s">
        <v>450</v>
      </c>
      <c r="C113" s="102" t="s">
        <v>451</v>
      </c>
      <c r="D113" s="105" t="s">
        <v>268</v>
      </c>
      <c r="E113" s="87" t="s">
        <v>452</v>
      </c>
      <c r="F113" s="87" t="s">
        <v>270</v>
      </c>
      <c r="G113" s="63" t="s">
        <v>268</v>
      </c>
      <c r="H113" s="88" t="s">
        <v>303</v>
      </c>
      <c r="I113" s="58">
        <f t="shared" si="1"/>
        <v>0</v>
      </c>
      <c r="J113" s="87" t="s">
        <v>453</v>
      </c>
      <c r="K113" s="64" t="s">
        <v>317</v>
      </c>
    </row>
    <row r="114" spans="1:11" ht="29.1">
      <c r="A114" s="111"/>
      <c r="B114" s="103"/>
      <c r="C114" s="103"/>
      <c r="D114" s="106"/>
      <c r="E114" s="89" t="s">
        <v>454</v>
      </c>
      <c r="F114" s="89" t="s">
        <v>418</v>
      </c>
      <c r="G114" s="65" t="s">
        <v>268</v>
      </c>
      <c r="H114" s="90" t="s">
        <v>271</v>
      </c>
      <c r="I114" s="50">
        <f t="shared" si="1"/>
        <v>0.5</v>
      </c>
      <c r="J114" s="89" t="s">
        <v>455</v>
      </c>
      <c r="K114" s="66" t="s">
        <v>317</v>
      </c>
    </row>
    <row r="115" spans="1:11" ht="29.1">
      <c r="A115" s="111"/>
      <c r="B115" s="103"/>
      <c r="C115" s="103"/>
      <c r="D115" s="106"/>
      <c r="E115" s="89" t="s">
        <v>456</v>
      </c>
      <c r="F115" s="89" t="s">
        <v>457</v>
      </c>
      <c r="G115" s="65" t="s">
        <v>268</v>
      </c>
      <c r="H115" s="90" t="s">
        <v>271</v>
      </c>
      <c r="I115" s="50">
        <f t="shared" si="1"/>
        <v>0.5</v>
      </c>
      <c r="J115" s="89" t="s">
        <v>458</v>
      </c>
      <c r="K115" s="66" t="s">
        <v>317</v>
      </c>
    </row>
    <row r="116" spans="1:11" ht="29.1">
      <c r="A116" s="111"/>
      <c r="B116" s="103"/>
      <c r="C116" s="103"/>
      <c r="D116" s="106"/>
      <c r="E116" s="89" t="s">
        <v>459</v>
      </c>
      <c r="F116" s="89" t="s">
        <v>270</v>
      </c>
      <c r="G116" s="65" t="s">
        <v>268</v>
      </c>
      <c r="H116" s="90" t="s">
        <v>303</v>
      </c>
      <c r="I116" s="50">
        <f t="shared" si="1"/>
        <v>0</v>
      </c>
      <c r="J116" s="89" t="s">
        <v>460</v>
      </c>
      <c r="K116" s="66" t="s">
        <v>317</v>
      </c>
    </row>
    <row r="117" spans="1:11" ht="29.1">
      <c r="A117" s="111"/>
      <c r="B117" s="103"/>
      <c r="C117" s="103"/>
      <c r="D117" s="106"/>
      <c r="E117" s="89" t="s">
        <v>461</v>
      </c>
      <c r="F117" s="89" t="s">
        <v>462</v>
      </c>
      <c r="G117" s="65" t="s">
        <v>268</v>
      </c>
      <c r="H117" s="90" t="s">
        <v>271</v>
      </c>
      <c r="I117" s="50">
        <f t="shared" si="1"/>
        <v>0.5</v>
      </c>
      <c r="J117" s="89" t="s">
        <v>463</v>
      </c>
      <c r="K117" s="66" t="s">
        <v>317</v>
      </c>
    </row>
    <row r="118" spans="1:11">
      <c r="A118" s="111"/>
      <c r="B118" s="103"/>
      <c r="C118" s="103"/>
      <c r="D118" s="106"/>
      <c r="E118" s="89" t="s">
        <v>420</v>
      </c>
      <c r="F118" s="89" t="s">
        <v>270</v>
      </c>
      <c r="G118" s="65" t="s">
        <v>266</v>
      </c>
      <c r="H118" s="90" t="s">
        <v>289</v>
      </c>
      <c r="I118" s="50">
        <f t="shared" si="1"/>
        <v>1</v>
      </c>
      <c r="J118" s="65"/>
      <c r="K118" s="66" t="s">
        <v>317</v>
      </c>
    </row>
    <row r="119" spans="1:11" ht="29.1">
      <c r="A119" s="111"/>
      <c r="B119" s="103"/>
      <c r="C119" s="103"/>
      <c r="D119" s="106"/>
      <c r="E119" s="89" t="s">
        <v>464</v>
      </c>
      <c r="F119" s="89" t="s">
        <v>270</v>
      </c>
      <c r="G119" s="65" t="s">
        <v>268</v>
      </c>
      <c r="H119" s="90" t="s">
        <v>303</v>
      </c>
      <c r="I119" s="50">
        <f t="shared" si="1"/>
        <v>0</v>
      </c>
      <c r="J119" s="90" t="s">
        <v>465</v>
      </c>
      <c r="K119" s="66" t="s">
        <v>317</v>
      </c>
    </row>
    <row r="120" spans="1:11" ht="29.1">
      <c r="A120" s="111"/>
      <c r="B120" s="103"/>
      <c r="C120" s="103"/>
      <c r="D120" s="106"/>
      <c r="E120" s="89" t="s">
        <v>466</v>
      </c>
      <c r="F120" s="89" t="s">
        <v>270</v>
      </c>
      <c r="G120" s="65" t="s">
        <v>268</v>
      </c>
      <c r="H120" s="90" t="s">
        <v>271</v>
      </c>
      <c r="I120" s="50">
        <f t="shared" si="1"/>
        <v>0.5</v>
      </c>
      <c r="J120" s="90" t="s">
        <v>467</v>
      </c>
      <c r="K120" s="66" t="s">
        <v>317</v>
      </c>
    </row>
    <row r="121" spans="1:11" ht="29.1">
      <c r="A121" s="111"/>
      <c r="B121" s="103"/>
      <c r="C121" s="103"/>
      <c r="D121" s="106"/>
      <c r="E121" s="89" t="s">
        <v>15</v>
      </c>
      <c r="F121" s="89" t="s">
        <v>270</v>
      </c>
      <c r="G121" s="65" t="s">
        <v>268</v>
      </c>
      <c r="H121" s="90" t="s">
        <v>271</v>
      </c>
      <c r="I121" s="50">
        <f t="shared" si="1"/>
        <v>0.5</v>
      </c>
      <c r="J121" s="90" t="s">
        <v>468</v>
      </c>
      <c r="K121" s="66" t="s">
        <v>317</v>
      </c>
    </row>
    <row r="122" spans="1:11" ht="29.45" thickBot="1">
      <c r="A122" s="112"/>
      <c r="B122" s="104"/>
      <c r="C122" s="104"/>
      <c r="D122" s="107"/>
      <c r="E122" s="91" t="s">
        <v>184</v>
      </c>
      <c r="F122" s="67" t="s">
        <v>270</v>
      </c>
      <c r="G122" s="67" t="s">
        <v>268</v>
      </c>
      <c r="H122" s="92" t="s">
        <v>303</v>
      </c>
      <c r="I122" s="54">
        <f t="shared" si="1"/>
        <v>0</v>
      </c>
      <c r="J122" s="92" t="s">
        <v>469</v>
      </c>
      <c r="K122" s="68" t="s">
        <v>317</v>
      </c>
    </row>
    <row r="123" spans="1:11" ht="15" customHeight="1">
      <c r="A123" s="111" t="s">
        <v>470</v>
      </c>
      <c r="B123" s="102" t="s">
        <v>471</v>
      </c>
      <c r="C123" s="102" t="s">
        <v>472</v>
      </c>
      <c r="D123" s="105" t="s">
        <v>268</v>
      </c>
      <c r="E123" s="87" t="s">
        <v>473</v>
      </c>
      <c r="F123" s="87" t="s">
        <v>270</v>
      </c>
      <c r="G123" s="63" t="s">
        <v>266</v>
      </c>
      <c r="H123" s="88" t="s">
        <v>271</v>
      </c>
      <c r="I123" s="58">
        <f>IF(OR(D123="N", G123="N"), 1, IF(H123="Minimally efficient and impactful", 1, IF(H123="Moderately efficient and impactful", 0.5, IF(H123="Highly efficient and impactful", 0, 0))))</f>
        <v>1</v>
      </c>
      <c r="J123" s="63"/>
      <c r="K123" s="64" t="s">
        <v>317</v>
      </c>
    </row>
    <row r="124" spans="1:11" ht="29.1">
      <c r="A124" s="111"/>
      <c r="B124" s="103"/>
      <c r="C124" s="103"/>
      <c r="D124" s="106"/>
      <c r="E124" s="89" t="s">
        <v>474</v>
      </c>
      <c r="F124" s="89" t="s">
        <v>270</v>
      </c>
      <c r="G124" s="65" t="s">
        <v>268</v>
      </c>
      <c r="H124" s="90" t="s">
        <v>303</v>
      </c>
      <c r="I124" s="50">
        <f t="shared" si="1"/>
        <v>0</v>
      </c>
      <c r="J124" s="90" t="s">
        <v>475</v>
      </c>
      <c r="K124" s="66" t="s">
        <v>317</v>
      </c>
    </row>
    <row r="125" spans="1:11" ht="29.1">
      <c r="A125" s="111"/>
      <c r="B125" s="103"/>
      <c r="C125" s="103"/>
      <c r="D125" s="106"/>
      <c r="E125" s="89" t="s">
        <v>476</v>
      </c>
      <c r="F125" s="89" t="s">
        <v>270</v>
      </c>
      <c r="G125" s="65" t="s">
        <v>268</v>
      </c>
      <c r="H125" s="90" t="s">
        <v>271</v>
      </c>
      <c r="I125" s="50">
        <f t="shared" si="1"/>
        <v>0.5</v>
      </c>
      <c r="J125" s="90" t="s">
        <v>477</v>
      </c>
      <c r="K125" s="66" t="s">
        <v>317</v>
      </c>
    </row>
    <row r="126" spans="1:11">
      <c r="A126" s="111"/>
      <c r="B126" s="103"/>
      <c r="C126" s="103"/>
      <c r="D126" s="106"/>
      <c r="E126" s="89" t="s">
        <v>478</v>
      </c>
      <c r="F126" s="89" t="s">
        <v>270</v>
      </c>
      <c r="G126" s="65" t="s">
        <v>268</v>
      </c>
      <c r="H126" s="90" t="s">
        <v>271</v>
      </c>
      <c r="I126" s="50">
        <f t="shared" si="1"/>
        <v>0.5</v>
      </c>
      <c r="J126" s="90" t="s">
        <v>479</v>
      </c>
      <c r="K126" s="66" t="s">
        <v>317</v>
      </c>
    </row>
    <row r="127" spans="1:11" ht="29.1">
      <c r="A127" s="111"/>
      <c r="B127" s="103"/>
      <c r="C127" s="103"/>
      <c r="D127" s="106"/>
      <c r="E127" s="89" t="s">
        <v>480</v>
      </c>
      <c r="F127" s="89" t="s">
        <v>481</v>
      </c>
      <c r="G127" s="65" t="s">
        <v>268</v>
      </c>
      <c r="H127" s="90" t="s">
        <v>271</v>
      </c>
      <c r="I127" s="50">
        <f t="shared" si="1"/>
        <v>0.5</v>
      </c>
      <c r="J127" s="90" t="s">
        <v>482</v>
      </c>
      <c r="K127" s="66" t="s">
        <v>317</v>
      </c>
    </row>
    <row r="128" spans="1:11">
      <c r="A128" s="111"/>
      <c r="B128" s="103"/>
      <c r="C128" s="103"/>
      <c r="D128" s="106"/>
      <c r="E128" s="89" t="s">
        <v>483</v>
      </c>
      <c r="F128" s="89" t="s">
        <v>270</v>
      </c>
      <c r="G128" s="65" t="s">
        <v>268</v>
      </c>
      <c r="H128" s="90" t="s">
        <v>271</v>
      </c>
      <c r="I128" s="50">
        <f t="shared" si="1"/>
        <v>0.5</v>
      </c>
      <c r="J128" s="90" t="s">
        <v>484</v>
      </c>
      <c r="K128" s="66" t="s">
        <v>317</v>
      </c>
    </row>
    <row r="129" spans="1:11" ht="29.1">
      <c r="A129" s="111"/>
      <c r="B129" s="103"/>
      <c r="C129" s="103"/>
      <c r="D129" s="106"/>
      <c r="E129" s="89" t="s">
        <v>485</v>
      </c>
      <c r="F129" s="89" t="s">
        <v>486</v>
      </c>
      <c r="G129" s="65" t="s">
        <v>268</v>
      </c>
      <c r="H129" s="90" t="s">
        <v>271</v>
      </c>
      <c r="I129" s="50">
        <f t="shared" si="1"/>
        <v>0.5</v>
      </c>
      <c r="J129" s="90" t="s">
        <v>487</v>
      </c>
      <c r="K129" s="66" t="s">
        <v>317</v>
      </c>
    </row>
    <row r="130" spans="1:11" ht="29.1">
      <c r="A130" s="111"/>
      <c r="B130" s="103"/>
      <c r="C130" s="103"/>
      <c r="D130" s="106"/>
      <c r="E130" s="89" t="s">
        <v>488</v>
      </c>
      <c r="F130" s="89" t="s">
        <v>270</v>
      </c>
      <c r="G130" s="65" t="s">
        <v>268</v>
      </c>
      <c r="H130" s="90" t="s">
        <v>303</v>
      </c>
      <c r="I130" s="50">
        <f t="shared" si="1"/>
        <v>0</v>
      </c>
      <c r="J130" s="90" t="s">
        <v>489</v>
      </c>
      <c r="K130" s="66" t="s">
        <v>317</v>
      </c>
    </row>
    <row r="131" spans="1:11" ht="29.1">
      <c r="A131" s="111"/>
      <c r="B131" s="103"/>
      <c r="C131" s="103"/>
      <c r="D131" s="106"/>
      <c r="E131" s="89" t="s">
        <v>98</v>
      </c>
      <c r="F131" s="89" t="s">
        <v>270</v>
      </c>
      <c r="G131" s="65" t="s">
        <v>268</v>
      </c>
      <c r="H131" s="90" t="s">
        <v>271</v>
      </c>
      <c r="I131" s="50">
        <f t="shared" si="1"/>
        <v>0.5</v>
      </c>
      <c r="J131" s="90" t="s">
        <v>490</v>
      </c>
      <c r="K131" s="66" t="s">
        <v>317</v>
      </c>
    </row>
    <row r="132" spans="1:11" ht="15" thickBot="1">
      <c r="A132" s="112"/>
      <c r="B132" s="104"/>
      <c r="C132" s="104"/>
      <c r="D132" s="107"/>
      <c r="E132" s="91"/>
      <c r="F132" s="67"/>
      <c r="G132" s="67"/>
      <c r="H132" s="67"/>
      <c r="I132" s="54">
        <f t="shared" ref="I132:I194" si="3">IF(OR(D132="N", G132="N"), 1, IF(H132="Minimally efficient and impactful", 1, IF(H132="Moderately efficient and impactful", 0.5, IF(H132="Highly efficient and impactful", 0, 0))))</f>
        <v>0</v>
      </c>
      <c r="J132" s="67"/>
      <c r="K132" s="68"/>
    </row>
    <row r="133" spans="1:11" ht="42" customHeight="1">
      <c r="A133" s="111" t="s">
        <v>491</v>
      </c>
      <c r="B133" s="102" t="s">
        <v>492</v>
      </c>
      <c r="C133" s="102" t="s">
        <v>493</v>
      </c>
      <c r="D133" s="105" t="s">
        <v>268</v>
      </c>
      <c r="E133" s="87" t="s">
        <v>494</v>
      </c>
      <c r="F133" s="87" t="s">
        <v>270</v>
      </c>
      <c r="G133" s="63" t="s">
        <v>268</v>
      </c>
      <c r="H133" s="88" t="s">
        <v>271</v>
      </c>
      <c r="I133" s="58">
        <f t="shared" si="3"/>
        <v>0.5</v>
      </c>
      <c r="J133" s="69" t="s">
        <v>495</v>
      </c>
      <c r="K133" s="64" t="s">
        <v>317</v>
      </c>
    </row>
    <row r="134" spans="1:11">
      <c r="A134" s="111"/>
      <c r="B134" s="103"/>
      <c r="C134" s="103"/>
      <c r="D134" s="106"/>
      <c r="E134" s="89" t="s">
        <v>496</v>
      </c>
      <c r="F134" s="89" t="s">
        <v>438</v>
      </c>
      <c r="G134" s="65" t="s">
        <v>268</v>
      </c>
      <c r="H134" s="90" t="s">
        <v>289</v>
      </c>
      <c r="I134" s="50">
        <f t="shared" si="3"/>
        <v>1</v>
      </c>
      <c r="J134" s="65"/>
      <c r="K134" s="66" t="s">
        <v>317</v>
      </c>
    </row>
    <row r="135" spans="1:11">
      <c r="A135" s="111"/>
      <c r="B135" s="103"/>
      <c r="C135" s="103"/>
      <c r="D135" s="106"/>
      <c r="E135" s="89" t="s">
        <v>497</v>
      </c>
      <c r="F135" s="89" t="s">
        <v>498</v>
      </c>
      <c r="G135" s="65" t="s">
        <v>268</v>
      </c>
      <c r="H135" s="90" t="s">
        <v>289</v>
      </c>
      <c r="I135" s="50">
        <f t="shared" si="3"/>
        <v>1</v>
      </c>
      <c r="J135" s="65"/>
      <c r="K135" s="66" t="s">
        <v>317</v>
      </c>
    </row>
    <row r="136" spans="1:11">
      <c r="A136" s="111"/>
      <c r="B136" s="103"/>
      <c r="C136" s="103"/>
      <c r="D136" s="106"/>
      <c r="E136" s="89" t="s">
        <v>499</v>
      </c>
      <c r="F136" s="89" t="s">
        <v>270</v>
      </c>
      <c r="G136" s="65" t="s">
        <v>268</v>
      </c>
      <c r="H136" s="90" t="s">
        <v>303</v>
      </c>
      <c r="I136" s="50">
        <f t="shared" si="3"/>
        <v>0</v>
      </c>
      <c r="J136" s="70" t="s">
        <v>500</v>
      </c>
      <c r="K136" s="66" t="s">
        <v>317</v>
      </c>
    </row>
    <row r="137" spans="1:11">
      <c r="A137" s="111"/>
      <c r="B137" s="103"/>
      <c r="C137" s="103"/>
      <c r="D137" s="106"/>
      <c r="E137" s="89" t="s">
        <v>501</v>
      </c>
      <c r="F137" s="89" t="s">
        <v>435</v>
      </c>
      <c r="G137" s="65" t="s">
        <v>268</v>
      </c>
      <c r="H137" s="90" t="s">
        <v>289</v>
      </c>
      <c r="I137" s="50">
        <f t="shared" si="3"/>
        <v>1</v>
      </c>
      <c r="J137" s="65"/>
      <c r="K137" s="66" t="s">
        <v>317</v>
      </c>
    </row>
    <row r="138" spans="1:11">
      <c r="A138" s="111"/>
      <c r="B138" s="103"/>
      <c r="C138" s="103"/>
      <c r="D138" s="106"/>
      <c r="E138" s="89" t="s">
        <v>502</v>
      </c>
      <c r="F138" s="89" t="s">
        <v>503</v>
      </c>
      <c r="G138" s="65" t="s">
        <v>268</v>
      </c>
      <c r="H138" s="90" t="s">
        <v>289</v>
      </c>
      <c r="I138" s="50">
        <f t="shared" si="3"/>
        <v>1</v>
      </c>
      <c r="J138" s="65"/>
      <c r="K138" s="66" t="s">
        <v>317</v>
      </c>
    </row>
    <row r="139" spans="1:11" ht="29.1">
      <c r="A139" s="111"/>
      <c r="B139" s="103"/>
      <c r="C139" s="103"/>
      <c r="D139" s="106"/>
      <c r="E139" s="89" t="s">
        <v>504</v>
      </c>
      <c r="F139" s="89" t="s">
        <v>270</v>
      </c>
      <c r="G139" s="65" t="s">
        <v>268</v>
      </c>
      <c r="H139" s="90" t="s">
        <v>303</v>
      </c>
      <c r="I139" s="50">
        <f t="shared" si="3"/>
        <v>0</v>
      </c>
      <c r="J139" s="90" t="s">
        <v>505</v>
      </c>
      <c r="K139" s="66" t="s">
        <v>317</v>
      </c>
    </row>
    <row r="140" spans="1:11" ht="29.1">
      <c r="A140" s="111"/>
      <c r="B140" s="103"/>
      <c r="C140" s="103"/>
      <c r="D140" s="106"/>
      <c r="E140" s="89" t="s">
        <v>506</v>
      </c>
      <c r="F140" s="89" t="s">
        <v>270</v>
      </c>
      <c r="G140" s="65" t="s">
        <v>268</v>
      </c>
      <c r="H140" s="90" t="s">
        <v>303</v>
      </c>
      <c r="I140" s="50">
        <f t="shared" si="3"/>
        <v>0</v>
      </c>
      <c r="J140" s="90" t="s">
        <v>507</v>
      </c>
      <c r="K140" s="66" t="s">
        <v>317</v>
      </c>
    </row>
    <row r="141" spans="1:11" ht="29.1">
      <c r="A141" s="111"/>
      <c r="B141" s="103"/>
      <c r="C141" s="103"/>
      <c r="D141" s="106"/>
      <c r="E141" s="89" t="s">
        <v>508</v>
      </c>
      <c r="F141" s="89" t="s">
        <v>270</v>
      </c>
      <c r="G141" s="65" t="s">
        <v>268</v>
      </c>
      <c r="H141" s="90" t="s">
        <v>303</v>
      </c>
      <c r="I141" s="50">
        <f t="shared" si="3"/>
        <v>0</v>
      </c>
      <c r="J141" s="90" t="s">
        <v>509</v>
      </c>
      <c r="K141" s="66" t="s">
        <v>317</v>
      </c>
    </row>
    <row r="142" spans="1:11" ht="29.45" thickBot="1">
      <c r="A142" s="112"/>
      <c r="B142" s="104"/>
      <c r="C142" s="104"/>
      <c r="D142" s="107"/>
      <c r="E142" s="91" t="s">
        <v>510</v>
      </c>
      <c r="F142" s="91" t="s">
        <v>511</v>
      </c>
      <c r="G142" s="67" t="s">
        <v>268</v>
      </c>
      <c r="H142" s="92" t="s">
        <v>271</v>
      </c>
      <c r="I142" s="54">
        <f t="shared" si="3"/>
        <v>0.5</v>
      </c>
      <c r="J142" s="92" t="s">
        <v>512</v>
      </c>
      <c r="K142" s="68" t="s">
        <v>317</v>
      </c>
    </row>
    <row r="143" spans="1:11" ht="15" customHeight="1" thickBot="1">
      <c r="A143" s="111" t="s">
        <v>513</v>
      </c>
      <c r="B143" s="102" t="s">
        <v>514</v>
      </c>
      <c r="C143" s="102" t="s">
        <v>515</v>
      </c>
      <c r="D143" s="116" t="s">
        <v>266</v>
      </c>
      <c r="E143" s="63"/>
      <c r="F143" s="63"/>
      <c r="G143" s="71"/>
      <c r="H143" s="63"/>
      <c r="I143" s="72">
        <f t="shared" si="3"/>
        <v>1</v>
      </c>
      <c r="J143" s="73"/>
      <c r="K143" s="64" t="s">
        <v>317</v>
      </c>
    </row>
    <row r="144" spans="1:11" ht="15" thickBot="1">
      <c r="A144" s="111"/>
      <c r="B144" s="103"/>
      <c r="C144" s="103"/>
      <c r="D144" s="116"/>
      <c r="E144" s="65"/>
      <c r="F144" s="65"/>
      <c r="G144" s="74"/>
      <c r="H144" s="65"/>
      <c r="I144" s="75">
        <f t="shared" si="3"/>
        <v>0</v>
      </c>
      <c r="J144" s="76"/>
      <c r="K144" s="66"/>
    </row>
    <row r="145" spans="1:11" ht="15" thickBot="1">
      <c r="A145" s="111"/>
      <c r="B145" s="103"/>
      <c r="C145" s="103"/>
      <c r="D145" s="116"/>
      <c r="E145" s="65"/>
      <c r="F145" s="65"/>
      <c r="G145" s="65"/>
      <c r="H145" s="63"/>
      <c r="I145" s="75">
        <f t="shared" si="3"/>
        <v>0</v>
      </c>
      <c r="J145" s="76"/>
      <c r="K145" s="66"/>
    </row>
    <row r="146" spans="1:11" ht="15" thickBot="1">
      <c r="A146" s="111"/>
      <c r="B146" s="103"/>
      <c r="C146" s="103"/>
      <c r="D146" s="116"/>
      <c r="E146" s="65"/>
      <c r="F146" s="65"/>
      <c r="G146" s="65"/>
      <c r="H146" s="65"/>
      <c r="I146" s="75">
        <f t="shared" si="3"/>
        <v>0</v>
      </c>
      <c r="J146" s="76"/>
      <c r="K146" s="66"/>
    </row>
    <row r="147" spans="1:11" ht="15" thickBot="1">
      <c r="A147" s="111"/>
      <c r="B147" s="103"/>
      <c r="C147" s="103"/>
      <c r="D147" s="116"/>
      <c r="E147" s="65"/>
      <c r="F147" s="65"/>
      <c r="G147" s="65"/>
      <c r="H147" s="65"/>
      <c r="I147" s="75">
        <f t="shared" si="3"/>
        <v>0</v>
      </c>
      <c r="J147" s="76"/>
      <c r="K147" s="66"/>
    </row>
    <row r="148" spans="1:11" ht="15" thickBot="1">
      <c r="A148" s="111"/>
      <c r="B148" s="103"/>
      <c r="C148" s="103"/>
      <c r="D148" s="116"/>
      <c r="E148" s="65"/>
      <c r="F148" s="65"/>
      <c r="G148" s="65"/>
      <c r="H148" s="65"/>
      <c r="I148" s="75">
        <f t="shared" si="3"/>
        <v>0</v>
      </c>
      <c r="J148" s="76"/>
      <c r="K148" s="66"/>
    </row>
    <row r="149" spans="1:11" ht="15" thickBot="1">
      <c r="A149" s="111"/>
      <c r="B149" s="103"/>
      <c r="C149" s="103"/>
      <c r="D149" s="116"/>
      <c r="E149" s="65"/>
      <c r="F149" s="65"/>
      <c r="G149" s="65"/>
      <c r="H149" s="65"/>
      <c r="I149" s="75">
        <f t="shared" si="3"/>
        <v>0</v>
      </c>
      <c r="J149" s="76"/>
      <c r="K149" s="66"/>
    </row>
    <row r="150" spans="1:11" ht="15" thickBot="1">
      <c r="A150" s="111"/>
      <c r="B150" s="103"/>
      <c r="C150" s="103"/>
      <c r="D150" s="116"/>
      <c r="E150" s="65"/>
      <c r="F150" s="65"/>
      <c r="G150" s="65"/>
      <c r="H150" s="65"/>
      <c r="I150" s="75">
        <f t="shared" si="3"/>
        <v>0</v>
      </c>
      <c r="J150" s="76"/>
      <c r="K150" s="66"/>
    </row>
    <row r="151" spans="1:11" ht="15" thickBot="1">
      <c r="A151" s="111"/>
      <c r="B151" s="103"/>
      <c r="C151" s="103"/>
      <c r="D151" s="116"/>
      <c r="E151" s="65"/>
      <c r="F151" s="65"/>
      <c r="G151" s="65"/>
      <c r="H151" s="65"/>
      <c r="I151" s="75">
        <f t="shared" si="3"/>
        <v>0</v>
      </c>
      <c r="J151" s="76"/>
      <c r="K151" s="66"/>
    </row>
    <row r="152" spans="1:11" ht="17.25" customHeight="1" thickBot="1">
      <c r="A152" s="112"/>
      <c r="B152" s="104"/>
      <c r="C152" s="104"/>
      <c r="D152" s="117"/>
      <c r="E152" s="67"/>
      <c r="F152" s="67"/>
      <c r="G152" s="67"/>
      <c r="H152" s="67"/>
      <c r="I152" s="77">
        <f t="shared" si="3"/>
        <v>0</v>
      </c>
      <c r="J152" s="78"/>
      <c r="K152" s="68"/>
    </row>
    <row r="153" spans="1:11" ht="15" customHeight="1" thickBot="1">
      <c r="A153" s="111" t="s">
        <v>516</v>
      </c>
      <c r="B153" s="114" t="s">
        <v>517</v>
      </c>
      <c r="C153" s="114" t="s">
        <v>518</v>
      </c>
      <c r="D153" s="116" t="s">
        <v>266</v>
      </c>
      <c r="E153" s="63"/>
      <c r="F153" s="63"/>
      <c r="G153" s="63"/>
      <c r="H153" s="63"/>
      <c r="I153" s="72">
        <f t="shared" si="3"/>
        <v>1</v>
      </c>
      <c r="J153" s="73"/>
      <c r="K153" s="64"/>
    </row>
    <row r="154" spans="1:11" ht="15" thickBot="1">
      <c r="A154" s="111"/>
      <c r="B154" s="114"/>
      <c r="C154" s="114"/>
      <c r="D154" s="116"/>
      <c r="E154" s="65"/>
      <c r="F154" s="65"/>
      <c r="G154" s="65"/>
      <c r="H154" s="65"/>
      <c r="I154" s="75">
        <f t="shared" si="3"/>
        <v>0</v>
      </c>
      <c r="J154" s="76"/>
      <c r="K154" s="66"/>
    </row>
    <row r="155" spans="1:11" ht="15" thickBot="1">
      <c r="A155" s="111"/>
      <c r="B155" s="114"/>
      <c r="C155" s="114"/>
      <c r="D155" s="116"/>
      <c r="E155" s="65"/>
      <c r="F155" s="65"/>
      <c r="G155" s="65"/>
      <c r="H155" s="65"/>
      <c r="I155" s="75">
        <f t="shared" si="3"/>
        <v>0</v>
      </c>
      <c r="J155" s="76"/>
      <c r="K155" s="66"/>
    </row>
    <row r="156" spans="1:11" ht="15" thickBot="1">
      <c r="A156" s="111"/>
      <c r="B156" s="114"/>
      <c r="C156" s="114"/>
      <c r="D156" s="116"/>
      <c r="E156" s="65"/>
      <c r="F156" s="65"/>
      <c r="G156" s="65"/>
      <c r="H156" s="65"/>
      <c r="I156" s="75">
        <f t="shared" si="3"/>
        <v>0</v>
      </c>
      <c r="J156" s="76"/>
      <c r="K156" s="66"/>
    </row>
    <row r="157" spans="1:11" ht="15" thickBot="1">
      <c r="A157" s="111"/>
      <c r="B157" s="114"/>
      <c r="C157" s="114"/>
      <c r="D157" s="116"/>
      <c r="E157" s="65"/>
      <c r="F157" s="65"/>
      <c r="G157" s="65"/>
      <c r="H157" s="65"/>
      <c r="I157" s="75">
        <f t="shared" si="3"/>
        <v>0</v>
      </c>
      <c r="J157" s="76"/>
      <c r="K157" s="66"/>
    </row>
    <row r="158" spans="1:11" ht="15" thickBot="1">
      <c r="A158" s="111"/>
      <c r="B158" s="114"/>
      <c r="C158" s="114"/>
      <c r="D158" s="116"/>
      <c r="E158" s="65"/>
      <c r="F158" s="65"/>
      <c r="G158" s="65"/>
      <c r="H158" s="65"/>
      <c r="I158" s="75">
        <f t="shared" si="3"/>
        <v>0</v>
      </c>
      <c r="J158" s="76"/>
      <c r="K158" s="66"/>
    </row>
    <row r="159" spans="1:11" ht="15" thickBot="1">
      <c r="A159" s="111"/>
      <c r="B159" s="114"/>
      <c r="C159" s="114"/>
      <c r="D159" s="116"/>
      <c r="E159" s="65"/>
      <c r="F159" s="65"/>
      <c r="G159" s="65"/>
      <c r="H159" s="65"/>
      <c r="I159" s="75">
        <f t="shared" si="3"/>
        <v>0</v>
      </c>
      <c r="J159" s="76"/>
      <c r="K159" s="66"/>
    </row>
    <row r="160" spans="1:11" ht="15" thickBot="1">
      <c r="A160" s="111"/>
      <c r="B160" s="114"/>
      <c r="C160" s="114"/>
      <c r="D160" s="116"/>
      <c r="E160" s="65"/>
      <c r="F160" s="65"/>
      <c r="G160" s="65"/>
      <c r="H160" s="65"/>
      <c r="I160" s="75">
        <f t="shared" si="3"/>
        <v>0</v>
      </c>
      <c r="J160" s="76"/>
      <c r="K160" s="66"/>
    </row>
    <row r="161" spans="1:11" ht="15" thickBot="1">
      <c r="A161" s="111"/>
      <c r="B161" s="114"/>
      <c r="C161" s="114"/>
      <c r="D161" s="116"/>
      <c r="E161" s="65"/>
      <c r="F161" s="65"/>
      <c r="G161" s="65"/>
      <c r="H161" s="65"/>
      <c r="I161" s="75">
        <f t="shared" si="3"/>
        <v>0</v>
      </c>
      <c r="J161" s="76"/>
      <c r="K161" s="66"/>
    </row>
    <row r="162" spans="1:11" ht="15" thickBot="1">
      <c r="A162" s="112"/>
      <c r="B162" s="115"/>
      <c r="C162" s="115"/>
      <c r="D162" s="117"/>
      <c r="E162" s="67"/>
      <c r="F162" s="67"/>
      <c r="G162" s="67"/>
      <c r="H162" s="67"/>
      <c r="I162" s="77">
        <f t="shared" si="3"/>
        <v>0</v>
      </c>
      <c r="J162" s="78"/>
      <c r="K162" s="68"/>
    </row>
    <row r="163" spans="1:11" ht="15" customHeight="1" thickBot="1">
      <c r="A163" s="111" t="s">
        <v>519</v>
      </c>
      <c r="B163" s="114" t="s">
        <v>520</v>
      </c>
      <c r="C163" s="114" t="s">
        <v>521</v>
      </c>
      <c r="D163" s="116" t="s">
        <v>268</v>
      </c>
      <c r="E163" s="63" t="s">
        <v>522</v>
      </c>
      <c r="F163" s="63" t="s">
        <v>308</v>
      </c>
      <c r="G163" s="63" t="s">
        <v>268</v>
      </c>
      <c r="H163" s="63" t="s">
        <v>271</v>
      </c>
      <c r="I163" s="72">
        <f t="shared" si="3"/>
        <v>0.5</v>
      </c>
      <c r="J163" s="73"/>
      <c r="K163" s="64"/>
    </row>
    <row r="164" spans="1:11" ht="15" thickBot="1">
      <c r="A164" s="111"/>
      <c r="B164" s="114"/>
      <c r="C164" s="114"/>
      <c r="D164" s="116"/>
      <c r="E164" s="65" t="s">
        <v>523</v>
      </c>
      <c r="F164" s="65" t="s">
        <v>270</v>
      </c>
      <c r="G164" s="65" t="s">
        <v>268</v>
      </c>
      <c r="H164" s="65" t="s">
        <v>271</v>
      </c>
      <c r="I164" s="75">
        <f t="shared" si="3"/>
        <v>0.5</v>
      </c>
      <c r="J164" s="76" t="s">
        <v>524</v>
      </c>
      <c r="K164" s="66"/>
    </row>
    <row r="165" spans="1:11" ht="15" thickBot="1">
      <c r="A165" s="111"/>
      <c r="B165" s="114"/>
      <c r="C165" s="114"/>
      <c r="D165" s="116"/>
      <c r="E165" s="65" t="s">
        <v>525</v>
      </c>
      <c r="F165" s="65" t="s">
        <v>270</v>
      </c>
      <c r="G165" s="65" t="s">
        <v>268</v>
      </c>
      <c r="H165" s="65" t="s">
        <v>289</v>
      </c>
      <c r="I165" s="75">
        <f t="shared" si="3"/>
        <v>1</v>
      </c>
      <c r="J165" s="76"/>
      <c r="K165" s="66"/>
    </row>
    <row r="166" spans="1:11" ht="15" thickBot="1">
      <c r="A166" s="111"/>
      <c r="B166" s="114"/>
      <c r="C166" s="114"/>
      <c r="D166" s="116"/>
      <c r="E166" s="65" t="s">
        <v>526</v>
      </c>
      <c r="F166" s="65" t="s">
        <v>270</v>
      </c>
      <c r="G166" s="65" t="s">
        <v>268</v>
      </c>
      <c r="H166" s="65" t="s">
        <v>289</v>
      </c>
      <c r="I166" s="75">
        <f t="shared" si="3"/>
        <v>1</v>
      </c>
      <c r="J166" s="76"/>
      <c r="K166" s="66"/>
    </row>
    <row r="167" spans="1:11" ht="15" thickBot="1">
      <c r="A167" s="111"/>
      <c r="B167" s="114"/>
      <c r="C167" s="114"/>
      <c r="D167" s="116"/>
      <c r="E167" s="65" t="s">
        <v>527</v>
      </c>
      <c r="F167" s="65" t="s">
        <v>270</v>
      </c>
      <c r="G167" s="65" t="s">
        <v>268</v>
      </c>
      <c r="H167" s="65" t="s">
        <v>271</v>
      </c>
      <c r="I167" s="75">
        <f t="shared" si="3"/>
        <v>0.5</v>
      </c>
      <c r="J167" s="76" t="s">
        <v>524</v>
      </c>
      <c r="K167" s="66"/>
    </row>
    <row r="168" spans="1:11" ht="15" thickBot="1">
      <c r="A168" s="111"/>
      <c r="B168" s="114"/>
      <c r="C168" s="114"/>
      <c r="D168" s="116"/>
      <c r="E168" s="65" t="s">
        <v>15</v>
      </c>
      <c r="F168" s="65" t="s">
        <v>270</v>
      </c>
      <c r="G168" s="65" t="s">
        <v>268</v>
      </c>
      <c r="H168" s="65" t="s">
        <v>289</v>
      </c>
      <c r="I168" s="75">
        <f t="shared" si="3"/>
        <v>1</v>
      </c>
      <c r="J168" s="76"/>
      <c r="K168" s="66"/>
    </row>
    <row r="169" spans="1:11" ht="15" thickBot="1">
      <c r="A169" s="111"/>
      <c r="B169" s="114"/>
      <c r="C169" s="114"/>
      <c r="D169" s="116"/>
      <c r="E169" s="65"/>
      <c r="F169" s="65"/>
      <c r="G169" s="65"/>
      <c r="H169" s="65"/>
      <c r="I169" s="75">
        <f t="shared" si="3"/>
        <v>0</v>
      </c>
      <c r="J169" s="76"/>
      <c r="K169" s="66"/>
    </row>
    <row r="170" spans="1:11" ht="15" thickBot="1">
      <c r="A170" s="111"/>
      <c r="B170" s="114"/>
      <c r="C170" s="114"/>
      <c r="D170" s="116"/>
      <c r="E170" s="65"/>
      <c r="F170" s="65"/>
      <c r="G170" s="65"/>
      <c r="H170" s="65"/>
      <c r="I170" s="75">
        <f t="shared" si="3"/>
        <v>0</v>
      </c>
      <c r="J170" s="76"/>
      <c r="K170" s="66"/>
    </row>
    <row r="171" spans="1:11" ht="15" thickBot="1">
      <c r="A171" s="111"/>
      <c r="B171" s="114"/>
      <c r="C171" s="114"/>
      <c r="D171" s="116"/>
      <c r="E171" s="65"/>
      <c r="F171" s="65"/>
      <c r="G171" s="65"/>
      <c r="H171" s="65"/>
      <c r="I171" s="75">
        <f t="shared" si="3"/>
        <v>0</v>
      </c>
      <c r="J171" s="76"/>
      <c r="K171" s="66"/>
    </row>
    <row r="172" spans="1:11" ht="206.45" customHeight="1" thickBot="1">
      <c r="A172" s="112"/>
      <c r="B172" s="115"/>
      <c r="C172" s="115"/>
      <c r="D172" s="117"/>
      <c r="E172" s="79" t="s">
        <v>528</v>
      </c>
      <c r="F172" s="67"/>
      <c r="G172" s="67"/>
      <c r="H172" s="67"/>
      <c r="I172" s="77">
        <f t="shared" si="3"/>
        <v>0</v>
      </c>
      <c r="J172" s="78"/>
      <c r="K172" s="68"/>
    </row>
    <row r="173" spans="1:11" ht="15" customHeight="1" thickBot="1">
      <c r="A173" s="111" t="s">
        <v>529</v>
      </c>
      <c r="B173" s="114" t="s">
        <v>530</v>
      </c>
      <c r="C173" s="114" t="s">
        <v>531</v>
      </c>
      <c r="D173" s="116" t="s">
        <v>268</v>
      </c>
      <c r="E173" s="63" t="s">
        <v>523</v>
      </c>
      <c r="F173" s="63" t="s">
        <v>270</v>
      </c>
      <c r="G173" s="63" t="s">
        <v>268</v>
      </c>
      <c r="H173" s="63" t="s">
        <v>271</v>
      </c>
      <c r="I173" s="72">
        <f t="shared" si="3"/>
        <v>0.5</v>
      </c>
      <c r="J173" s="73" t="s">
        <v>532</v>
      </c>
      <c r="K173" s="64" t="s">
        <v>533</v>
      </c>
    </row>
    <row r="174" spans="1:11" ht="15" thickBot="1">
      <c r="A174" s="111"/>
      <c r="B174" s="114"/>
      <c r="C174" s="114"/>
      <c r="D174" s="116"/>
      <c r="E174" s="65"/>
      <c r="F174" s="65"/>
      <c r="G174" s="65"/>
      <c r="H174" s="65"/>
      <c r="I174" s="75">
        <f t="shared" si="3"/>
        <v>0</v>
      </c>
      <c r="J174" s="76"/>
      <c r="K174" s="66"/>
    </row>
    <row r="175" spans="1:11" ht="15" thickBot="1">
      <c r="A175" s="111"/>
      <c r="B175" s="114"/>
      <c r="C175" s="114"/>
      <c r="D175" s="116"/>
      <c r="E175" s="65"/>
      <c r="F175" s="65"/>
      <c r="G175" s="65"/>
      <c r="H175" s="65"/>
      <c r="I175" s="75">
        <f t="shared" si="3"/>
        <v>0</v>
      </c>
      <c r="J175" s="76"/>
      <c r="K175" s="66"/>
    </row>
    <row r="176" spans="1:11" ht="15" thickBot="1">
      <c r="A176" s="111"/>
      <c r="B176" s="114"/>
      <c r="C176" s="114"/>
      <c r="D176" s="116"/>
      <c r="E176" s="65"/>
      <c r="F176" s="65"/>
      <c r="G176" s="65"/>
      <c r="H176" s="65"/>
      <c r="I176" s="75">
        <f t="shared" si="3"/>
        <v>0</v>
      </c>
      <c r="J176" s="76"/>
      <c r="K176" s="66"/>
    </row>
    <row r="177" spans="1:11" ht="15" thickBot="1">
      <c r="A177" s="111"/>
      <c r="B177" s="114"/>
      <c r="C177" s="114"/>
      <c r="D177" s="116"/>
      <c r="E177" s="65"/>
      <c r="F177" s="65"/>
      <c r="G177" s="65"/>
      <c r="H177" s="65"/>
      <c r="I177" s="75">
        <f t="shared" si="3"/>
        <v>0</v>
      </c>
      <c r="J177" s="76"/>
      <c r="K177" s="66"/>
    </row>
    <row r="178" spans="1:11" ht="15" thickBot="1">
      <c r="A178" s="111"/>
      <c r="B178" s="114"/>
      <c r="C178" s="114"/>
      <c r="D178" s="116"/>
      <c r="E178" s="65"/>
      <c r="F178" s="65"/>
      <c r="G178" s="65"/>
      <c r="H178" s="65"/>
      <c r="I178" s="75">
        <f t="shared" si="3"/>
        <v>0</v>
      </c>
      <c r="J178" s="76"/>
      <c r="K178" s="66"/>
    </row>
    <row r="179" spans="1:11" ht="15" thickBot="1">
      <c r="A179" s="111"/>
      <c r="B179" s="114"/>
      <c r="C179" s="114"/>
      <c r="D179" s="116"/>
      <c r="E179" s="65"/>
      <c r="F179" s="65"/>
      <c r="G179" s="65"/>
      <c r="H179" s="65"/>
      <c r="I179" s="75">
        <f t="shared" si="3"/>
        <v>0</v>
      </c>
      <c r="J179" s="76"/>
      <c r="K179" s="66"/>
    </row>
    <row r="180" spans="1:11" ht="15" thickBot="1">
      <c r="A180" s="111"/>
      <c r="B180" s="114"/>
      <c r="C180" s="114"/>
      <c r="D180" s="116"/>
      <c r="E180" s="65"/>
      <c r="F180" s="65"/>
      <c r="G180" s="65"/>
      <c r="H180" s="65"/>
      <c r="I180" s="75">
        <f t="shared" si="3"/>
        <v>0</v>
      </c>
      <c r="J180" s="76"/>
      <c r="K180" s="66"/>
    </row>
    <row r="181" spans="1:11" ht="15" thickBot="1">
      <c r="A181" s="111"/>
      <c r="B181" s="114"/>
      <c r="C181" s="114"/>
      <c r="D181" s="116"/>
      <c r="E181" s="65"/>
      <c r="F181" s="65"/>
      <c r="G181" s="65"/>
      <c r="H181" s="65"/>
      <c r="I181" s="75">
        <f t="shared" si="3"/>
        <v>0</v>
      </c>
      <c r="J181" s="76"/>
      <c r="K181" s="66"/>
    </row>
    <row r="182" spans="1:11" ht="15" thickBot="1">
      <c r="A182" s="112"/>
      <c r="B182" s="115"/>
      <c r="C182" s="115"/>
      <c r="D182" s="117"/>
      <c r="E182" s="67"/>
      <c r="F182" s="67"/>
      <c r="G182" s="67"/>
      <c r="H182" s="67"/>
      <c r="I182" s="77">
        <f t="shared" si="3"/>
        <v>0</v>
      </c>
      <c r="J182" s="78"/>
      <c r="K182" s="68"/>
    </row>
    <row r="183" spans="1:11" ht="15" customHeight="1" thickBot="1">
      <c r="A183" s="111" t="s">
        <v>534</v>
      </c>
      <c r="B183" s="114" t="s">
        <v>535</v>
      </c>
      <c r="C183" s="113" t="s">
        <v>536</v>
      </c>
      <c r="D183" s="116" t="s">
        <v>268</v>
      </c>
      <c r="E183" s="63" t="s">
        <v>537</v>
      </c>
      <c r="F183" s="63" t="s">
        <v>270</v>
      </c>
      <c r="G183" s="63" t="s">
        <v>268</v>
      </c>
      <c r="H183" s="63" t="s">
        <v>271</v>
      </c>
      <c r="I183" s="72">
        <f t="shared" si="3"/>
        <v>0.5</v>
      </c>
      <c r="J183" s="80" t="s">
        <v>538</v>
      </c>
      <c r="K183" s="64"/>
    </row>
    <row r="184" spans="1:11" ht="15" thickBot="1">
      <c r="A184" s="111"/>
      <c r="B184" s="114"/>
      <c r="C184" s="114"/>
      <c r="D184" s="116"/>
      <c r="E184" s="65" t="s">
        <v>539</v>
      </c>
      <c r="F184" s="65" t="s">
        <v>248</v>
      </c>
      <c r="G184" s="65" t="s">
        <v>266</v>
      </c>
      <c r="H184" s="65" t="s">
        <v>289</v>
      </c>
      <c r="I184" s="75">
        <f t="shared" si="3"/>
        <v>1</v>
      </c>
      <c r="J184" s="81" t="s">
        <v>540</v>
      </c>
      <c r="K184" s="66"/>
    </row>
    <row r="185" spans="1:11" ht="15" thickBot="1">
      <c r="A185" s="111"/>
      <c r="B185" s="114"/>
      <c r="C185" s="114"/>
      <c r="D185" s="116"/>
      <c r="E185" s="65" t="s">
        <v>541</v>
      </c>
      <c r="F185" s="65" t="s">
        <v>248</v>
      </c>
      <c r="G185" s="65" t="s">
        <v>268</v>
      </c>
      <c r="H185" s="65" t="s">
        <v>289</v>
      </c>
      <c r="I185" s="75">
        <f t="shared" si="3"/>
        <v>1</v>
      </c>
      <c r="J185" s="82" t="s">
        <v>542</v>
      </c>
      <c r="K185" s="66"/>
    </row>
    <row r="186" spans="1:11" ht="15" thickBot="1">
      <c r="A186" s="111"/>
      <c r="B186" s="114"/>
      <c r="C186" s="114"/>
      <c r="D186" s="116"/>
      <c r="E186" s="65" t="s">
        <v>543</v>
      </c>
      <c r="F186" s="65" t="s">
        <v>270</v>
      </c>
      <c r="G186" s="65" t="s">
        <v>266</v>
      </c>
      <c r="H186" s="65" t="s">
        <v>289</v>
      </c>
      <c r="I186" s="75">
        <f t="shared" si="3"/>
        <v>1</v>
      </c>
      <c r="J186" s="81" t="s">
        <v>544</v>
      </c>
      <c r="K186" s="66"/>
    </row>
    <row r="187" spans="1:11" ht="15" thickBot="1">
      <c r="A187" s="111"/>
      <c r="B187" s="114"/>
      <c r="C187" s="114"/>
      <c r="D187" s="116"/>
      <c r="E187" s="65"/>
      <c r="F187" s="65" t="s">
        <v>245</v>
      </c>
      <c r="G187" s="65"/>
      <c r="H187" s="65"/>
      <c r="I187" s="75">
        <f t="shared" si="3"/>
        <v>0</v>
      </c>
      <c r="J187" s="76"/>
      <c r="K187" s="66"/>
    </row>
    <row r="188" spans="1:11" ht="15" thickBot="1">
      <c r="A188" s="111"/>
      <c r="B188" s="114"/>
      <c r="C188" s="114"/>
      <c r="D188" s="116"/>
      <c r="E188" s="65"/>
      <c r="F188" s="65"/>
      <c r="G188" s="65"/>
      <c r="H188" s="65"/>
      <c r="I188" s="75">
        <f t="shared" si="3"/>
        <v>0</v>
      </c>
      <c r="J188" s="76"/>
      <c r="K188" s="66"/>
    </row>
    <row r="189" spans="1:11" ht="15" thickBot="1">
      <c r="A189" s="111"/>
      <c r="B189" s="114"/>
      <c r="C189" s="114"/>
      <c r="D189" s="116"/>
      <c r="E189" s="65"/>
      <c r="F189" s="65"/>
      <c r="G189" s="65"/>
      <c r="H189" s="65"/>
      <c r="I189" s="75">
        <f t="shared" si="3"/>
        <v>0</v>
      </c>
      <c r="J189" s="76"/>
      <c r="K189" s="66"/>
    </row>
    <row r="190" spans="1:11" ht="15" thickBot="1">
      <c r="A190" s="111"/>
      <c r="B190" s="114"/>
      <c r="C190" s="114"/>
      <c r="D190" s="116"/>
      <c r="E190" s="65"/>
      <c r="F190" s="65"/>
      <c r="G190" s="65"/>
      <c r="H190" s="65"/>
      <c r="I190" s="75">
        <f t="shared" si="3"/>
        <v>0</v>
      </c>
      <c r="J190" s="76"/>
      <c r="K190" s="66"/>
    </row>
    <row r="191" spans="1:11" ht="15" thickBot="1">
      <c r="A191" s="111"/>
      <c r="B191" s="114"/>
      <c r="C191" s="114"/>
      <c r="D191" s="116"/>
      <c r="E191" s="65"/>
      <c r="F191" s="65"/>
      <c r="G191" s="65"/>
      <c r="H191" s="65"/>
      <c r="I191" s="75">
        <f t="shared" si="3"/>
        <v>0</v>
      </c>
      <c r="J191" s="76"/>
      <c r="K191" s="66"/>
    </row>
    <row r="192" spans="1:11" ht="15" thickBot="1">
      <c r="A192" s="112"/>
      <c r="B192" s="115"/>
      <c r="C192" s="115"/>
      <c r="D192" s="117"/>
      <c r="E192" s="67"/>
      <c r="F192" s="67"/>
      <c r="G192" s="67"/>
      <c r="H192" s="67"/>
      <c r="I192" s="77">
        <f t="shared" si="3"/>
        <v>0</v>
      </c>
      <c r="J192" s="78"/>
      <c r="K192" s="68"/>
    </row>
    <row r="193" spans="1:11" ht="15" customHeight="1" thickBot="1">
      <c r="A193" s="111" t="s">
        <v>545</v>
      </c>
      <c r="B193" s="114" t="s">
        <v>546</v>
      </c>
      <c r="C193" s="114" t="s">
        <v>547</v>
      </c>
      <c r="D193" s="116" t="s">
        <v>268</v>
      </c>
      <c r="E193" s="63" t="s">
        <v>523</v>
      </c>
      <c r="F193" s="63" t="s">
        <v>270</v>
      </c>
      <c r="G193" s="63" t="s">
        <v>268</v>
      </c>
      <c r="H193" s="63" t="s">
        <v>271</v>
      </c>
      <c r="I193" s="72">
        <f t="shared" si="3"/>
        <v>0.5</v>
      </c>
      <c r="J193" s="73" t="s">
        <v>548</v>
      </c>
      <c r="K193" s="64"/>
    </row>
    <row r="194" spans="1:11" ht="15" thickBot="1">
      <c r="A194" s="111"/>
      <c r="B194" s="114"/>
      <c r="C194" s="114"/>
      <c r="D194" s="116"/>
      <c r="E194" s="65" t="s">
        <v>549</v>
      </c>
      <c r="F194" s="65" t="s">
        <v>270</v>
      </c>
      <c r="G194" s="65" t="s">
        <v>268</v>
      </c>
      <c r="H194" s="65"/>
      <c r="I194" s="75">
        <f t="shared" si="3"/>
        <v>0</v>
      </c>
      <c r="J194" s="76" t="s">
        <v>550</v>
      </c>
      <c r="K194" s="66"/>
    </row>
    <row r="195" spans="1:11" ht="15" thickBot="1">
      <c r="A195" s="111"/>
      <c r="B195" s="114"/>
      <c r="C195" s="114"/>
      <c r="D195" s="116"/>
      <c r="E195" s="65" t="s">
        <v>551</v>
      </c>
      <c r="F195" s="65" t="s">
        <v>270</v>
      </c>
      <c r="G195" s="65" t="s">
        <v>268</v>
      </c>
      <c r="H195" s="65" t="s">
        <v>303</v>
      </c>
      <c r="I195" s="75">
        <v>1</v>
      </c>
      <c r="J195" s="76" t="s">
        <v>552</v>
      </c>
      <c r="K195" s="66"/>
    </row>
    <row r="196" spans="1:11" ht="15" thickBot="1">
      <c r="A196" s="111"/>
      <c r="B196" s="114"/>
      <c r="C196" s="114"/>
      <c r="D196" s="116"/>
      <c r="E196" s="65" t="s">
        <v>553</v>
      </c>
      <c r="F196" s="65" t="s">
        <v>270</v>
      </c>
      <c r="G196" s="65" t="s">
        <v>268</v>
      </c>
      <c r="H196" s="65"/>
      <c r="I196" s="75">
        <f t="shared" ref="I196:I242" si="4">IF(OR(D196="N", G196="N"), 1, IF(H196="Minimally efficient and impactful", 1, IF(H196="Moderately efficient and impactful", 0.5, IF(H196="Highly efficient and impactful", 0, 0))))</f>
        <v>0</v>
      </c>
      <c r="J196" s="76" t="s">
        <v>554</v>
      </c>
      <c r="K196" s="66"/>
    </row>
    <row r="197" spans="1:11" ht="15" thickBot="1">
      <c r="A197" s="111"/>
      <c r="B197" s="114"/>
      <c r="C197" s="114"/>
      <c r="D197" s="116"/>
      <c r="E197" s="65" t="s">
        <v>555</v>
      </c>
      <c r="F197" s="65" t="s">
        <v>270</v>
      </c>
      <c r="G197" s="65" t="s">
        <v>268</v>
      </c>
      <c r="H197" s="65"/>
      <c r="I197" s="75">
        <f t="shared" si="4"/>
        <v>0</v>
      </c>
      <c r="J197" s="76" t="s">
        <v>554</v>
      </c>
      <c r="K197" s="66"/>
    </row>
    <row r="198" spans="1:11" ht="15" thickBot="1">
      <c r="A198" s="111"/>
      <c r="B198" s="114"/>
      <c r="C198" s="114"/>
      <c r="D198" s="116"/>
      <c r="E198" s="65" t="s">
        <v>556</v>
      </c>
      <c r="F198" s="65" t="s">
        <v>270</v>
      </c>
      <c r="G198" s="65" t="s">
        <v>268</v>
      </c>
      <c r="H198" s="65"/>
      <c r="I198" s="75">
        <f t="shared" si="4"/>
        <v>0</v>
      </c>
      <c r="J198" s="76" t="s">
        <v>554</v>
      </c>
      <c r="K198" s="66"/>
    </row>
    <row r="199" spans="1:11" ht="15" thickBot="1">
      <c r="A199" s="111"/>
      <c r="B199" s="114"/>
      <c r="C199" s="114"/>
      <c r="D199" s="116"/>
      <c r="E199" s="65" t="s">
        <v>557</v>
      </c>
      <c r="F199" s="65" t="s">
        <v>558</v>
      </c>
      <c r="G199" s="65" t="s">
        <v>268</v>
      </c>
      <c r="H199" s="65"/>
      <c r="I199" s="75">
        <f t="shared" si="4"/>
        <v>0</v>
      </c>
      <c r="J199" s="76" t="s">
        <v>554</v>
      </c>
      <c r="K199" s="66"/>
    </row>
    <row r="200" spans="1:11" ht="15" thickBot="1">
      <c r="A200" s="111"/>
      <c r="B200" s="114"/>
      <c r="C200" s="114"/>
      <c r="D200" s="116"/>
      <c r="E200" s="65" t="s">
        <v>559</v>
      </c>
      <c r="F200" s="65" t="s">
        <v>270</v>
      </c>
      <c r="G200" s="65" t="s">
        <v>268</v>
      </c>
      <c r="H200" s="65"/>
      <c r="I200" s="75">
        <f t="shared" si="4"/>
        <v>0</v>
      </c>
      <c r="J200" s="76" t="s">
        <v>560</v>
      </c>
      <c r="K200" s="66"/>
    </row>
    <row r="201" spans="1:11" ht="15" thickBot="1">
      <c r="A201" s="111"/>
      <c r="B201" s="114"/>
      <c r="C201" s="114"/>
      <c r="D201" s="116"/>
      <c r="E201" s="65" t="s">
        <v>561</v>
      </c>
      <c r="F201" s="65" t="s">
        <v>308</v>
      </c>
      <c r="G201" s="65" t="s">
        <v>268</v>
      </c>
      <c r="H201" s="65" t="s">
        <v>303</v>
      </c>
      <c r="I201" s="75">
        <v>1</v>
      </c>
      <c r="J201" s="76" t="s">
        <v>562</v>
      </c>
      <c r="K201" s="66"/>
    </row>
    <row r="202" spans="1:11" ht="15" thickBot="1">
      <c r="A202" s="112"/>
      <c r="B202" s="115"/>
      <c r="C202" s="115"/>
      <c r="D202" s="117"/>
      <c r="E202" s="67" t="s">
        <v>563</v>
      </c>
      <c r="F202" s="67" t="s">
        <v>270</v>
      </c>
      <c r="G202" s="67" t="s">
        <v>268</v>
      </c>
      <c r="H202" s="67"/>
      <c r="I202" s="77">
        <f t="shared" si="4"/>
        <v>0</v>
      </c>
      <c r="J202" s="93" t="s">
        <v>564</v>
      </c>
      <c r="K202" s="68"/>
    </row>
    <row r="203" spans="1:11" ht="15" customHeight="1" thickBot="1">
      <c r="A203" s="111" t="s">
        <v>565</v>
      </c>
      <c r="B203" s="114" t="s">
        <v>566</v>
      </c>
      <c r="C203" s="114" t="s">
        <v>567</v>
      </c>
      <c r="D203" s="116" t="s">
        <v>268</v>
      </c>
      <c r="E203" s="63" t="s">
        <v>555</v>
      </c>
      <c r="F203" s="63" t="s">
        <v>270</v>
      </c>
      <c r="G203" s="63" t="s">
        <v>268</v>
      </c>
      <c r="H203" s="63"/>
      <c r="I203" s="72">
        <f t="shared" si="4"/>
        <v>0</v>
      </c>
      <c r="J203" s="73" t="s">
        <v>550</v>
      </c>
      <c r="K203" s="64"/>
    </row>
    <row r="204" spans="1:11" ht="15" thickBot="1">
      <c r="A204" s="111"/>
      <c r="B204" s="114"/>
      <c r="C204" s="114"/>
      <c r="D204" s="116"/>
      <c r="E204" t="s">
        <v>568</v>
      </c>
      <c r="F204" s="65" t="s">
        <v>270</v>
      </c>
      <c r="G204" s="65" t="s">
        <v>268</v>
      </c>
      <c r="H204" s="65"/>
      <c r="I204" s="75">
        <f t="shared" si="4"/>
        <v>0</v>
      </c>
      <c r="J204" s="76" t="s">
        <v>569</v>
      </c>
      <c r="K204" s="66"/>
    </row>
    <row r="205" spans="1:11" ht="15" thickBot="1">
      <c r="A205" s="111"/>
      <c r="B205" s="114"/>
      <c r="C205" s="114"/>
      <c r="D205" s="116"/>
      <c r="E205" t="s">
        <v>570</v>
      </c>
      <c r="F205" s="65" t="s">
        <v>558</v>
      </c>
      <c r="G205" s="65" t="s">
        <v>268</v>
      </c>
      <c r="H205" s="65"/>
      <c r="I205" s="75">
        <f t="shared" si="4"/>
        <v>0</v>
      </c>
      <c r="J205" s="76" t="s">
        <v>569</v>
      </c>
      <c r="K205" s="66"/>
    </row>
    <row r="206" spans="1:11" ht="15" thickBot="1">
      <c r="A206" s="111"/>
      <c r="B206" s="114"/>
      <c r="C206" s="114"/>
      <c r="D206" s="116"/>
      <c r="E206" s="65" t="s">
        <v>212</v>
      </c>
      <c r="F206" s="65" t="s">
        <v>308</v>
      </c>
      <c r="G206" s="65" t="s">
        <v>266</v>
      </c>
      <c r="H206" s="65" t="s">
        <v>303</v>
      </c>
      <c r="I206" s="75">
        <f t="shared" si="4"/>
        <v>1</v>
      </c>
      <c r="J206" s="76" t="s">
        <v>571</v>
      </c>
      <c r="K206" s="66"/>
    </row>
    <row r="207" spans="1:11" ht="15" thickBot="1">
      <c r="A207" s="111"/>
      <c r="B207" s="114"/>
      <c r="C207" s="114"/>
      <c r="D207" s="116"/>
      <c r="E207" s="65" t="s">
        <v>572</v>
      </c>
      <c r="F207" s="65" t="s">
        <v>558</v>
      </c>
      <c r="G207" s="65" t="s">
        <v>268</v>
      </c>
      <c r="H207" s="65"/>
      <c r="I207" s="75">
        <f t="shared" si="4"/>
        <v>0</v>
      </c>
      <c r="J207" s="76" t="s">
        <v>573</v>
      </c>
      <c r="K207" s="66"/>
    </row>
    <row r="208" spans="1:11" ht="15" thickBot="1">
      <c r="A208" s="111"/>
      <c r="B208" s="114"/>
      <c r="C208" s="114"/>
      <c r="D208" s="116"/>
      <c r="E208" s="65" t="s">
        <v>574</v>
      </c>
      <c r="F208" s="65" t="s">
        <v>558</v>
      </c>
      <c r="G208" s="65" t="s">
        <v>268</v>
      </c>
      <c r="H208" s="65"/>
      <c r="I208" s="75">
        <f t="shared" si="4"/>
        <v>0</v>
      </c>
      <c r="J208" s="76" t="s">
        <v>569</v>
      </c>
      <c r="K208" s="66"/>
    </row>
    <row r="209" spans="1:11" ht="15" thickBot="1">
      <c r="A209" s="111"/>
      <c r="B209" s="114"/>
      <c r="C209" s="114"/>
      <c r="D209" s="116"/>
      <c r="E209" s="65" t="s">
        <v>559</v>
      </c>
      <c r="F209" s="65" t="s">
        <v>558</v>
      </c>
      <c r="G209" s="83" t="s">
        <v>268</v>
      </c>
      <c r="H209" s="65"/>
      <c r="I209" s="75">
        <f>IF(OR(D209="N", G210="N"), 1, IF(H209="Minimally efficient and impactful", 1, IF(H209="Moderately efficient and impactful", 0.5, IF(H209="Highly efficient and impactful", 0, 0))))</f>
        <v>0</v>
      </c>
      <c r="J209" s="76" t="s">
        <v>560</v>
      </c>
      <c r="K209" s="66"/>
    </row>
    <row r="210" spans="1:11" ht="15" thickBot="1">
      <c r="A210" s="111"/>
      <c r="B210" s="114"/>
      <c r="C210" s="114"/>
      <c r="D210" s="116"/>
      <c r="E210" s="65" t="s">
        <v>575</v>
      </c>
      <c r="F210" s="65" t="s">
        <v>244</v>
      </c>
      <c r="G210" s="65" t="s">
        <v>268</v>
      </c>
      <c r="H210" s="65"/>
      <c r="I210" s="75">
        <f>IF(OR(D210="N", G211="N"), 1, IF(H210="Minimally efficient and impactful", 1, IF(H210="Moderately efficient and impactful", 0.5, IF(H210="Highly efficient and impactful", 0, 0))))</f>
        <v>0</v>
      </c>
      <c r="J210" s="76" t="s">
        <v>550</v>
      </c>
      <c r="K210" s="66"/>
    </row>
    <row r="211" spans="1:11" ht="15" thickBot="1">
      <c r="A211" s="111"/>
      <c r="B211" s="114"/>
      <c r="C211" s="114"/>
      <c r="D211" s="116"/>
      <c r="E211" s="65" t="s">
        <v>551</v>
      </c>
      <c r="F211" s="65" t="s">
        <v>244</v>
      </c>
      <c r="G211" s="65" t="s">
        <v>268</v>
      </c>
      <c r="H211" s="65"/>
      <c r="I211" s="75">
        <f t="shared" si="4"/>
        <v>0</v>
      </c>
      <c r="J211" s="76" t="s">
        <v>576</v>
      </c>
      <c r="K211" s="66"/>
    </row>
    <row r="212" spans="1:11" ht="15" thickBot="1">
      <c r="A212" s="112"/>
      <c r="B212" s="115"/>
      <c r="C212" s="115"/>
      <c r="D212" s="117"/>
      <c r="E212" s="84"/>
      <c r="F212" s="84"/>
      <c r="G212" s="67"/>
      <c r="H212" s="67"/>
      <c r="I212" s="77">
        <f t="shared" si="4"/>
        <v>0</v>
      </c>
      <c r="J212" s="78"/>
      <c r="K212" s="68"/>
    </row>
    <row r="213" spans="1:11" ht="15" customHeight="1" thickBot="1">
      <c r="A213" s="111" t="s">
        <v>577</v>
      </c>
      <c r="B213" s="114" t="s">
        <v>566</v>
      </c>
      <c r="C213" s="114" t="s">
        <v>567</v>
      </c>
      <c r="D213" s="116" t="s">
        <v>268</v>
      </c>
      <c r="E213" s="63" t="s">
        <v>555</v>
      </c>
      <c r="F213" s="63" t="s">
        <v>558</v>
      </c>
      <c r="G213" s="63" t="s">
        <v>268</v>
      </c>
      <c r="H213" s="63"/>
      <c r="I213" s="72">
        <f t="shared" si="4"/>
        <v>0</v>
      </c>
      <c r="J213" s="73" t="s">
        <v>578</v>
      </c>
      <c r="K213" s="64" t="s">
        <v>579</v>
      </c>
    </row>
    <row r="214" spans="1:11" ht="15" thickBot="1">
      <c r="A214" s="111"/>
      <c r="B214" s="114"/>
      <c r="C214" s="114"/>
      <c r="D214" s="116"/>
      <c r="E214" s="65" t="s">
        <v>551</v>
      </c>
      <c r="F214" s="65" t="s">
        <v>244</v>
      </c>
      <c r="G214" s="65" t="s">
        <v>268</v>
      </c>
      <c r="H214" s="65"/>
      <c r="I214" s="75">
        <f t="shared" si="4"/>
        <v>0</v>
      </c>
      <c r="J214" s="94" t="s">
        <v>576</v>
      </c>
      <c r="K214" s="66"/>
    </row>
    <row r="215" spans="1:11" ht="15" thickBot="1">
      <c r="A215" s="111"/>
      <c r="B215" s="114"/>
      <c r="C215" s="114"/>
      <c r="D215" s="116"/>
      <c r="E215" s="65" t="s">
        <v>580</v>
      </c>
      <c r="F215" s="65" t="s">
        <v>558</v>
      </c>
      <c r="G215" s="65" t="s">
        <v>268</v>
      </c>
      <c r="H215" s="65"/>
      <c r="I215" s="75">
        <f t="shared" si="4"/>
        <v>0</v>
      </c>
      <c r="J215" s="76" t="s">
        <v>578</v>
      </c>
      <c r="K215" s="66"/>
    </row>
    <row r="216" spans="1:11" ht="15" thickBot="1">
      <c r="A216" s="111"/>
      <c r="B216" s="114"/>
      <c r="C216" s="114"/>
      <c r="D216" s="116"/>
      <c r="E216" s="65" t="s">
        <v>581</v>
      </c>
      <c r="F216" s="65" t="s">
        <v>558</v>
      </c>
      <c r="G216" s="65" t="s">
        <v>268</v>
      </c>
      <c r="H216" s="65" t="s">
        <v>303</v>
      </c>
      <c r="I216" s="75">
        <f t="shared" si="4"/>
        <v>0</v>
      </c>
      <c r="J216" s="76" t="s">
        <v>582</v>
      </c>
      <c r="K216" s="66" t="s">
        <v>583</v>
      </c>
    </row>
    <row r="217" spans="1:11" ht="15" thickBot="1">
      <c r="A217" s="111"/>
      <c r="B217" s="114"/>
      <c r="C217" s="114"/>
      <c r="D217" s="116"/>
      <c r="E217" s="65" t="s">
        <v>584</v>
      </c>
      <c r="F217" s="65" t="s">
        <v>558</v>
      </c>
      <c r="G217" s="65" t="s">
        <v>268</v>
      </c>
      <c r="H217" s="65"/>
      <c r="I217" s="75">
        <f t="shared" si="4"/>
        <v>0</v>
      </c>
      <c r="J217" s="76" t="s">
        <v>585</v>
      </c>
      <c r="K217" s="66" t="s">
        <v>583</v>
      </c>
    </row>
    <row r="218" spans="1:11" ht="15" thickBot="1">
      <c r="A218" s="111"/>
      <c r="B218" s="114"/>
      <c r="C218" s="114"/>
      <c r="D218" s="116"/>
      <c r="E218" s="65"/>
      <c r="F218" s="65"/>
      <c r="G218" s="65"/>
      <c r="H218" s="65"/>
      <c r="I218" s="75">
        <f t="shared" si="4"/>
        <v>0</v>
      </c>
      <c r="J218" s="76"/>
      <c r="K218" s="66"/>
    </row>
    <row r="219" spans="1:11" ht="15" thickBot="1">
      <c r="A219" s="111"/>
      <c r="B219" s="114"/>
      <c r="C219" s="114"/>
      <c r="D219" s="116"/>
      <c r="E219" s="65"/>
      <c r="F219" s="65"/>
      <c r="G219" s="65"/>
      <c r="H219" s="65"/>
      <c r="I219" s="75">
        <f t="shared" si="4"/>
        <v>0</v>
      </c>
      <c r="J219" s="76"/>
      <c r="K219" s="66"/>
    </row>
    <row r="220" spans="1:11" ht="15" thickBot="1">
      <c r="A220" s="111"/>
      <c r="B220" s="114"/>
      <c r="C220" s="114"/>
      <c r="D220" s="116"/>
      <c r="E220" s="65"/>
      <c r="F220" s="65"/>
      <c r="G220" s="65"/>
      <c r="H220" s="65"/>
      <c r="I220" s="75">
        <f t="shared" si="4"/>
        <v>0</v>
      </c>
      <c r="J220" s="76"/>
      <c r="K220" s="66"/>
    </row>
    <row r="221" spans="1:11" ht="15" thickBot="1">
      <c r="A221" s="111"/>
      <c r="B221" s="114"/>
      <c r="C221" s="114"/>
      <c r="D221" s="116"/>
      <c r="E221" s="65"/>
      <c r="F221" s="65"/>
      <c r="G221" s="65"/>
      <c r="H221" s="65"/>
      <c r="I221" s="75">
        <f t="shared" si="4"/>
        <v>0</v>
      </c>
      <c r="J221" s="76"/>
      <c r="K221" s="66"/>
    </row>
    <row r="222" spans="1:11" ht="15" thickBot="1">
      <c r="A222" s="112"/>
      <c r="B222" s="115"/>
      <c r="C222" s="115"/>
      <c r="D222" s="117"/>
      <c r="E222" s="67"/>
      <c r="F222" s="67"/>
      <c r="G222" s="67"/>
      <c r="H222" s="67"/>
      <c r="I222" s="77">
        <f t="shared" si="4"/>
        <v>0</v>
      </c>
      <c r="J222" s="78"/>
      <c r="K222" s="68"/>
    </row>
    <row r="223" spans="1:11" ht="15" customHeight="1" thickBot="1">
      <c r="A223" s="111" t="s">
        <v>586</v>
      </c>
      <c r="B223" s="114" t="s">
        <v>566</v>
      </c>
      <c r="C223" s="114" t="s">
        <v>567</v>
      </c>
      <c r="D223" s="116" t="s">
        <v>268</v>
      </c>
      <c r="E223" s="63" t="s">
        <v>549</v>
      </c>
      <c r="F223" s="63" t="s">
        <v>270</v>
      </c>
      <c r="G223" s="63" t="s">
        <v>268</v>
      </c>
      <c r="H223" s="63"/>
      <c r="I223" s="72">
        <f t="shared" si="4"/>
        <v>0</v>
      </c>
      <c r="J223" s="95" t="s">
        <v>554</v>
      </c>
      <c r="K223" s="64" t="s">
        <v>587</v>
      </c>
    </row>
    <row r="224" spans="1:11" ht="15" thickBot="1">
      <c r="A224" s="111"/>
      <c r="B224" s="114"/>
      <c r="C224" s="114"/>
      <c r="D224" s="116"/>
      <c r="E224" t="s">
        <v>551</v>
      </c>
      <c r="F224" s="65" t="s">
        <v>244</v>
      </c>
      <c r="G224" s="65" t="s">
        <v>266</v>
      </c>
      <c r="H224" s="65"/>
      <c r="I224" s="75">
        <f t="shared" si="4"/>
        <v>1</v>
      </c>
      <c r="J224" s="94" t="s">
        <v>588</v>
      </c>
      <c r="K224" s="66"/>
    </row>
    <row r="225" spans="1:11" ht="15" thickBot="1">
      <c r="A225" s="111"/>
      <c r="B225" s="114"/>
      <c r="C225" s="114"/>
      <c r="D225" s="116"/>
      <c r="E225" s="65" t="s">
        <v>568</v>
      </c>
      <c r="F225" s="65" t="s">
        <v>270</v>
      </c>
      <c r="G225" s="65" t="s">
        <v>268</v>
      </c>
      <c r="H225" s="65" t="s">
        <v>303</v>
      </c>
      <c r="I225" s="75">
        <f t="shared" si="4"/>
        <v>0</v>
      </c>
      <c r="J225" s="76" t="s">
        <v>578</v>
      </c>
      <c r="K225" s="66"/>
    </row>
    <row r="226" spans="1:11" ht="15" thickBot="1">
      <c r="A226" s="111"/>
      <c r="B226" s="114"/>
      <c r="C226" s="114"/>
      <c r="D226" s="116"/>
      <c r="E226" s="65" t="s">
        <v>589</v>
      </c>
      <c r="F226" s="65" t="s">
        <v>270</v>
      </c>
      <c r="G226" s="65" t="s">
        <v>268</v>
      </c>
      <c r="H226" s="65"/>
      <c r="I226" s="75">
        <f t="shared" si="4"/>
        <v>0</v>
      </c>
      <c r="J226" s="76" t="s">
        <v>590</v>
      </c>
      <c r="K226" s="66"/>
    </row>
    <row r="227" spans="1:11" ht="15" thickBot="1">
      <c r="A227" s="111"/>
      <c r="B227" s="114"/>
      <c r="C227" s="114"/>
      <c r="D227" s="116"/>
      <c r="E227" s="65" t="s">
        <v>591</v>
      </c>
      <c r="F227" s="65" t="s">
        <v>270</v>
      </c>
      <c r="G227" s="65" t="s">
        <v>268</v>
      </c>
      <c r="H227" s="65" t="s">
        <v>303</v>
      </c>
      <c r="I227" s="75">
        <v>1</v>
      </c>
      <c r="J227" s="76" t="s">
        <v>592</v>
      </c>
      <c r="K227" s="66"/>
    </row>
    <row r="228" spans="1:11" ht="15" thickBot="1">
      <c r="A228" s="111"/>
      <c r="B228" s="114"/>
      <c r="C228" s="114"/>
      <c r="D228" s="116"/>
      <c r="E228" s="65" t="s">
        <v>523</v>
      </c>
      <c r="F228" s="65" t="s">
        <v>558</v>
      </c>
      <c r="G228" s="65" t="s">
        <v>268</v>
      </c>
      <c r="H228" s="65"/>
      <c r="I228" s="75">
        <f t="shared" si="4"/>
        <v>0</v>
      </c>
      <c r="J228" s="76" t="s">
        <v>548</v>
      </c>
      <c r="K228" s="66"/>
    </row>
    <row r="229" spans="1:11" ht="15" thickBot="1">
      <c r="A229" s="111"/>
      <c r="B229" s="114"/>
      <c r="C229" s="114"/>
      <c r="D229" s="116"/>
      <c r="E229" s="65"/>
      <c r="F229" s="65"/>
      <c r="G229" s="65"/>
      <c r="H229" s="65"/>
      <c r="I229" s="75">
        <f t="shared" si="4"/>
        <v>0</v>
      </c>
      <c r="J229" s="76"/>
      <c r="K229" s="66"/>
    </row>
    <row r="230" spans="1:11" ht="15" thickBot="1">
      <c r="A230" s="111"/>
      <c r="B230" s="114"/>
      <c r="C230" s="114"/>
      <c r="D230" s="116"/>
      <c r="E230" s="65"/>
      <c r="F230" s="65"/>
      <c r="G230" s="65"/>
      <c r="H230" s="65"/>
      <c r="I230" s="75">
        <f t="shared" si="4"/>
        <v>0</v>
      </c>
      <c r="J230" s="76"/>
      <c r="K230" s="66"/>
    </row>
    <row r="231" spans="1:11" ht="15" thickBot="1">
      <c r="A231" s="111"/>
      <c r="B231" s="114"/>
      <c r="C231" s="114"/>
      <c r="D231" s="116"/>
      <c r="E231" s="65"/>
      <c r="F231" s="65"/>
      <c r="G231" s="65"/>
      <c r="H231" s="65"/>
      <c r="I231" s="75">
        <f t="shared" si="4"/>
        <v>0</v>
      </c>
      <c r="J231" s="76"/>
      <c r="K231" s="66"/>
    </row>
    <row r="232" spans="1:11" ht="15" thickBot="1">
      <c r="A232" s="112"/>
      <c r="B232" s="115"/>
      <c r="C232" s="115"/>
      <c r="D232" s="117"/>
      <c r="E232" s="67"/>
      <c r="F232" s="67"/>
      <c r="G232" s="67"/>
      <c r="H232" s="67"/>
      <c r="I232" s="77">
        <f t="shared" si="4"/>
        <v>0</v>
      </c>
      <c r="J232" s="78"/>
      <c r="K232" s="68"/>
    </row>
    <row r="233" spans="1:11" ht="15" customHeight="1" thickBot="1">
      <c r="A233" s="111" t="s">
        <v>593</v>
      </c>
      <c r="B233" s="114" t="s">
        <v>594</v>
      </c>
      <c r="C233" s="114" t="s">
        <v>567</v>
      </c>
      <c r="D233" s="116" t="s">
        <v>268</v>
      </c>
      <c r="E233" s="63" t="s">
        <v>523</v>
      </c>
      <c r="F233" s="63" t="s">
        <v>558</v>
      </c>
      <c r="G233" s="63" t="s">
        <v>268</v>
      </c>
      <c r="H233" s="63"/>
      <c r="I233" s="72">
        <f t="shared" si="4"/>
        <v>0</v>
      </c>
      <c r="J233" s="95" t="s">
        <v>548</v>
      </c>
      <c r="K233" s="64"/>
    </row>
    <row r="234" spans="1:11" ht="14.45" customHeight="1" thickBot="1">
      <c r="A234" s="111"/>
      <c r="B234" s="114"/>
      <c r="C234" s="114"/>
      <c r="D234" s="116"/>
      <c r="E234" t="s">
        <v>595</v>
      </c>
      <c r="F234" s="65" t="s">
        <v>558</v>
      </c>
      <c r="G234" s="65" t="s">
        <v>268</v>
      </c>
      <c r="H234" s="65"/>
      <c r="I234" s="75">
        <f t="shared" si="4"/>
        <v>0</v>
      </c>
      <c r="J234" s="76" t="s">
        <v>578</v>
      </c>
      <c r="K234" s="66"/>
    </row>
    <row r="235" spans="1:11" ht="14.45" customHeight="1" thickBot="1">
      <c r="A235" s="111"/>
      <c r="B235" s="114"/>
      <c r="C235" s="114"/>
      <c r="D235" s="116"/>
      <c r="E235" s="65" t="s">
        <v>596</v>
      </c>
      <c r="F235" s="65" t="s">
        <v>270</v>
      </c>
      <c r="G235" s="65" t="s">
        <v>268</v>
      </c>
      <c r="H235" s="65" t="s">
        <v>303</v>
      </c>
      <c r="I235" s="75">
        <f t="shared" si="4"/>
        <v>0</v>
      </c>
      <c r="J235" s="94" t="s">
        <v>597</v>
      </c>
      <c r="K235" s="66"/>
    </row>
    <row r="236" spans="1:11" ht="14.45" customHeight="1" thickBot="1">
      <c r="A236" s="111"/>
      <c r="B236" s="114"/>
      <c r="C236" s="114"/>
      <c r="D236" s="116"/>
      <c r="E236" s="65" t="s">
        <v>553</v>
      </c>
      <c r="F236" s="65" t="s">
        <v>270</v>
      </c>
      <c r="G236" s="65" t="s">
        <v>268</v>
      </c>
      <c r="H236" s="65"/>
      <c r="I236" s="75">
        <f t="shared" si="4"/>
        <v>0</v>
      </c>
      <c r="J236" s="76" t="s">
        <v>598</v>
      </c>
      <c r="K236" s="51"/>
    </row>
    <row r="237" spans="1:11" ht="14.45" customHeight="1" thickBot="1">
      <c r="A237" s="111"/>
      <c r="B237" s="114"/>
      <c r="C237" s="114"/>
      <c r="D237" s="116"/>
      <c r="E237" s="65" t="s">
        <v>599</v>
      </c>
      <c r="F237" s="65" t="s">
        <v>270</v>
      </c>
      <c r="G237" s="65" t="s">
        <v>268</v>
      </c>
      <c r="H237" s="65" t="s">
        <v>303</v>
      </c>
      <c r="I237" s="75">
        <f t="shared" si="4"/>
        <v>0</v>
      </c>
      <c r="J237" s="76" t="s">
        <v>600</v>
      </c>
      <c r="K237" s="85" t="s">
        <v>601</v>
      </c>
    </row>
    <row r="238" spans="1:11" ht="14.45" customHeight="1" thickBot="1">
      <c r="A238" s="111"/>
      <c r="B238" s="114"/>
      <c r="C238" s="114"/>
      <c r="D238" s="116"/>
      <c r="E238" s="65" t="s">
        <v>602</v>
      </c>
      <c r="F238" s="65" t="s">
        <v>270</v>
      </c>
      <c r="G238" s="65" t="s">
        <v>268</v>
      </c>
      <c r="H238" s="65"/>
      <c r="I238" s="75">
        <f t="shared" si="4"/>
        <v>0</v>
      </c>
      <c r="J238" s="94" t="s">
        <v>588</v>
      </c>
      <c r="K238" s="66"/>
    </row>
    <row r="239" spans="1:11" ht="14.45" customHeight="1" thickBot="1">
      <c r="A239" s="111"/>
      <c r="B239" s="114"/>
      <c r="C239" s="114"/>
      <c r="D239" s="116"/>
      <c r="E239" s="65" t="s">
        <v>551</v>
      </c>
      <c r="F239" s="65" t="s">
        <v>244</v>
      </c>
      <c r="G239" s="65" t="s">
        <v>268</v>
      </c>
      <c r="H239" s="65"/>
      <c r="I239" s="75">
        <f t="shared" si="4"/>
        <v>0</v>
      </c>
      <c r="J239" s="76" t="s">
        <v>590</v>
      </c>
      <c r="K239" s="66"/>
    </row>
    <row r="240" spans="1:11" ht="14.45" customHeight="1" thickBot="1">
      <c r="A240" s="111"/>
      <c r="B240" s="114"/>
      <c r="C240" s="114"/>
      <c r="D240" s="116"/>
      <c r="E240" s="65" t="s">
        <v>589</v>
      </c>
      <c r="F240" s="65" t="s">
        <v>270</v>
      </c>
      <c r="G240" s="65" t="s">
        <v>268</v>
      </c>
      <c r="H240" s="65"/>
      <c r="I240" s="75">
        <f t="shared" si="4"/>
        <v>0</v>
      </c>
      <c r="J240" s="76"/>
      <c r="K240" s="66"/>
    </row>
    <row r="241" spans="1:11" ht="14.45" customHeight="1" thickBot="1">
      <c r="A241" s="111"/>
      <c r="B241" s="114"/>
      <c r="C241" s="114"/>
      <c r="D241" s="116"/>
      <c r="E241" s="65"/>
      <c r="F241" s="65"/>
      <c r="G241" s="65"/>
      <c r="H241" s="65"/>
      <c r="I241" s="75">
        <f t="shared" si="4"/>
        <v>0</v>
      </c>
      <c r="J241" s="76"/>
      <c r="K241" s="66"/>
    </row>
    <row r="242" spans="1:11" ht="14.45" customHeight="1" thickBot="1">
      <c r="A242" s="112"/>
      <c r="B242" s="115"/>
      <c r="C242" s="115"/>
      <c r="D242" s="117"/>
      <c r="E242" s="67"/>
      <c r="F242" s="67"/>
      <c r="G242" s="67"/>
      <c r="H242" s="67"/>
      <c r="I242" s="77">
        <f t="shared" si="4"/>
        <v>0</v>
      </c>
      <c r="J242" s="78"/>
      <c r="K242" s="68"/>
    </row>
    <row r="243" spans="1:11" ht="14.45" customHeight="1"/>
    <row r="244" spans="1:11" ht="14.45" customHeight="1"/>
    <row r="245" spans="1:11" ht="14.45" customHeight="1"/>
    <row r="246" spans="1:11" ht="14.45" customHeight="1"/>
    <row r="247" spans="1:11" ht="14.45" customHeight="1"/>
    <row r="248" spans="1:11" ht="14.45" customHeight="1"/>
    <row r="249" spans="1:11" ht="14.45" customHeight="1"/>
    <row r="250" spans="1:11" ht="14.45" customHeight="1"/>
    <row r="251" spans="1:11" ht="14.45" customHeight="1"/>
    <row r="252" spans="1:11" ht="14.45" customHeight="1"/>
    <row r="253" spans="1:11" ht="14.45" customHeight="1"/>
    <row r="254" spans="1:11" ht="14.45" customHeight="1"/>
    <row r="255" spans="1:11" ht="14.45" customHeight="1"/>
    <row r="256" spans="1:11" ht="14.45" customHeight="1"/>
    <row r="257" ht="14.45" customHeight="1"/>
    <row r="258" ht="14.45" customHeight="1"/>
    <row r="259" ht="14.45" customHeight="1"/>
    <row r="260" ht="14.45" customHeight="1"/>
    <row r="261" ht="14.45" customHeight="1"/>
    <row r="262" ht="14.45" customHeight="1"/>
    <row r="263" ht="14.45" customHeight="1"/>
    <row r="264" ht="14.45" customHeight="1"/>
    <row r="265" ht="14.45" customHeight="1"/>
    <row r="266" ht="14.45" customHeight="1"/>
    <row r="267" ht="14.45" customHeight="1"/>
    <row r="268" ht="14.45" customHeight="1"/>
    <row r="269" ht="14.45" customHeight="1"/>
    <row r="270" ht="14.45" customHeight="1"/>
    <row r="271" ht="14.45" customHeight="1"/>
    <row r="272" ht="14.45" customHeight="1"/>
    <row r="273" ht="14.45" customHeight="1"/>
    <row r="274" ht="14.45" customHeight="1"/>
    <row r="275" ht="14.45" customHeight="1"/>
    <row r="276" ht="14.45" customHeight="1"/>
    <row r="277" ht="14.45" customHeight="1"/>
    <row r="278" ht="14.45" customHeight="1"/>
    <row r="279" ht="14.45" customHeight="1"/>
    <row r="280" ht="14.45" customHeight="1"/>
    <row r="281" ht="14.45" customHeight="1"/>
    <row r="282" ht="14.45" customHeight="1"/>
    <row r="283" ht="14.45" customHeight="1"/>
    <row r="284" ht="14.45" customHeight="1"/>
    <row r="285" ht="14.45" customHeight="1"/>
    <row r="286" ht="14.45" customHeight="1"/>
    <row r="287" ht="14.45" customHeight="1"/>
    <row r="288" ht="14.45" customHeight="1"/>
    <row r="289" ht="14.45" customHeight="1"/>
    <row r="290" ht="14.45" customHeight="1"/>
    <row r="291" ht="14.45" customHeight="1"/>
    <row r="292" ht="14.45" customHeight="1"/>
    <row r="293" ht="14.45" customHeight="1"/>
    <row r="294" ht="14.45" customHeight="1"/>
    <row r="295" ht="14.45" customHeight="1"/>
    <row r="296" ht="14.45" customHeight="1"/>
    <row r="297" ht="14.45" customHeight="1"/>
    <row r="298" ht="14.45" customHeight="1"/>
    <row r="299" ht="14.45" customHeight="1"/>
    <row r="300" ht="14.45" customHeight="1"/>
    <row r="301" ht="14.45" customHeight="1"/>
    <row r="302" ht="14.45" customHeight="1"/>
    <row r="303" ht="14.45" customHeight="1"/>
    <row r="304" ht="14.45" customHeight="1"/>
    <row r="305" ht="14.45" customHeight="1"/>
    <row r="306" ht="14.45" customHeight="1"/>
    <row r="307" ht="14.45" customHeight="1"/>
    <row r="308" ht="14.45" customHeight="1"/>
    <row r="309" ht="14.45" customHeight="1"/>
    <row r="310" ht="14.45" customHeight="1"/>
    <row r="311" ht="14.45" customHeight="1"/>
    <row r="312" ht="14.45" customHeight="1"/>
    <row r="313" ht="14.45" customHeight="1"/>
    <row r="314" ht="14.45" customHeight="1"/>
    <row r="315" ht="14.45" customHeight="1"/>
    <row r="316" ht="14.45" customHeight="1"/>
    <row r="317" ht="14.45" customHeight="1"/>
    <row r="318" ht="14.45" customHeight="1"/>
    <row r="319" ht="14.45" customHeight="1"/>
    <row r="320" ht="14.45" customHeight="1"/>
    <row r="321" ht="14.45" customHeight="1"/>
    <row r="322" ht="14.45" customHeight="1"/>
    <row r="323" ht="14.45" customHeight="1"/>
    <row r="324" ht="14.45" customHeight="1"/>
    <row r="325" ht="14.45" customHeight="1"/>
    <row r="326" ht="14.45" customHeight="1"/>
    <row r="327" ht="14.45" customHeight="1"/>
    <row r="328" ht="14.45" customHeight="1"/>
    <row r="329" ht="14.45" customHeight="1"/>
    <row r="330" ht="14.45" customHeight="1"/>
    <row r="331" ht="14.45" customHeight="1"/>
    <row r="332" ht="14.45" customHeight="1"/>
    <row r="333" ht="14.45" customHeight="1"/>
    <row r="334" ht="14.45" customHeight="1"/>
    <row r="335" ht="14.45" customHeight="1"/>
    <row r="336" ht="14.45" customHeight="1"/>
    <row r="337" ht="14.45" customHeight="1"/>
    <row r="338" ht="14.45" customHeight="1"/>
    <row r="339" ht="14.45" customHeight="1"/>
    <row r="340" ht="14.45" customHeight="1"/>
    <row r="341" ht="14.45" customHeight="1"/>
    <row r="342" ht="14.45" customHeight="1"/>
    <row r="343" ht="14.45" customHeight="1"/>
    <row r="344" ht="14.45" customHeight="1"/>
    <row r="345" ht="14.45" customHeight="1"/>
    <row r="346" ht="14.45" customHeight="1"/>
    <row r="347" ht="14.45" customHeight="1"/>
    <row r="348" ht="14.45" customHeight="1"/>
    <row r="349" ht="14.45" customHeight="1"/>
    <row r="350" ht="14.45" customHeight="1"/>
    <row r="351" ht="14.45" customHeight="1"/>
    <row r="352" ht="14.45" customHeight="1"/>
    <row r="353" ht="14.45" customHeight="1"/>
    <row r="354" ht="14.45" customHeight="1"/>
    <row r="355" ht="14.45" customHeight="1"/>
    <row r="356" ht="14.45" customHeight="1"/>
    <row r="357" ht="14.45" customHeight="1"/>
    <row r="358" ht="14.45" customHeight="1"/>
    <row r="359" ht="14.45" customHeight="1"/>
    <row r="360" ht="14.45" customHeight="1"/>
    <row r="361" ht="14.45" customHeight="1"/>
    <row r="362" ht="14.45" customHeight="1"/>
    <row r="363" ht="14.45" customHeight="1"/>
    <row r="364" ht="14.45" customHeight="1"/>
    <row r="365" ht="14.45" customHeight="1"/>
    <row r="366" ht="14.45" customHeight="1"/>
    <row r="367" ht="14.45" customHeight="1"/>
    <row r="368" ht="14.45" customHeight="1"/>
    <row r="369" ht="14.45" customHeight="1"/>
    <row r="370" ht="14.45" customHeight="1"/>
    <row r="371" ht="14.45" customHeight="1"/>
    <row r="372" ht="14.45" customHeight="1"/>
  </sheetData>
  <mergeCells count="96">
    <mergeCell ref="B193:B202"/>
    <mergeCell ref="C193:C202"/>
    <mergeCell ref="D193:D202"/>
    <mergeCell ref="B203:B212"/>
    <mergeCell ref="C203:C212"/>
    <mergeCell ref="D203:D212"/>
    <mergeCell ref="B233:B242"/>
    <mergeCell ref="C233:C242"/>
    <mergeCell ref="D233:D242"/>
    <mergeCell ref="B213:B222"/>
    <mergeCell ref="C213:C222"/>
    <mergeCell ref="D213:D222"/>
    <mergeCell ref="B223:B232"/>
    <mergeCell ref="C223:C232"/>
    <mergeCell ref="D223:D232"/>
    <mergeCell ref="B133:B142"/>
    <mergeCell ref="C133:C142"/>
    <mergeCell ref="D133:D142"/>
    <mergeCell ref="B143:B152"/>
    <mergeCell ref="C143:C152"/>
    <mergeCell ref="D143:D152"/>
    <mergeCell ref="C183:C192"/>
    <mergeCell ref="D183:D192"/>
    <mergeCell ref="B153:B162"/>
    <mergeCell ref="C153:C162"/>
    <mergeCell ref="D153:D162"/>
    <mergeCell ref="B163:B172"/>
    <mergeCell ref="C163:C172"/>
    <mergeCell ref="D163:D172"/>
    <mergeCell ref="B173:B182"/>
    <mergeCell ref="C173:C182"/>
    <mergeCell ref="D173:D182"/>
    <mergeCell ref="B183:B192"/>
    <mergeCell ref="B93:B102"/>
    <mergeCell ref="C93:C102"/>
    <mergeCell ref="D93:D102"/>
    <mergeCell ref="B103:B112"/>
    <mergeCell ref="C103:C112"/>
    <mergeCell ref="D103:D112"/>
    <mergeCell ref="B113:B122"/>
    <mergeCell ref="C113:C122"/>
    <mergeCell ref="D113:D122"/>
    <mergeCell ref="B123:B132"/>
    <mergeCell ref="C123:C132"/>
    <mergeCell ref="D123:D132"/>
    <mergeCell ref="A73:A82"/>
    <mergeCell ref="A83:A92"/>
    <mergeCell ref="A93:A102"/>
    <mergeCell ref="A103:A112"/>
    <mergeCell ref="A113:A122"/>
    <mergeCell ref="A123:A132"/>
    <mergeCell ref="A133:A142"/>
    <mergeCell ref="A143:A152"/>
    <mergeCell ref="A153:A162"/>
    <mergeCell ref="A163:A172"/>
    <mergeCell ref="A223:A232"/>
    <mergeCell ref="A233:A242"/>
    <mergeCell ref="A173:A182"/>
    <mergeCell ref="A183:A192"/>
    <mergeCell ref="A193:A202"/>
    <mergeCell ref="A203:A212"/>
    <mergeCell ref="A213:A222"/>
    <mergeCell ref="B73:B82"/>
    <mergeCell ref="C73:C82"/>
    <mergeCell ref="D73:D82"/>
    <mergeCell ref="B83:B92"/>
    <mergeCell ref="C83:C92"/>
    <mergeCell ref="D83:D92"/>
    <mergeCell ref="A63:A72"/>
    <mergeCell ref="B63:B72"/>
    <mergeCell ref="C63:C72"/>
    <mergeCell ref="D63:D72"/>
    <mergeCell ref="A43:A52"/>
    <mergeCell ref="B43:B52"/>
    <mergeCell ref="C43:C52"/>
    <mergeCell ref="D43:D52"/>
    <mergeCell ref="A53:A62"/>
    <mergeCell ref="B53:B62"/>
    <mergeCell ref="C53:C62"/>
    <mergeCell ref="D53:D62"/>
    <mergeCell ref="D3:D12"/>
    <mergeCell ref="A13:A22"/>
    <mergeCell ref="B13:B22"/>
    <mergeCell ref="C13:C22"/>
    <mergeCell ref="D13:D22"/>
    <mergeCell ref="A3:A12"/>
    <mergeCell ref="B3:B12"/>
    <mergeCell ref="C3:C12"/>
    <mergeCell ref="A23:A32"/>
    <mergeCell ref="B23:B32"/>
    <mergeCell ref="C23:C32"/>
    <mergeCell ref="D23:D32"/>
    <mergeCell ref="A33:A42"/>
    <mergeCell ref="B33:B42"/>
    <mergeCell ref="C33:C42"/>
    <mergeCell ref="D33:D42"/>
  </mergeCells>
  <dataValidations count="3">
    <dataValidation type="list" allowBlank="1" showInputMessage="1" showErrorMessage="1" sqref="D3:D242 G210:G242 G3:G208" xr:uid="{2CC2C278-9C30-497D-9664-4F4E6E68700D}">
      <formula1>"Y, N"</formula1>
    </dataValidation>
    <dataValidation type="list" allowBlank="1" showInputMessage="1" showErrorMessage="1" sqref="K236 H3:H92 H112 H132 H143:H242" xr:uid="{6A83F168-702C-4F22-95C4-380AE39BF177}">
      <formula1>"Highly efficient and impactful, Moderately efficient and impactful, Minimally efficient and impactful"</formula1>
    </dataValidation>
    <dataValidation type="list" allowBlank="1" showInputMessage="1" showErrorMessage="1" sqref="F213:F242 F3:F57 F59:F67 F69:F71 F78:F82 F73:F76 F86:F88 F90:F92 F112 F122 F132 F143:F211" xr:uid="{8AE39C45-B8DE-423B-80D8-3337655DF08A}">
      <formula1>"Central and West Asia and North Africa, East and Southern Africa, Latin America and the Caribbean, South Asia, Southeast Asia and the Pacific, West and Central Africa, Global, National"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ae4611-cb70-4579-927e-75165a4a042a">
      <Terms xmlns="http://schemas.microsoft.com/office/infopath/2007/PartnerControls"/>
    </lcf76f155ced4ddcb4097134ff3c332f>
    <TaxCatchAll xmlns="c1f1eeb5-978f-4917-95f2-e6174f03794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7FBFE3-AC1E-4B84-B802-93171FB19D3C}"/>
</file>

<file path=customXml/itemProps2.xml><?xml version="1.0" encoding="utf-8"?>
<ds:datastoreItem xmlns:ds="http://schemas.openxmlformats.org/officeDocument/2006/customXml" ds:itemID="{021FFDCA-8E52-4326-8C3D-16F4045FBEBD}"/>
</file>

<file path=customXml/itemProps3.xml><?xml version="1.0" encoding="utf-8"?>
<ds:datastoreItem xmlns:ds="http://schemas.openxmlformats.org/officeDocument/2006/customXml" ds:itemID="{D67FF4DA-00DF-4AA5-8032-44C23B215D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